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>
    <definedName name="_xlnm._FilterDatabase" localSheetId="1" hidden="1">'برنامه تست'!$A$4:$Q$21</definedName>
    <definedName name="_xlnm.Print_Titles" localSheetId="1">'برنامه تست'!$4:$4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19">
    <font>
      <name val="Calibri"/>
      <family val="2"/>
      <color theme="1"/>
      <sz val="11"/>
      <scheme val="minor"/>
    </font>
    <font>
      <b val="1"/>
      <sz val="10"/>
    </font>
    <font>
      <sz val="8"/>
    </font>
    <font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</fonts>
  <fills count="8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3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0" borderId="0" pivotButton="0" quotePrefix="0" xfId="0"/>
    <xf numFmtId="0" fontId="9" fillId="0" borderId="0" pivotButton="0" quotePrefix="0" xfId="0"/>
    <xf numFmtId="0" fontId="8" fillId="4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right" vertical="center" wrapText="1"/>
    </xf>
    <xf numFmtId="0" fontId="17" fillId="6" borderId="2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center" vertical="center" wrapText="1"/>
    </xf>
    <xf numFmtId="164" fontId="14" fillId="6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right" vertical="center" wrapText="1"/>
    </xf>
    <xf numFmtId="0" fontId="13" fillId="6" borderId="2" applyAlignment="1" pivotButton="0" quotePrefix="0" xfId="0">
      <alignment horizontal="right" vertical="center" wrapText="1"/>
    </xf>
    <xf numFmtId="0" fontId="8" fillId="7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2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../EspLink/esp_link_nvm.c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#'&#1576;&#1585;&#1606;&#1575;&#1605;&#1607; &#1578;&#1587;&#1578;'!A6" TargetMode="External" Id="rId1" /><Relationship Type="http://schemas.openxmlformats.org/officeDocument/2006/relationships/hyperlink" Target="#'&#1576;&#1585;&#1606;&#1575;&#1605;&#1607; &#1578;&#1587;&#1578;'!A6" TargetMode="External" Id="rId2" /><Relationship Type="http://schemas.openxmlformats.org/officeDocument/2006/relationships/hyperlink" Target="#'&#1576;&#1585;&#1606;&#1575;&#1605;&#1607; &#1578;&#1587;&#1578;'!A6" TargetMode="External" Id="rId3" /><Relationship Type="http://schemas.openxmlformats.org/officeDocument/2006/relationships/hyperlink" Target="#'&#1576;&#1585;&#1606;&#1575;&#1605;&#1607; &#1578;&#1587;&#1578;'!A6" TargetMode="External" Id="rId4" /><Relationship Type="http://schemas.openxmlformats.org/officeDocument/2006/relationships/hyperlink" Target="#'&#1576;&#1585;&#1606;&#1575;&#1605;&#1607; &#1578;&#1587;&#1578;'!A6" TargetMode="External" Id="rId5" /><Relationship Type="http://schemas.openxmlformats.org/officeDocument/2006/relationships/hyperlink" Target="#'&#1576;&#1585;&#1606;&#1575;&#1605;&#1607; &#1578;&#1587;&#1578;'!A6" TargetMode="External" Id="rId6" /><Relationship Type="http://schemas.openxmlformats.org/officeDocument/2006/relationships/hyperlink" Target="../../../esp_link_panel/Tester/host_test_scenario_cards.js" TargetMode="External" Id="rId7" /><Relationship Type="http://schemas.openxmlformats.org/officeDocument/2006/relationships/hyperlink" Target="../EspLink/esp_link.c" TargetMode="External" Id="rId8" /></Relationships>
</file>

<file path=xl/worksheets/_rels/sheet3.xml.rels><Relationships xmlns="http://schemas.openxmlformats.org/package/2006/relationships"><Relationship Type="http://schemas.openxmlformats.org/officeDocument/2006/relationships/hyperlink" Target="cal_lut.c" TargetMode="External" Id="rId1" /><Relationship Type="http://schemas.openxmlformats.org/officeDocument/2006/relationships/hyperlink" Target="cal_lut.c" TargetMode="External" Id="rId2" /></Relationships>
</file>

<file path=xl/worksheets/_rels/sheet7.xml.rels><Relationships xmlns="http://schemas.openxmlformats.org/package/2006/relationships"><Relationship Type="http://schemas.openxmlformats.org/officeDocument/2006/relationships/hyperlink" Target="CalLut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>
      <c r="A1" s="14" t="inlineStr">
        <is>
          <t>برگه تست و اعتبارسنجی عملی ماژول CalLut</t>
        </is>
      </c>
    </row>
    <row r="2">
      <c r="A2" s="15" t="inlineStr">
        <is>
          <t>CalLut | نگهداری جدول کالیبراسیون بنچ در بلوک فلش اختصاصی با CRC32 و بازگشت به جدول کامپایل‌شده</t>
        </is>
      </c>
    </row>
    <row r="3" ht="30" customHeight="1">
      <c r="A3" s="16" t="inlineStr">
        <is>
          <t>هدف فایل</t>
        </is>
      </c>
    </row>
    <row r="4">
      <c r="A4" s="2" t="n"/>
    </row>
    <row r="5">
      <c r="A5" s="15" t="inlineStr">
        <is>
          <t>مسیر ذخیرهٔ جدول کالیبراسیون بنچ در «بلوک فلش مخصوص خودش»: دو صفحهٔ ۱KB در 0x0800F000 و 0x0800F400، پینگ‌پنگ امن در برابر قطع برق، مجیک/نسخه/CRC32 مستقل.</t>
        </is>
      </c>
    </row>
    <row r="6">
      <c r="A6" s="42" t="inlineStr">
        <is>
          <t>هیچ اشتراکی با esp_link_nvm.c جز درایور فلش ندارد؛ پس فرستادن جدول هرگز رکورد پارامترها را خراب نمی‌کند و برعکس.</t>
        </is>
      </c>
    </row>
    <row r="7">
      <c r="A7" s="15" t="inlineStr">
        <is>
          <t>جدول کامپایل‌شده وجود ندارد. وقتی رکورد معتبر در فلش نباشد، خط گین و آفست (پیش‌فرض گین 3000، آفست 0) استفاده می‌شود؛ وقتی رکورد معتبر در فلش باشد از آن استفاده می‌شود.</t>
        </is>
      </c>
    </row>
    <row r="8">
      <c r="A8" s="15" t="inlineStr">
        <is>
          <t>دست‌دادن: LUT_BEGIN → LUT_CHUNK → LUT_COMMIT (با CRC32 پنل) → LUT_ACK (با CRC32 خودِ برد از آنچه در فلش است) → تنها در صورت برابری، LUT_RESET.</t>
        </is>
      </c>
    </row>
    <row r="9">
      <c r="A9" s="15" t="inlineStr">
        <is>
          <t>هدف این برگه: اثبات روی برد که نوشتن، بازخوانی، اعتبارسنجی و بازگشت به پشتیبان همگی همان‌طور کار می‌کنند که هدر ادعا می‌کند.</t>
        </is>
      </c>
    </row>
    <row r="10">
      <c r="A10" s="15" t="inlineStr">
        <is>
          <t>تست Host (کامپایل و اجرا روی PC با شبیه‌سازی RAM) جایگزین این تست‌ها نیست.</t>
        </is>
      </c>
    </row>
  </sheetData>
  <hyperlinks>
    <hyperlink xmlns:r="http://schemas.openxmlformats.org/officeDocument/2006/relationships" ref="A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61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7" t="inlineStr">
        <is>
          <t>برنامهٔ تست عملی — ماژول CalLut</t>
        </is>
      </c>
    </row>
    <row r="2">
      <c r="A2" s="18" t="inlineStr">
        <is>
          <t>وضعیت فقط یکی از: در انتظار / قبول / رد / مسدود / نیاز به تکرار. تست Host جایگزین تست برد نیست.</t>
        </is>
      </c>
    </row>
    <row r="3">
      <c r="A3" s="18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16" t="inlineStr">
        <is>
          <t>شناسه</t>
        </is>
      </c>
      <c r="B4" s="16" t="inlineStr">
        <is>
          <t>دسته</t>
        </is>
      </c>
      <c r="C4" s="16" t="inlineStr">
        <is>
          <t>اولویت</t>
        </is>
      </c>
      <c r="D4" s="16" t="inlineStr">
        <is>
          <t>پیش‌شرط</t>
        </is>
      </c>
      <c r="E4" s="16" t="inlineStr">
        <is>
          <t>روش اجرای دقیق</t>
        </is>
      </c>
      <c r="F4" s="16" t="inlineStr">
        <is>
          <t>ورودی‌ها / شرایط</t>
        </is>
      </c>
      <c r="G4" s="16" t="inlineStr">
        <is>
          <t>مدت مشاهده</t>
        </is>
      </c>
      <c r="H4" s="16" t="inlineStr">
        <is>
          <t>رفتار مورد انتظار</t>
        </is>
      </c>
      <c r="I4" s="16" t="inlineStr">
        <is>
          <t>وضعیت حفظ / latch</t>
        </is>
      </c>
      <c r="J4" s="16" t="inlineStr">
        <is>
          <t>معیار قبولی</t>
        </is>
      </c>
      <c r="K4" s="16" t="inlineStr">
        <is>
          <t>نتیجهٔ واقعی / اندازه‌گیری</t>
        </is>
      </c>
      <c r="L4" s="16" t="inlineStr">
        <is>
          <t>وضعیت</t>
        </is>
      </c>
      <c r="M4" s="16" t="inlineStr">
        <is>
          <t>شرح ایراد / تفاوت</t>
        </is>
      </c>
      <c r="N4" s="16" t="inlineStr">
        <is>
          <t>مدرک تست / scope</t>
        </is>
      </c>
      <c r="O4" s="16" t="inlineStr">
        <is>
          <t>commit</t>
        </is>
      </c>
      <c r="P4" s="16" t="inlineStr">
        <is>
          <t>نام تست‌کننده</t>
        </is>
      </c>
      <c r="Q4" s="16" t="inlineStr">
        <is>
          <t>تاریخ</t>
        </is>
      </c>
    </row>
    <row r="5" ht="54" customHeight="1">
      <c r="A5" s="19" t="inlineStr">
        <is>
          <t>CL-001</t>
        </is>
      </c>
      <c r="B5" s="20" t="inlineStr">
        <is>
          <t>بوت بدون رکورد</t>
        </is>
      </c>
      <c r="C5" s="21" t="inlineStr">
        <is>
          <t>بالا</t>
        </is>
      </c>
      <c r="D5" s="20" t="inlineStr">
        <is>
          <t>برد پاک یا دو صفحهٔ LUT پاک‌شده</t>
        </is>
      </c>
      <c r="E5" s="20" t="inlineStr">
        <is>
          <t>گام ۱: مطمئن شو هیچ جدولی از پنل فرستاده نشده و فلش LUT خالی است (همهٔ خانه‌ها 65535).
گام ۲: برد را روشن کن و صبر کن بوت کامل شود.
گام ۳: از پنل ببین هر دو کانال جدول فعال ندارند (Active هر دو false است).
گام ۴: جریان خوانده‌شدهٔ هر دو کانال را با همان بردی که ماژول LUT نداشت مقایسه کن؛ باید دقیقاً یکی باشد، چون مسیر اندازه‌گیری از خط گین و آفست استفاده می‌کند.</t>
        </is>
      </c>
      <c r="F5" s="22" t="inlineStr">
        <is>
          <t>فلش LUT خالی (65535 = خانهٔ پاک‌شدهٔ فلش)</t>
        </is>
      </c>
      <c r="G5" s="22" t="inlineStr">
        <is>
          <t>یک بوت</t>
        </is>
      </c>
      <c r="H5" s="20" t="inlineStr">
        <is>
          <t>func__CalLut_Active هر دو کانال false؛ مسیر اندازه‌گیری از خط گین و آفست استفاده می‌کند</t>
        </is>
      </c>
      <c r="I5" s="20" t="inlineStr">
        <is>
          <t>بدون latch</t>
        </is>
      </c>
      <c r="J5" s="20" t="inlineStr">
        <is>
          <t>خوانش جریان دقیقاً برابر نسخهٔ پیش از افزودن ماژول</t>
        </is>
      </c>
      <c r="K5" s="20" t="inlineStr">
        <is>
          <t>در انتظار</t>
        </is>
      </c>
      <c r="L5" s="23" t="inlineStr">
        <is>
          <t>در انتظار</t>
        </is>
      </c>
      <c r="M5" s="20" t="n"/>
      <c r="N5" s="20" t="inlineStr">
        <is>
          <t>TESTER: fill</t>
        </is>
      </c>
      <c r="O5" s="22" t="inlineStr">
        <is>
          <t>TESTER: fill</t>
        </is>
      </c>
      <c r="P5" s="22" t="inlineStr">
        <is>
          <t>TESTER: fill</t>
        </is>
      </c>
      <c r="Q5" s="24" t="inlineStr">
        <is>
          <t>2026-10-05</t>
        </is>
      </c>
    </row>
    <row r="6" ht="67.5" customHeight="1">
      <c r="A6" s="19" t="inlineStr">
        <is>
          <t>CL-002</t>
        </is>
      </c>
      <c r="B6" s="25" t="inlineStr">
        <is>
          <t>push سالم کانال ۱</t>
        </is>
      </c>
      <c r="C6" s="26" t="inlineStr">
        <is>
          <t>بالا</t>
        </is>
      </c>
      <c r="D6" s="25" t="inlineStr">
        <is>
          <t>لینک ESP برقرار</t>
        </is>
      </c>
      <c r="E6" s="25" t="inlineStr">
        <is>
          <t>گام ۱: لینک ESP را وصل کن و پنل را باز کن.
گام ۲: برای کانال ۱ یک جدول 17 تا 21 نقطه‌ای بساز و ارسال کن (اول LUT_BEGIN، بعد چانک‌ها، در آخر COMMIT).
گام ۳: پاسخ برد را بخوان: وضعیت باید 0 باشد (CAL_LUT_ST_OK).
گام ۴: CRC32 جدول در پنل و CRC32 گزارش‌شدهٔ برد را مقایسه کن؛ باید برابر باشند.
گام ۵: فرمان LUT_RESET را بفرست و بعد از بالا آمدن برد ببین جدول کانال ۱ فعال شده است (Active = true).</t>
        </is>
      </c>
      <c r="F6" s="27" t="inlineStr">
        <is>
          <t>LUT_BEGIN + CHUNKها + COMMIT با CRC32 درست</t>
        </is>
      </c>
      <c r="G6" s="27" t="inlineStr">
        <is>
          <t>یک تبادل</t>
        </is>
      </c>
      <c r="H6" s="25" t="inlineStr">
        <is>
          <t>LUT_ACK با CAL_LUT_ST_OK و CRC32 برابر CRC پنل</t>
        </is>
      </c>
      <c r="I6" s="25" t="inlineStr">
        <is>
          <t>رکورد در فلش می‌ماند</t>
        </is>
      </c>
      <c r="J6" s="25" t="inlineStr">
        <is>
          <t>status=0 و دو CRC32 برابر؛ پس از LUT_RESET، Active کانال ۱ = true</t>
        </is>
      </c>
      <c r="K6" s="25" t="inlineStr">
        <is>
          <t>در انتظار</t>
        </is>
      </c>
      <c r="L6" s="23" t="inlineStr">
        <is>
          <t>در انتظار</t>
        </is>
      </c>
      <c r="M6" s="25" t="n"/>
      <c r="N6" s="25" t="inlineStr">
        <is>
          <t>TESTER: fill</t>
        </is>
      </c>
      <c r="O6" s="27" t="inlineStr">
        <is>
          <t>TESTER: fill</t>
        </is>
      </c>
      <c r="P6" s="27" t="inlineStr">
        <is>
          <t>TESTER: fill</t>
        </is>
      </c>
      <c r="Q6" s="28" t="inlineStr">
        <is>
          <t>2026-10-05</t>
        </is>
      </c>
    </row>
    <row r="7" ht="54" customHeight="1">
      <c r="A7" s="19" t="inlineStr">
        <is>
          <t>CL-003</t>
        </is>
      </c>
      <c r="B7" s="20" t="inlineStr">
        <is>
          <t>ماندگاری پس از قطع برق</t>
        </is>
      </c>
      <c r="C7" s="21" t="inlineStr">
        <is>
          <t>بالا</t>
        </is>
      </c>
      <c r="D7" s="29" t="inlineStr">
        <is>
          <t>CL-002 قبول</t>
        </is>
      </c>
      <c r="E7" s="29" t="inlineStr">
        <is>
          <t>گام ۱: اول تست CL-002 را قبول کن تا یک جدول سالم روی برد فعال باشد و CRC32 آن را یادداشت کن.
گام ۲: تغذیهٔ برد را کاملاً قطع کن (فقط ریست نرم کافی نیست) و دوباره وصل کن.
گام ۳: بعد از بوت، CRC32 جدول فعال را از برد بخوان و با مقدار یادداشت‌شده مقایسه کن.
گام ۴: قطع و وصل کامل را 3 بار تکرار کن؛ هر سه بار CRC32 باید همان مقدار قبلی باشد.</t>
        </is>
      </c>
      <c r="F7" s="22" t="inlineStr">
        <is>
          <t>قطع کامل تغذیه</t>
        </is>
      </c>
      <c r="G7" s="22" t="inlineStr">
        <is>
          <t>۳ بار</t>
        </is>
      </c>
      <c r="H7" s="20" t="inlineStr">
        <is>
          <t>رکورد سالم بازخوانی می‌شود و جدول فلش دوباره فعال است</t>
        </is>
      </c>
      <c r="I7" s="20" t="inlineStr">
        <is>
          <t>ماندگار</t>
        </is>
      </c>
      <c r="J7" s="20" t="inlineStr">
        <is>
          <t>func__CalLut_ActiveCrc32 بعد از هر بوت همان مقدار قبل است</t>
        </is>
      </c>
      <c r="K7" s="20" t="inlineStr">
        <is>
          <t>در انتظار</t>
        </is>
      </c>
      <c r="L7" s="23" t="inlineStr">
        <is>
          <t>در انتظار</t>
        </is>
      </c>
      <c r="M7" s="20" t="n"/>
      <c r="N7" s="20" t="inlineStr">
        <is>
          <t>TESTER: fill</t>
        </is>
      </c>
      <c r="O7" s="22" t="inlineStr">
        <is>
          <t>TESTER: fill</t>
        </is>
      </c>
      <c r="P7" s="22" t="inlineStr">
        <is>
          <t>TESTER: fill</t>
        </is>
      </c>
      <c r="Q7" s="24" t="inlineStr">
        <is>
          <t>2026-10-05</t>
        </is>
      </c>
    </row>
    <row r="8" ht="54" customHeight="1">
      <c r="A8" s="19" t="inlineStr">
        <is>
          <t>CL-004</t>
        </is>
      </c>
      <c r="B8" s="25" t="inlineStr">
        <is>
          <t>CRC ناهمخوان</t>
        </is>
      </c>
      <c r="C8" s="26" t="inlineStr">
        <is>
          <t>بالا</t>
        </is>
      </c>
      <c r="D8" s="25" t="inlineStr">
        <is>
          <t>لینک برقرار</t>
        </is>
      </c>
      <c r="E8" s="25" t="inlineStr">
        <is>
          <t>گام ۱: لینک ESP را وصل کن و CRC32 جدول فعال فعلی را یادداشت کن.
گام ۲: یک جدول بفرست ولی در مرحلهٔ COMMIT عمداً CRC32 اشتباه بده (با CRC واقعی جدول یکی نباشد).
گام ۳: پاسخ برد را بخوان: وضعیت باید 6 باشد (CAL_LUT_ST_CRC) و commit رد شود.
گام ۴: CRC32 جدول فعال را دوباره بخوان؛ باید با گام ۱ یکی باشد، یعنی فلش دست‌نخورده مانده است.</t>
        </is>
      </c>
      <c r="F8" s="27" t="inlineStr">
        <is>
          <t>CRC پنل ≠ CRC چیده‌شده</t>
        </is>
      </c>
      <c r="G8" s="27" t="inlineStr">
        <is>
          <t>یک تبادل</t>
        </is>
      </c>
      <c r="H8" s="25" t="inlineStr">
        <is>
          <t>رد شدن commit با CAL_LUT_ST_CRC؛ فلش دست‌نخورده</t>
        </is>
      </c>
      <c r="I8" s="25" t="inlineStr">
        <is>
          <t>رکورد قبلی حفظ</t>
        </is>
      </c>
      <c r="J8" s="25" t="inlineStr">
        <is>
          <t>status=6 و ActiveCrc32 تغییر نکرده</t>
        </is>
      </c>
      <c r="K8" s="25" t="inlineStr">
        <is>
          <t>در انتظار</t>
        </is>
      </c>
      <c r="L8" s="23" t="inlineStr">
        <is>
          <t>در انتظار</t>
        </is>
      </c>
      <c r="M8" s="25" t="n"/>
      <c r="N8" s="25" t="inlineStr">
        <is>
          <t>TESTER: fill</t>
        </is>
      </c>
      <c r="O8" s="27" t="inlineStr">
        <is>
          <t>TESTER: fill</t>
        </is>
      </c>
      <c r="P8" s="27" t="inlineStr">
        <is>
          <t>TESTER: fill</t>
        </is>
      </c>
      <c r="Q8" s="28" t="inlineStr">
        <is>
          <t>2026-10-05</t>
        </is>
      </c>
    </row>
    <row r="9" ht="54" customHeight="1">
      <c r="A9" s="19" t="inlineStr">
        <is>
          <t>CL-005</t>
        </is>
      </c>
      <c r="B9" s="20" t="inlineStr">
        <is>
          <t>محور صعودی نبودن</t>
        </is>
      </c>
      <c r="C9" s="21" t="inlineStr">
        <is>
          <t>بالا</t>
        </is>
      </c>
      <c r="D9" s="20" t="inlineStr">
        <is>
          <t>لینک برقرار</t>
        </is>
      </c>
      <c r="E9" s="20" t="inlineStr">
        <is>
          <t>گام ۱: لینک ESP را وصل کن.
گام ۲: جدولی بساز که محور زنجیره‌اش (ChainMa) صعودیِ اکید نباشد؛ مثلاً یک نقطهٔ تکراری یا یک نقطه کمتر از قبلی بگذار.
گام ۳: جدول را کامل بفرست و COMMIT کن.
گام ۴: پاسخ برد را بخوان: وضعیت باید 4 باشد (CAL_LUT_ST_CHAIN) و جدول نباید فعال شود.</t>
        </is>
      </c>
      <c r="F9" s="22" t="inlineStr">
        <is>
          <t>نقطهٔ تکراری یا نزولی در ChainMa</t>
        </is>
      </c>
      <c r="G9" s="22" t="inlineStr">
        <is>
          <t>یک تبادل</t>
        </is>
      </c>
      <c r="H9" s="20" t="inlineStr">
        <is>
          <t>رد با CAL_LUT_ST_CHAIN</t>
        </is>
      </c>
      <c r="I9" s="20" t="inlineStr">
        <is>
          <t>بدون تغییر فلش</t>
        </is>
      </c>
      <c r="J9" s="20" t="inlineStr">
        <is>
          <t>status=4</t>
        </is>
      </c>
      <c r="K9" s="20" t="inlineStr">
        <is>
          <t>در انتظار</t>
        </is>
      </c>
      <c r="L9" s="23" t="inlineStr">
        <is>
          <t>در انتظار</t>
        </is>
      </c>
      <c r="M9" s="20" t="n"/>
      <c r="N9" s="20" t="inlineStr">
        <is>
          <t>TESTER: fill</t>
        </is>
      </c>
      <c r="O9" s="22" t="inlineStr">
        <is>
          <t>TESTER: fill</t>
        </is>
      </c>
      <c r="P9" s="22" t="inlineStr">
        <is>
          <t>TESTER: fill</t>
        </is>
      </c>
      <c r="Q9" s="24" t="inlineStr">
        <is>
          <t>2026-10-05</t>
        </is>
      </c>
    </row>
    <row r="10" ht="54" customHeight="1">
      <c r="A10" s="19" t="inlineStr">
        <is>
          <t>CL-006</t>
        </is>
      </c>
      <c r="B10" s="25" t="inlineStr">
        <is>
          <t>افت محور جریان</t>
        </is>
      </c>
      <c r="C10" s="27" t="inlineStr">
        <is>
          <t>متوسط</t>
        </is>
      </c>
      <c r="D10" s="25" t="inlineStr">
        <is>
          <t>لینک برقرار</t>
        </is>
      </c>
      <c r="E10" s="25" t="inlineStr">
        <is>
          <t>گام ۱: لینک ESP را وصل کن.
گام ۲: جدولی بساز که جریان باتری در یکی از نقطه‌ها از نقطهٔ قبلی کمتر باشد (افت داشته باشد).
گام ۳: جدول را کامل بفرست و COMMIT کن.
گام ۴: پاسخ برد را بخوان: وضعیت باید 5 باشد (CAL_LUT_ST_DIP) و جدول نباید فعال شود.</t>
        </is>
      </c>
      <c r="F10" s="27" t="inlineStr">
        <is>
          <t>نقطه‌ای کمتر از نقطهٔ قبل</t>
        </is>
      </c>
      <c r="G10" s="27" t="inlineStr">
        <is>
          <t>یک تبادل</t>
        </is>
      </c>
      <c r="H10" s="25" t="inlineStr">
        <is>
          <t>رد با CAL_LUT_ST_DIP (جریان باتری افت دارد)</t>
        </is>
      </c>
      <c r="I10" s="25" t="inlineStr">
        <is>
          <t>بدون تغییر فلش</t>
        </is>
      </c>
      <c r="J10" s="25" t="inlineStr">
        <is>
          <t>status=5</t>
        </is>
      </c>
      <c r="K10" s="25" t="inlineStr">
        <is>
          <t>در انتظار</t>
        </is>
      </c>
      <c r="L10" s="23" t="inlineStr">
        <is>
          <t>در انتظار</t>
        </is>
      </c>
      <c r="M10" s="25" t="n"/>
      <c r="N10" s="25" t="inlineStr">
        <is>
          <t>TESTER: fill</t>
        </is>
      </c>
      <c r="O10" s="27" t="inlineStr">
        <is>
          <t>TESTER: fill</t>
        </is>
      </c>
      <c r="P10" s="27" t="inlineStr">
        <is>
          <t>TESTER: fill</t>
        </is>
      </c>
      <c r="Q10" s="28" t="inlineStr">
        <is>
          <t>2026-10-05</t>
        </is>
      </c>
    </row>
    <row r="11" ht="54" customHeight="1">
      <c r="A11" s="19" t="inlineStr">
        <is>
          <t>CL-007</t>
        </is>
      </c>
      <c r="B11" s="20" t="inlineStr">
        <is>
          <t>تعداد نقاط نامعتبر</t>
        </is>
      </c>
      <c r="C11" s="22" t="inlineStr">
        <is>
          <t>متوسط</t>
        </is>
      </c>
      <c r="D11" s="20" t="inlineStr">
        <is>
          <t>لینک برقرار</t>
        </is>
      </c>
      <c r="E11" s="20" t="inlineStr">
        <is>
          <t>گام ۱: لینک ESP را وصل کن.
گام ۲: یک جدول فقط با 1 نقطه بفرست و COMMIT کن؛ پاسخ را بخوان.
گام ۳: یک جدول با 25 نقطه بفرست و COMMIT کن؛ پاسخ را بخوان.
گام ۴: هر دو بار وضعیت باید 2 باشد (CAL_LUT_ST_COUNT)، چون تعداد نقطهٔ مجاز 2 تا 24 است.</t>
        </is>
      </c>
      <c r="F11" s="22" t="inlineStr">
        <is>
          <t>points &lt; 2 یا &gt; 24</t>
        </is>
      </c>
      <c r="G11" s="22" t="inlineStr">
        <is>
          <t>دو تبادل</t>
        </is>
      </c>
      <c r="H11" s="20" t="inlineStr">
        <is>
          <t>هر دو با CAL_LUT_ST_COUNT رد می‌شوند</t>
        </is>
      </c>
      <c r="I11" s="20" t="inlineStr">
        <is>
          <t>بدون تغییر فلش</t>
        </is>
      </c>
      <c r="J11" s="20" t="inlineStr">
        <is>
          <t>status=2 در هر دو</t>
        </is>
      </c>
      <c r="K11" s="20" t="inlineStr">
        <is>
          <t>در انتظار</t>
        </is>
      </c>
      <c r="L11" s="23" t="inlineStr">
        <is>
          <t>در انتظار</t>
        </is>
      </c>
      <c r="M11" s="20" t="n"/>
      <c r="N11" s="20" t="inlineStr">
        <is>
          <t>TESTER: fill</t>
        </is>
      </c>
      <c r="O11" s="22" t="inlineStr">
        <is>
          <t>TESTER: fill</t>
        </is>
      </c>
      <c r="P11" s="22" t="inlineStr">
        <is>
          <t>TESTER: fill</t>
        </is>
      </c>
      <c r="Q11" s="24" t="inlineStr">
        <is>
          <t>2026-10-05</t>
        </is>
      </c>
    </row>
    <row r="12" ht="54" customHeight="1">
      <c r="A12" s="19" t="inlineStr">
        <is>
          <t>CL-008</t>
        </is>
      </c>
      <c r="B12" s="25" t="inlineStr">
        <is>
          <t>تکهٔ گم‌شده</t>
        </is>
      </c>
      <c r="C12" s="27" t="inlineStr">
        <is>
          <t>متوسط</t>
        </is>
      </c>
      <c r="D12" s="25" t="inlineStr">
        <is>
          <t>لینک برقرار</t>
        </is>
      </c>
      <c r="E12" s="25" t="inlineStr">
        <is>
          <t>گام ۱: لینک ESP را وصل کن و یک جدول چندچانکه آماده کن.
گام ۲: همهٔ چانک‌ها را بفرست به‌جز یکی؛ عمداً یک چانک را نفرست.
گام ۳: COMMIT را بفرست.
گام ۴: پاسخ برد را بخوان: وضعیت باید 3 باشد (CAL_LUT_ST_MISSING) و هیچ جدولی فعال نشود.</t>
        </is>
      </c>
      <c r="F12" s="27" t="inlineStr">
        <is>
          <t>یک تکه نرسیده</t>
        </is>
      </c>
      <c r="G12" s="27" t="inlineStr">
        <is>
          <t>یک تبادل</t>
        </is>
      </c>
      <c r="H12" s="25" t="inlineStr">
        <is>
          <t>رد با CAL_LUT_ST_MISSING</t>
        </is>
      </c>
      <c r="I12" s="25" t="inlineStr">
        <is>
          <t>بدون تغییر فلش</t>
        </is>
      </c>
      <c r="J12" s="25" t="inlineStr">
        <is>
          <t>status=3</t>
        </is>
      </c>
      <c r="K12" s="25" t="inlineStr">
        <is>
          <t>در انتظار</t>
        </is>
      </c>
      <c r="L12" s="23" t="inlineStr">
        <is>
          <t>در انتظار</t>
        </is>
      </c>
      <c r="M12" s="25" t="n"/>
      <c r="N12" s="25" t="inlineStr">
        <is>
          <t>TESTER: fill</t>
        </is>
      </c>
      <c r="O12" s="27" t="inlineStr">
        <is>
          <t>TESTER: fill</t>
        </is>
      </c>
      <c r="P12" s="27" t="inlineStr">
        <is>
          <t>TESTER: fill</t>
        </is>
      </c>
      <c r="Q12" s="28" t="inlineStr">
        <is>
          <t>2026-10-05</t>
        </is>
      </c>
    </row>
    <row r="13" ht="40.5" customHeight="1">
      <c r="A13" s="19" t="inlineStr">
        <is>
          <t>CL-009</t>
        </is>
      </c>
      <c r="B13" s="20" t="inlineStr">
        <is>
          <t>commit بدون begin</t>
        </is>
      </c>
      <c r="C13" s="22" t="inlineStr">
        <is>
          <t>پایین</t>
        </is>
      </c>
      <c r="D13" s="20" t="inlineStr">
        <is>
          <t>لینک برقرار</t>
        </is>
      </c>
      <c r="E13" s="20" t="inlineStr">
        <is>
          <t>گام ۱: لینک ESP را وصل کن.
گام ۲: بدون اینکه LUT_BEGIN بفرستی، مستقیم COMMIT بفرست.
گام ۳: پاسخ برد را بخوان: وضعیت باید 1 باشد (CAL_LUT_ST_NO_STAGE) و هیچ اتفاقی برای جدول فعال نیفتد.</t>
        </is>
      </c>
      <c r="F13" s="22" t="inlineStr">
        <is>
          <t>بدون مرحلهٔ چیدن</t>
        </is>
      </c>
      <c r="G13" s="22" t="inlineStr">
        <is>
          <t>یک تبادل</t>
        </is>
      </c>
      <c r="H13" s="20" t="inlineStr">
        <is>
          <t>رد با CAL_LUT_ST_NO_STAGE</t>
        </is>
      </c>
      <c r="I13" s="20" t="inlineStr">
        <is>
          <t>بدون تغییر فلش</t>
        </is>
      </c>
      <c r="J13" s="20" t="inlineStr">
        <is>
          <t>status=1</t>
        </is>
      </c>
      <c r="K13" s="20" t="inlineStr">
        <is>
          <t>در انتظار</t>
        </is>
      </c>
      <c r="L13" s="23" t="inlineStr">
        <is>
          <t>در انتظار</t>
        </is>
      </c>
      <c r="M13" s="20" t="n"/>
      <c r="N13" s="20" t="inlineStr">
        <is>
          <t>TESTER: fill</t>
        </is>
      </c>
      <c r="O13" s="22" t="inlineStr">
        <is>
          <t>TESTER: fill</t>
        </is>
      </c>
      <c r="P13" s="22" t="inlineStr">
        <is>
          <t>TESTER: fill</t>
        </is>
      </c>
      <c r="Q13" s="24" t="inlineStr">
        <is>
          <t>2026-10-05</t>
        </is>
      </c>
    </row>
    <row r="14" ht="54" customHeight="1">
      <c r="A14" s="19" t="inlineStr">
        <is>
          <t>CL-010</t>
        </is>
      </c>
      <c r="B14" s="25" t="inlineStr">
        <is>
          <t>قطع برق وسط نوشتن</t>
        </is>
      </c>
      <c r="C14" s="26" t="inlineStr">
        <is>
          <t>بالا</t>
        </is>
      </c>
      <c r="D14" s="30" t="inlineStr">
        <is>
          <t>CL-002 قبول</t>
        </is>
      </c>
      <c r="E14" s="30" t="inlineStr">
        <is>
          <t>گام ۱: اول یک جدول سالم commit کن (CL-002) و CRC32 آن را یادداشت کن.
گام ۲: یک جدول تازه بفرست و دقیقاً وسط COMMIT (موقع پاک/نوشتن فلش) تغذیهٔ برد را قطع کن.
گام ۳: تغذیه را وصل کن و بعد از بوت، جدول فعال و CRC32 آن را بخوان: یا باید جدول قبلی سالم باشد یا جدول جدید کامل نشسته باشد؛ حالت سوم (نیمه‌کاره) هرگز نباید دیده شود.
گام ۴: این کار را 5 بار تکرار کن و هر بار بعد از بوت سالم‌بودن رکورد فعال (RecordValidate = true) را بررسی کن.</t>
        </is>
      </c>
      <c r="F14" s="27" t="inlineStr">
        <is>
          <t>قطع برق حین erase/program</t>
        </is>
      </c>
      <c r="G14" s="27" t="inlineStr">
        <is>
          <t>۵ تکرار</t>
        </is>
      </c>
      <c r="H14" s="25" t="inlineStr">
        <is>
          <t>یا رکورد قبلی سالم می‌ماند یا رکورد جدید کامل؛ هرگز حالت سوم</t>
        </is>
      </c>
      <c r="I14" s="25" t="inlineStr">
        <is>
          <t>پینگ‌پنگ</t>
        </is>
      </c>
      <c r="J14" s="25" t="inlineStr">
        <is>
          <t>پس از هر بوت، RecordValidate روی رکورد فعال true است</t>
        </is>
      </c>
      <c r="K14" s="25" t="inlineStr">
        <is>
          <t>در انتظار</t>
        </is>
      </c>
      <c r="L14" s="23" t="inlineStr">
        <is>
          <t>در انتظار</t>
        </is>
      </c>
      <c r="M14" s="25" t="n"/>
      <c r="N14" s="25" t="inlineStr">
        <is>
          <t>TESTER: fill</t>
        </is>
      </c>
      <c r="O14" s="27" t="inlineStr">
        <is>
          <t>TESTER: fill</t>
        </is>
      </c>
      <c r="P14" s="27" t="inlineStr">
        <is>
          <t>TESTER: fill</t>
        </is>
      </c>
      <c r="Q14" s="28" t="inlineStr">
        <is>
          <t>2026-10-05</t>
        </is>
      </c>
    </row>
    <row r="15" ht="54" customHeight="1">
      <c r="A15" s="19" t="inlineStr">
        <is>
          <t>CL-011</t>
        </is>
      </c>
      <c r="B15" s="20" t="inlineStr">
        <is>
          <t>استقلال از NVM پارامترها</t>
        </is>
      </c>
      <c r="C15" s="21" t="inlineStr">
        <is>
          <t>بالا</t>
        </is>
      </c>
      <c r="D15" s="20" t="inlineStr">
        <is>
          <t>چند پارامتر غیرپیش‌فرض ذخیره شده</t>
        </is>
      </c>
      <c r="E15" s="20" t="inlineStr">
        <is>
          <t>گام ۱: چند پارامتر را از پنل از مقدار پیش‌فرض تغییر بده و ذخیره کن؛ مقدارها را یادداشت کن.
گام ۲: یک جدول LUT کامل push کن و commit کن.
گام ۳: دوباره یک پارامتر را تغییر و ذخیره کن و یک جدول دیگر push کن (هر دو مسیر ذخیره پشت سر هم).
گام ۴: برد را ری‌استارت کن و همهٔ پارامترها و جدول را بخوان؛ هیچ‌کدام نباید دیگری را خراب کرده باشد و همه باید با مقدارهای یادداشت‌شده یکی باشند.</t>
        </is>
      </c>
      <c r="F15" s="22" t="inlineStr">
        <is>
          <t>دو مسیر ذخیره‌سازی پشت سر هم</t>
        </is>
      </c>
      <c r="G15" s="22" t="inlineStr">
        <is>
          <t>دو چرخه</t>
        </is>
      </c>
      <c r="H15" s="20" t="inlineStr">
        <is>
          <t>هیچ‌کدام دیگری را خراب نمی‌کند</t>
        </is>
      </c>
      <c r="I15" s="20" t="inlineStr">
        <is>
          <t>هر دو ماندگار</t>
        </is>
      </c>
      <c r="J15" s="20" t="inlineStr">
        <is>
          <t>همهٔ پارامترها و جدول پس از بوت صحیح‌اند</t>
        </is>
      </c>
      <c r="K15" s="20" t="inlineStr">
        <is>
          <t>در انتظار</t>
        </is>
      </c>
      <c r="L15" s="23" t="inlineStr">
        <is>
          <t>در انتظار</t>
        </is>
      </c>
      <c r="M15" s="20" t="n"/>
      <c r="N15" s="20" t="inlineStr">
        <is>
          <t>TESTER: fill</t>
        </is>
      </c>
      <c r="O15" s="22" t="inlineStr">
        <is>
          <t>TESTER: fill</t>
        </is>
      </c>
      <c r="P15" s="22" t="inlineStr">
        <is>
          <t>TESTER: fill</t>
        </is>
      </c>
      <c r="Q15" s="24" t="inlineStr">
        <is>
          <t>2026-10-05</t>
        </is>
      </c>
    </row>
    <row r="16" ht="54" customHeight="1">
      <c r="A16" s="19" t="inlineStr">
        <is>
          <t>CL-012</t>
        </is>
      </c>
      <c r="B16" s="25" t="inlineStr">
        <is>
          <t>idle شدن شارژر هنگام ریست</t>
        </is>
      </c>
      <c r="C16" s="26" t="inlineStr">
        <is>
          <t>بالا</t>
        </is>
      </c>
      <c r="D16" s="25" t="inlineStr">
        <is>
          <t>جدول فعال، شارژ در جریان</t>
        </is>
      </c>
      <c r="E16" s="25" t="inlineStr">
        <is>
          <t>گام ۱: یک جدول فعال کن و شارژ را در حالت BULK راه بینداز تا کانال در حال شارژ PWM داشته باشد.
گام ۲: اسیلوسکوپ را روی گیت همان کانال بگذار.
گام ۳: حین شارژ فرمان LUT_RESET را بفرست.
گام ۴: روی اسکوپ ببین که پیش از ریست، duty اول صفر شده و شارژر idle شده باشد؛ ریست نباید وسط پالس اتفاق بیفتد.</t>
        </is>
      </c>
      <c r="F16" s="27" t="inlineStr">
        <is>
          <t>درخواست ریست با PWM فعال</t>
        </is>
      </c>
      <c r="G16" s="27" t="inlineStr">
        <is>
          <t>یک تبادل</t>
        </is>
      </c>
      <c r="H16" s="25" t="inlineStr">
        <is>
          <t>قبل از ریست هر دو دیوتی صفر و شارژر idle می‌شود</t>
        </is>
      </c>
      <c r="I16" s="25" t="inlineStr">
        <is>
          <t>بدون latch</t>
        </is>
      </c>
      <c r="J16" s="25" t="inlineStr">
        <is>
          <t>اسیلوسکوپ روی گیت: صفر پیش از ریست</t>
        </is>
      </c>
      <c r="K16" s="25" t="inlineStr">
        <is>
          <t>در انتظار</t>
        </is>
      </c>
      <c r="L16" s="23" t="inlineStr">
        <is>
          <t>در انتظار</t>
        </is>
      </c>
      <c r="M16" s="25" t="n"/>
      <c r="N16" s="25" t="inlineStr">
        <is>
          <t>TESTER: fill</t>
        </is>
      </c>
      <c r="O16" s="27" t="inlineStr">
        <is>
          <t>TESTER: fill</t>
        </is>
      </c>
      <c r="P16" s="27" t="inlineStr">
        <is>
          <t>TESTER: fill</t>
        </is>
      </c>
      <c r="Q16" s="28" t="inlineStr">
        <is>
          <t>2026-10-05</t>
        </is>
      </c>
    </row>
    <row r="17" ht="54" customHeight="1">
      <c r="A17" s="19" t="inlineStr">
        <is>
          <t>CL-013</t>
        </is>
      </c>
      <c r="B17" s="20" t="inlineStr">
        <is>
          <t>تغییر نسخهٔ قالب</t>
        </is>
      </c>
      <c r="C17" s="22" t="inlineStr">
        <is>
          <t>پایین</t>
        </is>
      </c>
      <c r="D17" s="20" t="inlineStr">
        <is>
          <t>رکورد معتبر نسخهٔ ۱</t>
        </is>
      </c>
      <c r="E17" s="20" t="inlineStr">
        <is>
          <t>گام ۱: روی برد یک رکورد LUT معتبر با نسخهٔ 1 داشته باش (قبلاً commit شده باشد).
گام ۲: ثابت CAL_LUT_VERSION را در کد بالا ببر و فرم‌ور جدید را روی همان برد فلش کن.
گام ۳: برد را بوت کن و وضعیت جدول فعال را بخوان.
گام ۴: باید جدول فعال نباشد (Active = false) و خوانش جریان به جدول کامپایل‌شده (خط گین و آفست) برگشته باشد.</t>
        </is>
      </c>
      <c r="F17" s="22" t="inlineStr">
        <is>
          <t>نسخهٔ رکورد قدیمی</t>
        </is>
      </c>
      <c r="G17" s="22" t="inlineStr">
        <is>
          <t>یک بوت</t>
        </is>
      </c>
      <c r="H17" s="20" t="inlineStr">
        <is>
          <t>رکورد قدیمی نامعتبر و بازگشت به جدول کامپایل‌شده</t>
        </is>
      </c>
      <c r="I17" s="20" t="inlineStr">
        <is>
          <t>بدون نیم‌ارتقای بی‌صدا</t>
        </is>
      </c>
      <c r="J17" s="20" t="inlineStr">
        <is>
          <t>Active=false و خوانش‌ها برابر خط گین و آفست</t>
        </is>
      </c>
      <c r="K17" s="20" t="inlineStr">
        <is>
          <t>در انتظار</t>
        </is>
      </c>
      <c r="L17" s="23" t="inlineStr">
        <is>
          <t>در انتظار</t>
        </is>
      </c>
      <c r="M17" s="20" t="n"/>
      <c r="N17" s="20" t="inlineStr">
        <is>
          <t>TESTER: fill</t>
        </is>
      </c>
      <c r="O17" s="22" t="inlineStr">
        <is>
          <t>TESTER: fill</t>
        </is>
      </c>
      <c r="P17" s="22" t="inlineStr">
        <is>
          <t>TESTER: fill</t>
        </is>
      </c>
      <c r="Q17" s="24" t="inlineStr">
        <is>
          <t>2026-10-05</t>
        </is>
      </c>
    </row>
    <row r="18" ht="54" customHeight="1">
      <c r="A18" s="19" t="inlineStr">
        <is>
          <t>CL-014</t>
        </is>
      </c>
      <c r="B18" s="25" t="inlineStr">
        <is>
          <t>LUT_READ بازخوانی واقعی هر دو کانال</t>
        </is>
      </c>
      <c r="C18" s="26" t="inlineStr">
        <is>
          <t>بالا</t>
        </is>
      </c>
      <c r="D18" s="25" t="inlineStr">
        <is>
          <t>رکورد LUT فعال در فلش یا جدول تازه commit شده</t>
        </is>
      </c>
      <c r="E18" s="25" t="inlineStr">
        <is>
          <t>گام ۱: یک جدول فعال روی فلش داشته باش (یا تازه commit کن) و نقاط هر دو کانال را از پنل یادداشت کن.
گام ۲: از لینک ESP فرمان LUT_READ بفرست.
گام ۳: داده‌های برگشتی (LUT_DATA کانال ۱ و ۲) را نقطه‌به‌نقطه با نقاط فعال مقایسه کن؛ کانال بدون جدول باید فریم صفرنقطه‌ای بدهد.
گام ۴: برد را ریست کن و گام ۲ و ۳ را تکرار کن؛ دادهٔ ناقص نباید «فعال» فرض شود و پنل باید هر عدم تطابق (mismatch) را گزارش کند.</t>
        </is>
      </c>
      <c r="F18" s="27" t="inlineStr">
        <is>
          <t>counts/BatteryMa نقاط فعال، به‌خصوص battery 2</t>
        </is>
      </c>
      <c r="G18" s="27" t="inlineStr">
        <is>
          <t>یک درخواست قبل و یک درخواست بعد از reset</t>
        </is>
      </c>
      <c r="H18" s="25" t="inlineStr">
        <is>
          <t>LUT_DATA مقدار واقعی هر نقطه را برمی‌گرداند؛ کانال غیرفعال فریم صفرنقطه‌ای می‌دهد؛ دادهٔ ناقص active فرض نمی‌شود</t>
        </is>
      </c>
      <c r="I18" s="25" t="inlineStr">
        <is>
          <t>رکورد فلش باید بعد از reset همان نقاط را حفظ کند</t>
        </is>
      </c>
      <c r="J18" s="25" t="inlineStr">
        <is>
          <t>تطبیق byte/point با func__CalLut_Points/Counts/BatteryMa و گزارش mismatch در پنل</t>
        </is>
      </c>
      <c r="K18" s="25" t="inlineStr">
        <is>
          <t>Host PASS: 159 check؛ شامل دو فریم واقعی LUT_DATA، battery 2 مستقل و transition غیرصفر→صفر؛ برد فیزیکی pending</t>
        </is>
      </c>
      <c r="L18" s="23" t="inlineStr">
        <is>
          <t>در انتظار</t>
        </is>
      </c>
      <c r="M18" s="25" t="inlineStr">
        <is>
          <t>Host جای اندازه‌گیری برد را نمی‌گیرد؛ فلش و readback روی برد واقعی لازم است</t>
        </is>
      </c>
      <c r="N18" s="25" t="inlineStr">
        <is>
          <t>Firmware/Modules/CalLut/Tester/run_host_test_cal_lut.sh</t>
        </is>
      </c>
      <c r="O18" s="27" t="inlineStr">
        <is>
          <t>WORKTREE</t>
        </is>
      </c>
      <c r="P18" s="27" t="inlineStr"/>
      <c r="Q18" s="28" t="inlineStr">
        <is>
          <t>2026-10-07</t>
        </is>
      </c>
    </row>
    <row r="19" ht="67.5" customHeight="1">
      <c r="A19" s="19" t="inlineStr">
        <is>
          <t>CL-015</t>
        </is>
      </c>
      <c r="B19" s="20" t="inlineStr">
        <is>
          <t>حذف override با صفرنقطه</t>
        </is>
      </c>
      <c r="C19" s="21" t="inlineStr">
        <is>
          <t>بالا</t>
        </is>
      </c>
      <c r="D19" s="29" t="inlineStr">
        <is>
          <t>CL-002 یا رکورد فعال با هر دو کانال</t>
        </is>
      </c>
      <c r="E19" s="29" t="inlineStr">
        <is>
          <t>گام ۱: از قبل روی هر دو کانال جدول فعال داشته باش (CL-002 برای هر دو) و نقاط کانال ۲ را یادداشت کن.
گام ۲: LUT_BEGIN را با n1=5 و n2=0 بفرست، چانک‌ها را فقط برای کانال ۱ بفرست و با CRC درست COMMIT کن.
گام ۳: پاسخ باید وضعیت 0 باشد؛ برد را ریست کن.
گام ۴: LUT_READ بگیر: کانال ۱ باید با همان 5 نقطه فعال باشد و کانال ۲ باید فریم صفرنقطه‌ای بدهد (override فلش آن حذف شده باشد).
گام ۵: در پنل تأیید بگیر که تغییر کانال ۲ «changed-confirmed» است و CRC یا count جای مقادیر واقعی نقاط (counts/BatteryMa) را نگرفته باشد.</t>
        </is>
      </c>
      <c r="F19" s="22" t="inlineStr">
        <is>
          <t>کانال ۱ معتبر؛ کانال ۲ count=0؛ before کانال ۲ غیرصفر و after صفرنقطه‌ای</t>
        </is>
      </c>
      <c r="G19" s="22" t="inlineStr">
        <is>
          <t>یک تبادل + یک بوت</t>
        </is>
      </c>
      <c r="H19" s="20" t="inlineStr">
        <is>
          <t>commit پذیرفته؛ کانال ۱ حفظ می‌شود و override فلش کانال ۲ حذف می‌شود؛ LUT_DATA کانال ۲ فریم صفرنقطه‌ای مستقل می‌دهد</t>
        </is>
      </c>
      <c r="I19" s="20" t="inlineStr">
        <is>
          <t>پینگ‌پنگ و پس از reset</t>
        </is>
      </c>
      <c r="J19" s="20" t="inlineStr">
        <is>
          <t>status=0، Active کانال ۱ برقرار، Active کانال ۲=false و مقایسهٔ پنل changed-confirmed؛ CRC/count جای counts/BatteryMa را نگیرد</t>
        </is>
      </c>
      <c r="K19" s="20" t="inlineStr">
        <is>
          <t>Host PASS: 159 check؛ board physical pending</t>
        </is>
      </c>
      <c r="L19" s="23" t="inlineStr">
        <is>
          <t>در انتظار</t>
        </is>
      </c>
      <c r="M19" s="20" t="inlineStr">
        <is>
          <t>Host جای تست برد را نمی‌گیرد؛ حذف override و ماندگاری پس از reset روی برد واقعی لازم است</t>
        </is>
      </c>
      <c r="N19" s="29" t="inlineStr">
        <is>
          <t>Firmware/Modules/CalLut/Tester/run_host_test_cal_lut.sh؛ esp_link_panel/Tester/host_test_scenario_cards.js</t>
        </is>
      </c>
      <c r="O19" s="22" t="inlineStr">
        <is>
          <t>WORKTREE</t>
        </is>
      </c>
      <c r="P19" s="22" t="n"/>
      <c r="Q19" s="24" t="inlineStr">
        <is>
          <t>2026-10-07</t>
        </is>
      </c>
    </row>
    <row r="20" ht="67.5" customHeight="1">
      <c r="A20" s="19" t="inlineStr">
        <is>
          <t>CL-016</t>
        </is>
      </c>
      <c r="B20" s="25" t="inlineStr">
        <is>
          <t>reset با grant و flush NVM</t>
        </is>
      </c>
      <c r="C20" s="26" t="inlineStr">
        <is>
          <t>بالا</t>
        </is>
      </c>
      <c r="D20" s="25" t="inlineStr">
        <is>
          <t>commit موفق یا commit صفرنقطه‌ای؛ magic معتبر؛ لینک فعال</t>
        </is>
      </c>
      <c r="E20" s="25" t="inlineStr">
        <is>
          <t>گام ۱: یک commit موفق (یا commit صفرنقطه‌ای با count=0 معتبر) انجام بده تا grant ریست صادر شود.
گام ۲: بلافاصله reset را درخواست کن و صبر کن برد بالا بیاید (حداکثر 15 ثانیه).
گام ۳: از مسیر /t و LUT_READ/LUT_DATA تازه، هر دو کانال و ماندگاری جدول را با مقدار مورد انتظار مقایسه کن؛ هیچ reject یا timeout نباید گزارش شود.
گام ۴: یک بار هم flush ناموفق را تزریق کن (خطای نوشتن فلش): باید کد CAL_LUT_ST_FLASH برگردد و reset انجام نشود.
گام ۵: نتیجه بگیر: commit صفرنقطه‌ای بدون جدول فعال پذیرفته می‌شود و reset فقط با grant commit و flush موفق اتفاق می‌افتد.</t>
        </is>
      </c>
      <c r="F20" s="27" t="inlineStr">
        <is>
          <t>count=0 معتبر؛ grant commit؛ flush success/failure</t>
        </is>
      </c>
      <c r="G20" s="27" t="inlineStr">
        <is>
          <t>حداکثر 15s</t>
        </is>
      </c>
      <c r="H20" s="25" t="inlineStr">
        <is>
          <t>zero-point commit بدون active table پذیرفته می‌شود؛ reset فقط با grant commit و flush موفق arm می‌شود؛ flush failure کد CAL_LUT_ST_FLASH می‌دهد و reset انجام نمی‌شود</t>
        </is>
      </c>
      <c r="I20" s="25" t="inlineStr">
        <is>
          <t>پس از موفقیت one-shot؛ بعد از flush failure grant برای retry حفظ می‌شود</t>
        </is>
      </c>
      <c r="J20" s="25" t="inlineStr">
        <is>
          <t>پس از reset /t و LUT_READ/LUT_DATA تازه، هر دو کانال و persistence با expected برابر؛ هیچ reject/timeout/mismatch موفق گزارش نشود</t>
        </is>
      </c>
      <c r="K20" s="25" t="inlineStr">
        <is>
          <t>Host PASS: CalLut=159، parser=14 و NVM؛ تست فیزیکی فلش/ریست/باتری انجام نشده و pending است</t>
        </is>
      </c>
      <c r="L20" s="23" t="inlineStr">
        <is>
          <t>در انتظار</t>
        </is>
      </c>
      <c r="M20" s="25" t="inlineStr">
        <is>
          <t>Host جای تست فیزیکی برد و fault واقعی NVM را نمی‌گیرد؛ commit zero-point، reset و flush روی برد واقعی تکرار شود</t>
        </is>
      </c>
      <c r="N20" s="30" t="inlineStr">
        <is>
          <t>Firmware/Modules/CalLut/Tester/run_host_test_cal_lut.sh؛ Firmware/Modules/EspLink/Tester/run_host_test_nvm.sh؛ Firmware/Modules/EspLink/esp_link.c</t>
        </is>
      </c>
      <c r="O20" s="27" t="inlineStr">
        <is>
          <t>WORKTREE</t>
        </is>
      </c>
      <c r="P20" s="27" t="n"/>
      <c r="Q20" s="28" t="inlineStr">
        <is>
          <t>2026-10-08</t>
        </is>
      </c>
    </row>
    <row r="21" ht="54" customHeight="1">
      <c r="A21" s="19" t="inlineStr">
        <is>
          <t>CL-020</t>
        </is>
      </c>
      <c r="B21" s="20" t="inlineStr">
        <is>
          <t>پنل دیالوگ LUT</t>
        </is>
      </c>
      <c r="C21" s="22" t="inlineStr">
        <is>
          <t>متوسط</t>
        </is>
      </c>
      <c r="D21" s="20" t="inlineStr">
        <is>
          <t>پنل وصل + LUT آماده</t>
        </is>
      </c>
      <c r="E21" s="20" t="inlineStr">
        <is>
          <t>گام ۱: پنل را وصل کن و یک LUT دوکاناله آمادهٔ ارسال داشته باش.
گام ۲: از پنل LUT را push کن و صبر کن دیالوگ تأیید ریست بیاید.
گام ۳: دیالوگ باید تیره و هم‌رنگ پنل باشد (#pmod / #121a2c)، نه پنجرهٔ سفید alert ویندوز.
گام ۴: یک بار کلید Enter را بزن (باید تأیید کند) و یک بار در اجرای بعدی Esc را بزن (باید لغو کند)؛ اگر دو دیالوگ پشت سر هم آمد باید یکی‌یکی در صف PMQ نمایش داده شوند.</t>
        </is>
      </c>
      <c r="F21" s="22" t="inlineStr">
        <is>
          <t>LUT 2 کانال</t>
        </is>
      </c>
      <c r="G21" s="22" t="inlineStr">
        <is>
          <t>10s</t>
        </is>
      </c>
      <c r="H21" s="20" t="inlineStr">
        <is>
          <t>دیالوگ با استایل #pmod/#121a2c، بدون alert سفید ویندوز؛ Enter=تأیید Esc=انصراف؛ صف PMQ یکی‌یکی</t>
        </is>
      </c>
      <c r="I21" s="20" t="inlineStr">
        <is>
          <t>—</t>
        </is>
      </c>
      <c r="J21" s="20" t="inlineStr">
        <is>
          <t>دیالوگ تیره + Enter/Esc کار کند</t>
        </is>
      </c>
      <c r="K21" s="20" t="n"/>
      <c r="L21" s="31" t="inlineStr">
        <is>
          <t>نیاز به تکرار</t>
        </is>
      </c>
      <c r="M21" s="20" t="n"/>
      <c r="N21" s="20" t="n"/>
      <c r="O21" s="22" t="inlineStr">
        <is>
          <t>62f3782</t>
        </is>
      </c>
      <c r="P21" s="22" t="n"/>
      <c r="Q21" s="24" t="inlineStr">
        <is>
          <t>2026-10-12</t>
        </is>
      </c>
    </row>
    <row r="22">
      <c r="Q22" s="32">
        <f>IF(OR(L22="",L22="در انتظار"),"",IF(Q22="",TODAY(),Q22))</f>
        <v/>
      </c>
    </row>
    <row r="23">
      <c r="Q23" s="32">
        <f>IF(OR(L23="",L23="در انتظار"),"",IF(Q23="",TODAY(),Q23))</f>
        <v/>
      </c>
    </row>
    <row r="24">
      <c r="Q24" s="32">
        <f>IF(OR(L24="",L24="در انتظار"),"",IF(Q24="",TODAY(),Q24))</f>
        <v/>
      </c>
    </row>
    <row r="25">
      <c r="Q25" s="32">
        <f>IF(OR(L25="",L25="در انتظار"),"",IF(Q25="",TODAY(),Q25))</f>
        <v/>
      </c>
    </row>
    <row r="26">
      <c r="Q26" s="32">
        <f>IF(OR(L26="",L26="در انتظار"),"",IF(Q26="",TODAY(),Q26))</f>
        <v/>
      </c>
    </row>
    <row r="27">
      <c r="Q27" s="32">
        <f>IF(OR(L27="",L27="در انتظار"),"",IF(Q27="",TODAY(),Q27))</f>
        <v/>
      </c>
    </row>
    <row r="28">
      <c r="Q28" s="32">
        <f>IF(OR(L28="",L28="در انتظار"),"",IF(Q28="",TODAY(),Q28))</f>
        <v/>
      </c>
    </row>
    <row r="29">
      <c r="Q29" s="32">
        <f>IF(OR(L29="",L29="در انتظار"),"",IF(Q29="",TODAY(),Q29))</f>
        <v/>
      </c>
    </row>
    <row r="30">
      <c r="Q30" s="32">
        <f>IF(OR(L30="",L30="در انتظار"),"",IF(Q30="",TODAY(),Q30))</f>
        <v/>
      </c>
    </row>
    <row r="31">
      <c r="Q31" s="32">
        <f>IF(OR(L31="",L31="در انتظار"),"",IF(Q31="",TODAY(),Q31))</f>
        <v/>
      </c>
    </row>
    <row r="32">
      <c r="Q32" s="32">
        <f>IF(OR(L32="",L32="در انتظار"),"",IF(Q32="",TODAY(),Q32))</f>
        <v/>
      </c>
    </row>
    <row r="33">
      <c r="Q33" s="32">
        <f>IF(OR(L33="",L33="در انتظار"),"",IF(Q33="",TODAY(),Q33))</f>
        <v/>
      </c>
    </row>
    <row r="34">
      <c r="Q34" s="32">
        <f>IF(OR(L34="",L34="در انتظار"),"",IF(Q34="",TODAY(),Q34))</f>
        <v/>
      </c>
    </row>
    <row r="35">
      <c r="Q35" s="32">
        <f>IF(OR(L35="",L35="در انتظار"),"",IF(Q35="",TODAY(),Q35))</f>
        <v/>
      </c>
    </row>
    <row r="36">
      <c r="Q36" s="32">
        <f>IF(OR(L36="",L36="در انتظار"),"",IF(Q36="",TODAY(),Q36))</f>
        <v/>
      </c>
    </row>
    <row r="37">
      <c r="Q37" s="32">
        <f>IF(OR(L37="",L37="در انتظار"),"",IF(Q37="",TODAY(),Q37))</f>
        <v/>
      </c>
    </row>
    <row r="38">
      <c r="Q38" s="32">
        <f>IF(OR(L38="",L38="در انتظار"),"",IF(Q38="",TODAY(),Q38))</f>
        <v/>
      </c>
    </row>
    <row r="39">
      <c r="Q39" s="32">
        <f>IF(OR(L39="",L39="در انتظار"),"",IF(Q39="",TODAY(),Q39))</f>
        <v/>
      </c>
    </row>
    <row r="40">
      <c r="Q40" s="32">
        <f>IF(OR(L40="",L40="در انتظار"),"",IF(Q40="",TODAY(),Q40))</f>
        <v/>
      </c>
    </row>
    <row r="41">
      <c r="Q41" s="32">
        <f>IF(OR(L41="",L41="در انتظار"),"",IF(Q41="",TODAY(),Q41))</f>
        <v/>
      </c>
    </row>
    <row r="42">
      <c r="Q42" s="32">
        <f>IF(OR(L42="",L42="در انتظار"),"",IF(Q42="",TODAY(),Q42))</f>
        <v/>
      </c>
    </row>
    <row r="43">
      <c r="Q43" s="32">
        <f>IF(OR(L43="",L43="در انتظار"),"",IF(Q43="",TODAY(),Q43))</f>
        <v/>
      </c>
    </row>
    <row r="44">
      <c r="Q44" s="32">
        <f>IF(OR(L44="",L44="در انتظار"),"",IF(Q44="",TODAY(),Q44))</f>
        <v/>
      </c>
    </row>
    <row r="45">
      <c r="Q45" s="32">
        <f>IF(OR(L45="",L45="در انتظار"),"",IF(Q45="",TODAY(),Q45))</f>
        <v/>
      </c>
    </row>
    <row r="46">
      <c r="Q46" s="32">
        <f>IF(OR(L46="",L46="در انتظار"),"",IF(Q46="",TODAY(),Q46))</f>
        <v/>
      </c>
    </row>
    <row r="47">
      <c r="Q47" s="32">
        <f>IF(OR(L47="",L47="در انتظار"),"",IF(Q47="",TODAY(),Q47))</f>
        <v/>
      </c>
    </row>
    <row r="48">
      <c r="Q48" s="32">
        <f>IF(OR(L48="",L48="در انتظار"),"",IF(Q48="",TODAY(),Q48))</f>
        <v/>
      </c>
    </row>
    <row r="49">
      <c r="Q49" s="32">
        <f>IF(OR(L49="",L49="در انتظار"),"",IF(Q49="",TODAY(),Q49))</f>
        <v/>
      </c>
    </row>
    <row r="50">
      <c r="Q50" s="32">
        <f>IF(OR(L50="",L50="در انتظار"),"",IF(Q50="",TODAY(),Q50))</f>
        <v/>
      </c>
    </row>
    <row r="51">
      <c r="Q51" s="32">
        <f>IF(OR(L51="",L51="در انتظار"),"",IF(Q51="",TODAY(),Q51))</f>
        <v/>
      </c>
    </row>
    <row r="52">
      <c r="Q52" s="32">
        <f>IF(OR(L52="",L52="در انتظار"),"",IF(Q52="",TODAY(),Q52))</f>
        <v/>
      </c>
    </row>
    <row r="53">
      <c r="Q53" s="32">
        <f>IF(OR(L53="",L53="در انتظار"),"",IF(Q53="",TODAY(),Q53))</f>
        <v/>
      </c>
    </row>
    <row r="54">
      <c r="Q54" s="32">
        <f>IF(OR(L54="",L54="در انتظار"),"",IF(Q54="",TODAY(),Q54))</f>
        <v/>
      </c>
    </row>
    <row r="55">
      <c r="Q55" s="32">
        <f>IF(OR(L55="",L55="در انتظار"),"",IF(Q55="",TODAY(),Q55))</f>
        <v/>
      </c>
    </row>
    <row r="56">
      <c r="Q56" s="32">
        <f>IF(OR(L56="",L56="در انتظار"),"",IF(Q56="",TODAY(),Q56))</f>
        <v/>
      </c>
    </row>
    <row r="57">
      <c r="Q57" s="32">
        <f>IF(OR(L57="",L57="در انتظار"),"",IF(Q57="",TODAY(),Q57))</f>
        <v/>
      </c>
    </row>
    <row r="58">
      <c r="Q58" s="32">
        <f>IF(OR(L58="",L58="در انتظار"),"",IF(Q58="",TODAY(),Q58))</f>
        <v/>
      </c>
    </row>
    <row r="59">
      <c r="Q59" s="32">
        <f>IF(OR(L59="",L59="در انتظار"),"",IF(Q59="",TODAY(),Q59))</f>
        <v/>
      </c>
    </row>
    <row r="60">
      <c r="Q60" s="32">
        <f>IF(OR(L60="",L60="در انتظار"),"",IF(Q60="",TODAY(),Q60))</f>
        <v/>
      </c>
    </row>
    <row r="61">
      <c r="Q61" s="32">
        <f>IF(OR(L61="",L61="در انتظار"),"",IF(Q61="",TODAY(),Q61))</f>
        <v/>
      </c>
    </row>
  </sheetData>
  <autoFilter ref="A4:Q21"/>
  <dataValidations count="2">
    <dataValidation sqref="C5:C101" showDropDown="0" showInputMessage="0" showErrorMessage="0" allowBlank="1" type="list">
      <formula1>='فهرست‌ها'!$B$9:$B$11</formula1>
    </dataValidation>
    <dataValidation sqref="L5:L101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xmlns:r="http://schemas.openxmlformats.org/officeDocument/2006/relationships" ref="D7" r:id="rId1"/>
    <hyperlink xmlns:r="http://schemas.openxmlformats.org/officeDocument/2006/relationships" ref="E7" r:id="rId2"/>
    <hyperlink xmlns:r="http://schemas.openxmlformats.org/officeDocument/2006/relationships" ref="D14" r:id="rId3"/>
    <hyperlink xmlns:r="http://schemas.openxmlformats.org/officeDocument/2006/relationships" ref="E14" r:id="rId4"/>
    <hyperlink xmlns:r="http://schemas.openxmlformats.org/officeDocument/2006/relationships" ref="D19" r:id="rId5"/>
    <hyperlink xmlns:r="http://schemas.openxmlformats.org/officeDocument/2006/relationships" ref="E19" r:id="rId6"/>
    <hyperlink xmlns:r="http://schemas.openxmlformats.org/officeDocument/2006/relationships" ref="N19" r:id="rId7"/>
    <hyperlink xmlns:r="http://schemas.openxmlformats.org/officeDocument/2006/relationships" ref="N20" r:id="rId8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E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4" customWidth="1" min="4" max="4"/>
    <col width="26" customWidth="1" min="5" max="5"/>
  </cols>
  <sheetData>
    <row r="1" ht="30" customHeight="1">
      <c r="A1" s="16" t="inlineStr">
        <is>
          <t>مرجع سریع سناریوها و ثابت‌های ماژول CalLut</t>
        </is>
      </c>
      <c r="B1" s="16" t="n"/>
      <c r="C1" s="16" t="n"/>
      <c r="D1" s="16" t="n"/>
      <c r="E1" s="16" t="n"/>
    </row>
    <row r="2"/>
    <row r="3">
      <c r="A3" s="33" t="inlineStr">
        <is>
          <t>موضوع</t>
        </is>
      </c>
      <c r="B3" s="33" t="inlineStr">
        <is>
          <t>شرط / مقدار</t>
        </is>
      </c>
      <c r="C3" s="33" t="inlineStr">
        <is>
          <t>رفتار مورد انتظار</t>
        </is>
      </c>
      <c r="D3" s="33" t="inlineStr">
        <is>
          <t>ثابت / محل کد</t>
        </is>
      </c>
      <c r="E3" s="33" t="inlineStr">
        <is>
          <t>توضیح</t>
        </is>
      </c>
    </row>
    <row r="4">
      <c r="A4" s="34" t="inlineStr">
        <is>
          <t>صفحه‌های اختصاصی</t>
        </is>
      </c>
      <c r="B4" s="34" t="inlineStr">
        <is>
          <t>0x0800F000 و 0x0800F400</t>
        </is>
      </c>
      <c r="C4" s="34" t="inlineStr">
        <is>
          <t>پینگ‌پنگ امن در برابر قطع برق</t>
        </is>
      </c>
      <c r="D4" s="34" t="inlineStr">
        <is>
          <t>CAL_LUT_PAGE_A_ADDR / CAL_LUT_PAGE_B_ADDR</t>
        </is>
      </c>
      <c r="E4" s="34" t="inlineStr">
        <is>
          <t>پایین‌تر از صفحه‌های پارامتر</t>
        </is>
      </c>
    </row>
    <row r="5">
      <c r="A5" s="34" t="inlineStr">
        <is>
          <t>مجیک و نسخه</t>
        </is>
      </c>
      <c r="B5" s="34" t="inlineStr">
        <is>
          <t>0x434C5554 («CLUT») و ۱</t>
        </is>
      </c>
      <c r="C5" s="34" t="inlineStr">
        <is>
          <t>ناهمخوانی = بازگشت به جدول کامپایل‌شده</t>
        </is>
      </c>
      <c r="D5" s="34" t="inlineStr">
        <is>
          <t>CAL_LUT_MAGIC / CAL_LUT_VERSION</t>
        </is>
      </c>
      <c r="E5" s="34" t="inlineStr">
        <is>
          <t>هرگز نیم‌ارتقای بی‌صدا</t>
        </is>
      </c>
    </row>
    <row r="6">
      <c r="A6" s="34" t="inlineStr">
        <is>
          <t>سقف نقاط</t>
        </is>
      </c>
      <c r="B6" s="34" t="inlineStr">
        <is>
          <t>۲ تا ۲۴ نقطه در هر کانال</t>
        </is>
      </c>
      <c r="C6" s="34" t="inlineStr">
        <is>
          <t>بیرون از بازه = رد با status=2</t>
        </is>
      </c>
      <c r="D6" s="34" t="inlineStr">
        <is>
          <t>CAL_LUT_POINTS_MIN / CAL_LUT_POINTS_MAX</t>
        </is>
      </c>
      <c r="E6" s="34" t="inlineStr">
        <is>
          <t>۲۴×۲×۲×۴ = ۳۸۴ بایت رکورد</t>
        </is>
      </c>
    </row>
    <row r="7">
      <c r="A7" s="34" t="inlineStr">
        <is>
          <t>کدهای وضعیت</t>
        </is>
      </c>
      <c r="B7" s="34" t="inlineStr">
        <is>
          <t>۰ تا ۷</t>
        </is>
      </c>
      <c r="C7" s="34" t="inlineStr">
        <is>
          <t>هر خطا دلیل خودش را در LUT_ACK می‌گوید</t>
        </is>
      </c>
      <c r="D7" s="34" t="inlineStr">
        <is>
          <t>CAL_LUT_ST_*</t>
        </is>
      </c>
      <c r="E7" s="34" t="inlineStr">
        <is>
          <t>۰=OK، ۶=CRC، ۷=فلش</t>
        </is>
      </c>
    </row>
    <row r="8">
      <c r="A8" s="34" t="inlineStr">
        <is>
          <t>دست‌دادن</t>
        </is>
      </c>
      <c r="B8" s="34" t="inlineStr">
        <is>
          <t>BEGIN → CHUNK → COMMIT → ACK → RESET</t>
        </is>
      </c>
      <c r="C8" s="34" t="inlineStr">
        <is>
          <t>ریست فقط با برابری دو CRC32</t>
        </is>
      </c>
      <c r="D8" s="43" t="inlineStr">
        <is>
          <t>cal_lut.c</t>
        </is>
      </c>
      <c r="E8" s="34" t="inlineStr">
        <is>
          <t>پنل CRC را می‌سازد، برد بازخوانی می‌کند</t>
        </is>
      </c>
    </row>
    <row r="9">
      <c r="A9" s="34" t="inlineStr">
        <is>
          <t>پشتیبان</t>
        </is>
      </c>
      <c r="B9" s="34" t="inlineStr">
        <is>
          <t>جدول‌های فلش (CalLut) و خط گین و آفست</t>
        </is>
      </c>
      <c r="C9" s="34" t="inlineStr">
        <is>
          <t>رکورد نامعتبر = جدول کامپایل‌شده</t>
        </is>
      </c>
      <c r="D9" s="34" t="inlineStr">
        <is>
          <t>CAL_CURRENT*_LUT_ENABLE</t>
        </is>
      </c>
      <c r="E9" s="34" t="inlineStr">
        <is>
          <t>روش قبلی حذف نشده</t>
        </is>
      </c>
    </row>
    <row r="10">
      <c r="A10" s="34" t="inlineStr">
        <is>
          <t>reset grant و flush NVM</t>
        </is>
      </c>
      <c r="B10" s="34" t="inlineStr">
        <is>
          <t>magic + commit grant؛ flush NVM پیش از arm</t>
        </is>
      </c>
      <c r="C10" s="34" t="inlineStr">
        <is>
          <t>flush failure = no reset؛ success = reset one-shot</t>
        </is>
      </c>
      <c r="D10" s="43" t="inlineStr">
        <is>
          <t>cal_lut.c / esp_link.c / esp_link_nvm.c</t>
        </is>
      </c>
      <c r="E10" s="34" t="inlineStr">
        <is>
          <t>zero-point commit حتی بدون active table معتبر است</t>
        </is>
      </c>
    </row>
  </sheetData>
  <hyperlinks>
    <hyperlink xmlns:r="http://schemas.openxmlformats.org/officeDocument/2006/relationships" ref="D8" r:id="rId1"/>
    <hyperlink xmlns:r="http://schemas.openxmlformats.org/officeDocument/2006/relationships" ref="D10" r:id="rId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M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35" t="inlineStr">
        <is>
          <t>ثبت ایرادهای مشاهده‌شده — ماژول CalLut</t>
        </is>
      </c>
    </row>
    <row r="2" ht="30" customHeight="1">
      <c r="A2" s="16" t="inlineStr">
        <is>
          <t>برای هر وضعیت «رد» یا تفاوت مهم، یک ردیف با شناسهٔ یکتا ثبت و پس از اصلاح دوباره تست شود.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</row>
    <row r="3">
      <c r="A3" s="33" t="inlineStr">
        <is>
          <t>شماره ایراد</t>
        </is>
      </c>
      <c r="B3" s="33" t="inlineStr">
        <is>
          <t>شناسه تست</t>
        </is>
      </c>
      <c r="C3" s="33" t="inlineStr">
        <is>
          <t>تاریخ کشف</t>
        </is>
      </c>
      <c r="D3" s="33" t="inlineStr">
        <is>
          <t>شدت</t>
        </is>
      </c>
      <c r="E3" s="33" t="inlineStr">
        <is>
          <t>شرح کوتاه ایراد</t>
        </is>
      </c>
      <c r="F3" s="33" t="inlineStr">
        <is>
          <t>مراحل بازتولید</t>
        </is>
      </c>
      <c r="G3" s="33" t="inlineStr">
        <is>
          <t>انتظار</t>
        </is>
      </c>
      <c r="H3" s="33" t="inlineStr">
        <is>
          <t>واقعیت</t>
        </is>
      </c>
      <c r="I3" s="33" t="inlineStr">
        <is>
          <t>مدرک/مسیر عکس یا scope</t>
        </is>
      </c>
      <c r="J3" s="33" t="inlineStr">
        <is>
          <t>commit firmware</t>
        </is>
      </c>
      <c r="K3" s="33" t="inlineStr">
        <is>
          <t>محل احتمالی</t>
        </is>
      </c>
      <c r="L3" s="33" t="inlineStr">
        <is>
          <t>وضعیت ایراد</t>
        </is>
      </c>
      <c r="M3" s="33" t="inlineStr">
        <is>
          <t>تأیید رفع / توضیحات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4" t="inlineStr">
        <is>
          <t>تأیید نهایی اعتبارسنجی — ماژول CalLut</t>
        </is>
      </c>
    </row>
    <row r="2">
      <c r="A2" s="15" t="inlineStr">
        <is>
          <t>این صفحه فقط پس از تکمیل تست‌ها و بسته‌شدن ایرادها پر می‌شود.</t>
        </is>
      </c>
    </row>
    <row r="3">
      <c r="A3" s="36" t="inlineStr">
        <is>
          <t>مشخصات تست</t>
        </is>
      </c>
    </row>
    <row r="4">
      <c r="A4" s="15" t="inlineStr">
        <is>
          <t>پروژه</t>
        </is>
      </c>
      <c r="B4" s="15" t="inlineStr">
        <is>
          <t>ChangeOver</t>
        </is>
      </c>
    </row>
    <row r="5">
      <c r="A5" s="15" t="inlineStr">
        <is>
          <t>ماژول</t>
        </is>
      </c>
      <c r="B5" s="15" t="inlineStr">
        <is>
          <t>CalLut — جدول کالیبراسیون در فلش اختصاصی</t>
        </is>
      </c>
    </row>
    <row r="6">
      <c r="A6" s="15" t="inlineStr">
        <is>
          <t>تاریخ ساخت فرم</t>
        </is>
      </c>
      <c r="B6" s="15" t="inlineStr">
        <is>
          <t>2026-10-05 (1.0 — ساخته‌شده در ممیزی کل برنامه)</t>
        </is>
      </c>
    </row>
    <row r="7">
      <c r="A7" s="15" t="inlineStr">
        <is>
          <t>نسخه فرم</t>
        </is>
      </c>
      <c r="B7" s="15" t="inlineStr">
        <is>
          <t>1.0</t>
        </is>
      </c>
    </row>
    <row r="8">
      <c r="A8" s="15" t="inlineStr">
        <is>
          <t>commit firmware</t>
        </is>
      </c>
      <c r="B8" s="15" t="inlineStr">
        <is>
          <t>TESTER: fill</t>
        </is>
      </c>
    </row>
    <row r="9">
      <c r="A9" s="15" t="inlineStr">
        <is>
          <t>ابزار</t>
        </is>
      </c>
      <c r="B9" s="15" t="inlineStr">
        <is>
          <t>پنل ESP + مولتی‌متر + منبع تغذیه قابل قطع + اسیلوسکوپ</t>
        </is>
      </c>
    </row>
    <row r="10"/>
    <row r="11">
      <c r="A11" s="36" t="inlineStr">
        <is>
          <t>خلاصهٔ خودکار وضعیت تست‌ها</t>
        </is>
      </c>
    </row>
    <row r="12">
      <c r="A12" s="36" t="inlineStr">
        <is>
          <t>شاخص</t>
        </is>
      </c>
      <c r="B12" s="36" t="inlineStr">
        <is>
          <t>مقدار</t>
        </is>
      </c>
      <c r="C12" s="36" t="inlineStr">
        <is>
          <t>توضیح</t>
        </is>
      </c>
    </row>
    <row r="13">
      <c r="A13" s="15" t="inlineStr">
        <is>
          <t>کل تست‌ها</t>
        </is>
      </c>
      <c r="B13" s="15" t="inlineStr">
        <is>
          <t>16</t>
        </is>
      </c>
      <c r="C13" s="15" t="inlineStr">
        <is>
          <t>همهٔ ردیف‌های برنامه تست</t>
        </is>
      </c>
    </row>
    <row r="14">
      <c r="A14" s="15" t="inlineStr">
        <is>
          <t>قبول</t>
        </is>
      </c>
      <c r="B14" s="15">
        <f>COUNTIF('برنامه تست'!L:L,"قبول")</f>
        <v/>
      </c>
      <c r="C14" s="15" t="inlineStr">
        <is>
          <t>COUNTIF برنامه تست</t>
        </is>
      </c>
    </row>
    <row r="15">
      <c r="A15" s="15" t="inlineStr">
        <is>
          <t>رد</t>
        </is>
      </c>
      <c r="B15" s="15">
        <f>COUNTIF('برنامه تست'!L:L,"رد")</f>
        <v/>
      </c>
      <c r="C15" s="15" t="inlineStr">
        <is>
          <t>COUNTIF رد</t>
        </is>
      </c>
    </row>
    <row r="16">
      <c r="A16" s="15" t="inlineStr">
        <is>
          <t>در انتظار</t>
        </is>
      </c>
      <c r="B16" s="15">
        <f>IF(16=0,0,COUNTIF('برنامه تست'!L:L,"قبول")/16)</f>
        <v/>
      </c>
      <c r="C16" s="15" t="inlineStr">
        <is>
          <t>پیش از تست برد</t>
        </is>
      </c>
    </row>
    <row r="17">
      <c r="A17" s="15" t="inlineStr">
        <is>
          <t>نرخ قبولی</t>
        </is>
      </c>
      <c r="B17" s="15">
        <f>IF(15=0,0,COUNTIF('برنامه تست'!L:L,"قبول")/15)</f>
        <v/>
      </c>
      <c r="C17" s="15" t="inlineStr">
        <is>
          <t>قبول/کل</t>
        </is>
      </c>
    </row>
    <row r="18"/>
    <row r="19">
      <c r="A19" s="15" t="inlineStr">
        <is>
          <t>امضا و تأیید: تست‌کننده ______  بازبین ______  تاریخ ______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7" t="inlineStr">
        <is>
          <t>وضعیت</t>
        </is>
      </c>
    </row>
    <row r="2">
      <c r="A2" s="18" t="inlineStr">
        <is>
          <t>در انتظار</t>
        </is>
      </c>
    </row>
    <row r="3">
      <c r="A3" s="18" t="inlineStr">
        <is>
          <t>انجام شد</t>
        </is>
      </c>
    </row>
    <row r="4">
      <c r="A4" s="18" t="inlineStr">
        <is>
          <t>قبول</t>
        </is>
      </c>
    </row>
    <row r="5">
      <c r="A5" s="18" t="inlineStr">
        <is>
          <t>رد</t>
        </is>
      </c>
    </row>
    <row r="6">
      <c r="A6" s="18" t="inlineStr">
        <is>
          <t>مسدود</t>
        </is>
      </c>
    </row>
    <row r="7">
      <c r="A7" t="inlineStr">
        <is>
          <t>نیاز به تکرار</t>
        </is>
      </c>
    </row>
    <row r="8">
      <c r="A8" s="37" t="inlineStr">
        <is>
          <t>اولویت</t>
        </is>
      </c>
    </row>
    <row r="9">
      <c r="B9" s="18" t="inlineStr">
        <is>
          <t>بالا</t>
        </is>
      </c>
    </row>
    <row r="10">
      <c r="B10" s="18" t="inlineStr">
        <is>
          <t>متوسط</t>
        </is>
      </c>
    </row>
    <row r="11">
      <c r="B11" s="18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8" t="inlineStr">
        <is>
          <t>ماشین حالت ماژول جدول کالیبراسیون (CalLut)</t>
        </is>
      </c>
    </row>
    <row r="2"/>
    <row r="3" ht="24" customHeight="1">
      <c r="A3" s="39" t="inlineStr">
        <is>
          <t>حالت‌ها و گذارهای همین ماژول</t>
        </is>
      </c>
      <c r="B3" s="40" t="inlineStr">
        <is>
          <t>CalLut_State_Machine.xlsx</t>
        </is>
      </c>
    </row>
    <row r="4" ht="24" customHeight="1">
      <c r="A4" s="39" t="inlineStr">
        <is>
          <t>ماشین حالت کل برنامه (نمای سیستمی)</t>
        </is>
      </c>
      <c r="B4" s="40" t="inlineStr">
        <is>
          <t>../../../Documentation/System_State_Machine.xlsx</t>
        </is>
      </c>
    </row>
    <row r="5" ht="24" customHeight="1">
      <c r="A5" s="39" t="inlineStr">
        <is>
          <t>راهنمای رنگ‌ها</t>
        </is>
      </c>
      <c r="B5" s="4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9" t="inlineStr">
        <is>
          <t>بازتولید</t>
        </is>
      </c>
      <c r="B6" s="40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2026-10-05T18:18:07Z</dcterms:created>
  <dcterms:modified xsi:type="dcterms:W3CDTF">2026-10-16T07:44:05Z</dcterms:modified>
</cp:coreProperties>
</file>