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12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5" t="inlineStr">
        <is>
          <t>برگه تست و اعتبارسنجی عملی ماژول McuPowerPath — تغذیه MCU با Q1 (PB5) و هیسترزیس 22000/21500</t>
        </is>
      </c>
      <c r="B1" s="76" t="n"/>
      <c r="C1" s="76" t="n"/>
      <c r="D1" s="76" t="n"/>
      <c r="E1" s="76" t="n"/>
      <c r="F1" s="76" t="n"/>
      <c r="G1" s="76" t="n"/>
      <c r="H1" s="76" t="n"/>
      <c r="I1" s="76" t="n"/>
      <c r="J1" s="76" t="n"/>
      <c r="K1" s="76" t="n"/>
      <c r="L1" s="76" t="n"/>
      <c r="M1" s="76" t="n"/>
      <c r="N1" s="76" t="n"/>
      <c r="O1" s="76" t="n"/>
      <c r="P1" s="76" t="n"/>
    </row>
    <row r="2" ht="14" customHeight="1">
      <c r="A2" s="77" t="inlineStr">
        <is>
          <t>ChangeOver | Q1=PB5/pin41 (BSP_GPIO_BATTERY_SWITCH) | PB4=MCU_INT_24_IN (BSP_GPIO_INPUT_24V_PRESENT) | PB11/Q17 فقط Changeover — v_in هیسترزیس 500mV</t>
        </is>
      </c>
      <c r="B2" s="76" t="n"/>
      <c r="C2" s="76" t="n"/>
      <c r="D2" s="76" t="n"/>
      <c r="E2" s="76" t="n"/>
      <c r="F2" s="76" t="n"/>
      <c r="G2" s="76" t="n"/>
      <c r="H2" s="76" t="n"/>
      <c r="I2" s="76" t="n"/>
      <c r="J2" s="76" t="n"/>
      <c r="K2" s="76" t="n"/>
      <c r="L2" s="76" t="n"/>
      <c r="M2" s="76" t="n"/>
      <c r="N2" s="76" t="n"/>
      <c r="O2" s="76" t="n"/>
      <c r="P2" s="76" t="n"/>
    </row>
    <row r="3" ht="30" customHeight="1">
      <c r="A3" s="78" t="inlineStr">
        <is>
          <t>هدف فایل</t>
        </is>
      </c>
      <c r="B3" s="79" t="n"/>
      <c r="C3" s="79" t="n"/>
      <c r="D3" s="79" t="n"/>
      <c r="E3" s="79" t="n"/>
      <c r="F3" s="79" t="n"/>
      <c r="G3" s="79" t="n"/>
      <c r="H3" s="79" t="n"/>
      <c r="I3" s="79" t="n"/>
      <c r="J3" s="79" t="n"/>
      <c r="K3" s="79" t="n"/>
      <c r="L3" s="79" t="n"/>
      <c r="M3" s="79" t="n"/>
      <c r="N3" s="79" t="n"/>
      <c r="O3" s="79" t="n"/>
      <c r="P3" s="80" t="n"/>
    </row>
    <row r="4" ht="48" customHeight="1">
      <c r="A4" s="81"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82" t="n"/>
      <c r="C4" s="82" t="n"/>
      <c r="D4" s="82" t="n"/>
      <c r="E4" s="82" t="n"/>
      <c r="F4" s="82" t="n"/>
      <c r="G4" s="82" t="n"/>
      <c r="H4" s="82" t="n"/>
      <c r="I4" s="82" t="n"/>
      <c r="J4" s="82" t="n"/>
      <c r="K4" s="82" t="n"/>
      <c r="L4" s="82" t="n"/>
      <c r="M4" s="82" t="n"/>
      <c r="N4" s="82" t="n"/>
      <c r="O4" s="82" t="n"/>
      <c r="P4" s="83" t="n"/>
    </row>
    <row r="5" ht="14" customHeight="1">
      <c r="A5" s="84" t="inlineStr">
        <is>
          <t>دامنه و مالکیت پایه‌ها</t>
        </is>
      </c>
      <c r="B5" s="82" t="n"/>
      <c r="C5" s="82" t="n"/>
      <c r="D5" s="82" t="n"/>
      <c r="E5" s="82" t="n"/>
      <c r="F5" s="82" t="n"/>
      <c r="G5" s="82" t="n"/>
      <c r="H5" s="82" t="n"/>
      <c r="I5" s="82" t="n"/>
      <c r="J5" s="82" t="n"/>
      <c r="K5" s="82" t="n"/>
      <c r="L5" s="82" t="n"/>
      <c r="M5" s="82" t="n"/>
      <c r="N5" s="82" t="n"/>
      <c r="O5" s="82" t="n"/>
      <c r="P5" s="83" t="n"/>
    </row>
    <row r="6" ht="48" customHeight="1">
      <c r="A6" s="85"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82" t="n"/>
      <c r="C6" s="82" t="n"/>
      <c r="D6" s="82" t="n"/>
      <c r="E6" s="82" t="n"/>
      <c r="F6" s="82" t="n"/>
      <c r="G6" s="82" t="n"/>
      <c r="H6" s="82" t="n"/>
      <c r="I6" s="82" t="n"/>
      <c r="J6" s="82" t="n"/>
      <c r="K6" s="82" t="n"/>
      <c r="L6" s="82" t="n"/>
      <c r="M6" s="82" t="n"/>
      <c r="N6" s="82" t="n"/>
      <c r="O6" s="82" t="n"/>
      <c r="P6" s="83" t="n"/>
    </row>
    <row r="7" ht="14" customHeight="1">
      <c r="A7" s="84" t="inlineStr">
        <is>
          <t>منطق هیسترزیس (v_in فقط)</t>
        </is>
      </c>
      <c r="B7" s="82" t="n"/>
      <c r="C7" s="82" t="n"/>
      <c r="D7" s="82" t="n"/>
      <c r="E7" s="82" t="n"/>
      <c r="F7" s="82" t="n"/>
      <c r="G7" s="82" t="n"/>
      <c r="H7" s="82" t="n"/>
      <c r="I7" s="82" t="n"/>
      <c r="J7" s="82" t="n"/>
      <c r="K7" s="82" t="n"/>
      <c r="L7" s="82" t="n"/>
      <c r="M7" s="82" t="n"/>
      <c r="N7" s="82" t="n"/>
      <c r="O7" s="82" t="n"/>
      <c r="P7" s="83" t="n"/>
    </row>
    <row r="8" ht="48" customHeight="1">
      <c r="A8" s="81"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82" t="n"/>
      <c r="C8" s="82" t="n"/>
      <c r="D8" s="82" t="n"/>
      <c r="E8" s="82" t="n"/>
      <c r="F8" s="82" t="n"/>
      <c r="G8" s="82" t="n"/>
      <c r="H8" s="82" t="n"/>
      <c r="I8" s="82" t="n"/>
      <c r="J8" s="82" t="n"/>
      <c r="K8" s="82" t="n"/>
      <c r="L8" s="82" t="n"/>
      <c r="M8" s="82" t="n"/>
      <c r="N8" s="82" t="n"/>
      <c r="O8" s="82" t="n"/>
      <c r="P8" s="83" t="n"/>
    </row>
    <row r="9" ht="14" customHeight="1">
      <c r="A9" s="84" t="inlineStr">
        <is>
          <t>روش اجرای تست</t>
        </is>
      </c>
      <c r="B9" s="82" t="n"/>
      <c r="C9" s="82" t="n"/>
      <c r="D9" s="82" t="n"/>
      <c r="E9" s="82" t="n"/>
      <c r="F9" s="82" t="n"/>
      <c r="G9" s="82" t="n"/>
      <c r="H9" s="82" t="n"/>
      <c r="I9" s="82" t="n"/>
      <c r="J9" s="82" t="n"/>
      <c r="K9" s="82" t="n"/>
      <c r="L9" s="82" t="n"/>
      <c r="M9" s="82" t="n"/>
      <c r="N9" s="82" t="n"/>
      <c r="O9" s="82" t="n"/>
      <c r="P9" s="83" t="n"/>
    </row>
    <row r="10" ht="48" customHeight="1">
      <c r="A10" s="81"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82" t="n"/>
      <c r="C10" s="82" t="n"/>
      <c r="D10" s="82" t="n"/>
      <c r="E10" s="82" t="n"/>
      <c r="F10" s="82" t="n"/>
      <c r="G10" s="82" t="n"/>
      <c r="H10" s="82" t="n"/>
      <c r="I10" s="82" t="n"/>
      <c r="J10" s="82" t="n"/>
      <c r="K10" s="82" t="n"/>
      <c r="L10" s="82" t="n"/>
      <c r="M10" s="82" t="n"/>
      <c r="N10" s="82" t="n"/>
      <c r="O10" s="82" t="n"/>
      <c r="P10" s="83" t="n"/>
    </row>
    <row r="11" ht="14" customHeight="1">
      <c r="A11" s="84" t="inlineStr">
        <is>
          <t>معیار قبولی کلی</t>
        </is>
      </c>
      <c r="B11" s="82" t="n"/>
      <c r="C11" s="82" t="n"/>
      <c r="D11" s="82" t="n"/>
      <c r="E11" s="82" t="n"/>
      <c r="F11" s="82" t="n"/>
      <c r="G11" s="82" t="n"/>
      <c r="H11" s="82" t="n"/>
      <c r="I11" s="82" t="n"/>
      <c r="J11" s="82" t="n"/>
      <c r="K11" s="82" t="n"/>
      <c r="L11" s="82" t="n"/>
      <c r="M11" s="82" t="n"/>
      <c r="N11" s="82" t="n"/>
      <c r="O11" s="82" t="n"/>
      <c r="P11" s="83" t="n"/>
    </row>
    <row r="12" ht="48" customHeight="1">
      <c r="A12" s="81"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82" t="n"/>
      <c r="C12" s="82" t="n"/>
      <c r="D12" s="82" t="n"/>
      <c r="E12" s="82" t="n"/>
      <c r="F12" s="82" t="n"/>
      <c r="G12" s="82" t="n"/>
      <c r="H12" s="82" t="n"/>
      <c r="I12" s="82" t="n"/>
      <c r="J12" s="82" t="n"/>
      <c r="K12" s="82" t="n"/>
      <c r="L12" s="82" t="n"/>
      <c r="M12" s="82" t="n"/>
      <c r="N12" s="82" t="n"/>
      <c r="O12" s="82" t="n"/>
      <c r="P12" s="83" t="n"/>
    </row>
    <row r="13" ht="14" customHeight="1">
      <c r="A13" s="84" t="inlineStr">
        <is>
          <t>ثابت‌ها</t>
        </is>
      </c>
      <c r="B13" s="82" t="n"/>
      <c r="C13" s="82" t="n"/>
      <c r="D13" s="82" t="n"/>
      <c r="E13" s="82" t="n"/>
      <c r="F13" s="82" t="n"/>
      <c r="G13" s="82" t="n"/>
      <c r="H13" s="82" t="n"/>
      <c r="I13" s="82" t="n"/>
      <c r="J13" s="82" t="n"/>
      <c r="K13" s="82" t="n"/>
      <c r="L13" s="82" t="n"/>
      <c r="M13" s="82" t="n"/>
      <c r="N13" s="82" t="n"/>
      <c r="O13" s="82" t="n"/>
      <c r="P13" s="83" t="n"/>
    </row>
    <row r="14" ht="34" customHeight="1">
      <c r="A14" s="85" t="inlineStr">
        <is>
          <t>MCU_POWER_INPUT_QUALIFY_MV=22000u, RECONNECT=21500u, HYSTERESIS=500u, STABLE_MS=5000u در mcu_power_path.h — فقط v_in، مستقل از Changeover 21000/20800/21200/3000ms.</t>
        </is>
      </c>
      <c r="B14" s="82" t="n"/>
      <c r="C14" s="82" t="n"/>
      <c r="D14" s="82" t="n"/>
      <c r="E14" s="82" t="n"/>
      <c r="F14" s="82" t="n"/>
      <c r="G14" s="82" t="n"/>
      <c r="H14" s="82" t="n"/>
      <c r="I14" s="82" t="n"/>
      <c r="J14" s="82" t="n"/>
      <c r="K14" s="82" t="n"/>
      <c r="L14" s="82" t="n"/>
      <c r="M14" s="82" t="n"/>
      <c r="N14" s="82" t="n"/>
      <c r="O14" s="82" t="n"/>
      <c r="P14" s="83" t="n"/>
    </row>
    <row r="15" ht="14" customHeight="1">
      <c r="A15" s="84" t="inlineStr">
        <is>
          <t>ابزار</t>
        </is>
      </c>
      <c r="B15" s="82" t="n"/>
      <c r="C15" s="82" t="n"/>
      <c r="D15" s="82" t="n"/>
      <c r="E15" s="82" t="n"/>
      <c r="F15" s="82" t="n"/>
      <c r="G15" s="82" t="n"/>
      <c r="H15" s="82" t="n"/>
      <c r="I15" s="82" t="n"/>
      <c r="J15" s="82" t="n"/>
      <c r="K15" s="82" t="n"/>
      <c r="L15" s="82" t="n"/>
      <c r="M15" s="82" t="n"/>
      <c r="N15" s="82" t="n"/>
      <c r="O15" s="82" t="n"/>
      <c r="P15" s="83" t="n"/>
    </row>
    <row r="16" ht="34" customHeight="1">
      <c r="A16" s="85" t="inlineStr">
        <is>
          <t>منبع آزمایشگاهی + DMM + اسکوپ + تایمر RTOS (osKernelGetTickCount + rtos_time.h) + فایل DOC/State.xlsx بدون تغییر.</t>
        </is>
      </c>
      <c r="B16" s="82" t="n"/>
      <c r="C16" s="82" t="n"/>
      <c r="D16" s="82" t="n"/>
      <c r="E16" s="82" t="n"/>
      <c r="F16" s="82" t="n"/>
      <c r="G16" s="82" t="n"/>
      <c r="H16" s="82" t="n"/>
      <c r="I16" s="82" t="n"/>
      <c r="J16" s="82" t="n"/>
      <c r="K16" s="82" t="n"/>
      <c r="L16" s="82" t="n"/>
      <c r="M16" s="82" t="n"/>
      <c r="N16" s="82" t="n"/>
      <c r="O16" s="82" t="n"/>
      <c r="P16" s="83"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6" t="inlineStr">
        <is>
          <t>برنامهٔ تست عملی — ماژول McuPowerPath (Q1=PB5, PB4 presence, هیسترزیس 22000/21500, 5000ms)  — ChangeOver</t>
        </is>
      </c>
      <c r="B1" s="76" t="n"/>
      <c r="C1" s="76" t="n"/>
      <c r="D1" s="76" t="n"/>
      <c r="E1" s="76" t="n"/>
      <c r="F1" s="76" t="n"/>
      <c r="G1" s="76" t="n"/>
      <c r="H1" s="76" t="n"/>
      <c r="I1" s="76" t="n"/>
      <c r="J1" s="76" t="n"/>
      <c r="K1" s="76" t="n"/>
      <c r="L1" s="76" t="n"/>
      <c r="M1" s="76" t="n"/>
      <c r="N1" s="76" t="n"/>
      <c r="O1" s="76" t="n"/>
      <c r="P1" s="76" t="n"/>
      <c r="Q1" s="76" t="n"/>
    </row>
    <row r="2" ht="14" customHeight="1">
      <c r="A2" s="87" t="inlineStr">
        <is>
          <t>ورودی‌ها بر حسب mV؛ زمان‌ها بر حسب ms. PB5 Low=وصل، High=قطع. هیسترزیس فقط v_in (نه v_bat). PB4 falling → ISR فوری Low (بدون ADC). PB11 بدون تغییر.</t>
        </is>
      </c>
      <c r="B2" s="76" t="n"/>
      <c r="C2" s="76" t="n"/>
      <c r="D2" s="76" t="n"/>
      <c r="E2" s="76" t="n"/>
      <c r="F2" s="76" t="n"/>
      <c r="G2" s="76" t="n"/>
      <c r="H2" s="76" t="n"/>
      <c r="I2" s="76" t="n"/>
      <c r="J2" s="76" t="n"/>
      <c r="K2" s="76" t="n"/>
      <c r="L2" s="76" t="n"/>
      <c r="M2" s="76" t="n"/>
      <c r="N2" s="76" t="n"/>
      <c r="O2" s="76" t="n"/>
      <c r="P2" s="76" t="n"/>
      <c r="Q2" s="76" t="n"/>
    </row>
    <row r="3" ht="12" customHeight="1">
      <c r="A3" s="88" t="inlineStr">
        <is>
          <t>برای هر ردیف: snapshot.valid، v_in_mv (یا counts ADC)، PB4 level، v_bat (برای بی‌اثری)، و وضعیت اولیه Q1 را ثبت کن. زمان‌ها را با rtos_time بسنج، نه فرض tick=1ms.</t>
        </is>
      </c>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76" t="n"/>
      <c r="B5" s="76" t="n"/>
      <c r="C5" s="76" t="n"/>
      <c r="D5" s="76" t="n"/>
      <c r="E5" s="76" t="inlineStr">
        <is>
          <t>../Changeover/Changeover_Board_Validation.xlsx#'برنامه تست'!A5</t>
        </is>
      </c>
      <c r="F5" s="76" t="inlineStr">
        <is>
          <t>../Changeover/Changeover_Board_Validation.xlsx#'برنامه تست'!A5</t>
        </is>
      </c>
      <c r="G5" s="76" t="n"/>
      <c r="H5" s="76" t="n"/>
      <c r="I5" s="76" t="inlineStr">
        <is>
          <t>../Changeover/changeover.c</t>
        </is>
      </c>
      <c r="J5" s="76" t="n"/>
      <c r="K5" s="76" t="n"/>
      <c r="L5" s="76" t="n"/>
      <c r="M5" s="76" t="n"/>
      <c r="N5" s="76" t="n"/>
      <c r="O5" s="76" t="n"/>
      <c r="P5" s="76" t="n"/>
      <c r="Q5" s="89">
        <f>IF(OR(L23="",L23="در انتظار"),"",IF(Q23="",TODAY(),Q23))</f>
        <v/>
      </c>
    </row>
    <row r="6" ht="54" customHeight="1">
      <c r="A6" s="76" t="n"/>
      <c r="B6" s="76" t="n"/>
      <c r="C6" s="76" t="n"/>
      <c r="D6" s="76" t="n"/>
      <c r="E6" s="76" t="n"/>
      <c r="F6" s="76" t="n"/>
      <c r="G6" s="76" t="n"/>
      <c r="H6" s="76" t="n"/>
      <c r="I6" s="76" t="n"/>
      <c r="J6" s="76" t="n"/>
      <c r="K6" s="76" t="n"/>
      <c r="L6" s="76" t="n"/>
      <c r="M6" s="76" t="n"/>
      <c r="N6" s="76" t="n"/>
      <c r="O6" s="76" t="n"/>
      <c r="P6" s="76" t="n"/>
      <c r="Q6" s="89">
        <f>IF(OR(L24="",L24="در انتظار"),"",IF(Q24="",TODAY(),Q24))</f>
        <v/>
      </c>
    </row>
    <row r="7" ht="54" customHeight="1">
      <c r="A7" s="76" t="n"/>
      <c r="B7" s="76" t="n"/>
      <c r="C7" s="76" t="n"/>
      <c r="D7" s="76" t="n"/>
      <c r="E7" s="76" t="n"/>
      <c r="F7" s="76" t="n"/>
      <c r="G7" s="76" t="n"/>
      <c r="H7" s="76" t="n"/>
      <c r="I7" s="76" t="n"/>
      <c r="J7" s="76" t="n"/>
      <c r="K7" s="76" t="n"/>
      <c r="L7" s="76" t="n"/>
      <c r="M7" s="76" t="n"/>
      <c r="N7" s="76" t="n"/>
      <c r="O7" s="76" t="n"/>
      <c r="P7" s="76" t="n"/>
      <c r="Q7" s="89">
        <f>IF(OR(L25="",L25="در انتظار"),"",IF(Q25="",TODAY(),Q25))</f>
        <v/>
      </c>
    </row>
    <row r="8" ht="54" customHeight="1">
      <c r="A8" s="76" t="n"/>
      <c r="B8" s="76" t="n"/>
      <c r="C8" s="76" t="n"/>
      <c r="D8" s="76" t="n"/>
      <c r="E8" s="76" t="n"/>
      <c r="F8" s="76" t="n"/>
      <c r="G8" s="76" t="n"/>
      <c r="H8" s="76" t="n"/>
      <c r="I8" s="76" t="n"/>
      <c r="J8" s="76" t="n"/>
      <c r="K8" s="76" t="n"/>
      <c r="L8" s="76" t="n"/>
      <c r="M8" s="76" t="n"/>
      <c r="N8" s="76" t="n"/>
      <c r="O8" s="76" t="n"/>
      <c r="P8" s="76" t="n"/>
      <c r="Q8" s="89">
        <f>IF(OR(L26="",L26="در انتظار"),"",IF(Q26="",TODAY(),Q26))</f>
        <v/>
      </c>
    </row>
    <row r="9" ht="54" customHeight="1">
      <c r="A9" s="76" t="n"/>
      <c r="B9" s="76" t="n"/>
      <c r="C9" s="76" t="n"/>
      <c r="D9" s="76" t="n"/>
      <c r="E9" s="76" t="n"/>
      <c r="F9" s="76" t="n"/>
      <c r="G9" s="76" t="n"/>
      <c r="H9" s="76" t="n"/>
      <c r="I9" s="76" t="n"/>
      <c r="J9" s="76" t="n"/>
      <c r="K9" s="76" t="n"/>
      <c r="L9" s="76" t="n"/>
      <c r="M9" s="76" t="n"/>
      <c r="N9" s="76" t="n"/>
      <c r="O9" s="76" t="n"/>
      <c r="P9" s="76" t="n"/>
      <c r="Q9" s="89">
        <f>IF(OR(L27="",L27="در انتظار"),"",IF(Q27="",TODAY(),Q27))</f>
        <v/>
      </c>
    </row>
    <row r="10" ht="54" customHeight="1">
      <c r="A10" s="76" t="n"/>
      <c r="B10" s="76" t="n"/>
      <c r="C10" s="76" t="n"/>
      <c r="D10" s="76" t="n"/>
      <c r="E10" s="76" t="n"/>
      <c r="F10" s="76" t="n"/>
      <c r="G10" s="76" t="n"/>
      <c r="H10" s="76" t="n"/>
      <c r="I10" s="76" t="n"/>
      <c r="J10" s="76" t="n"/>
      <c r="K10" s="76" t="n"/>
      <c r="L10" s="76" t="n"/>
      <c r="M10" s="76" t="n"/>
      <c r="N10" s="76" t="n"/>
      <c r="O10" s="76" t="n"/>
      <c r="P10" s="76" t="n"/>
      <c r="Q10" s="89">
        <f>IF(OR(L28="",L28="در انتظار"),"",IF(Q28="",TODAY(),Q28))</f>
        <v/>
      </c>
    </row>
    <row r="11" ht="54" customHeight="1">
      <c r="A11" s="76" t="n"/>
      <c r="B11" s="76" t="n"/>
      <c r="C11" s="76" t="n"/>
      <c r="D11" s="76" t="n"/>
      <c r="E11" s="76" t="n"/>
      <c r="F11" s="76" t="n"/>
      <c r="G11" s="76" t="n"/>
      <c r="H11" s="76" t="n"/>
      <c r="I11" s="76" t="n"/>
      <c r="J11" s="76" t="n"/>
      <c r="K11" s="76" t="n"/>
      <c r="L11" s="76" t="n"/>
      <c r="M11" s="76" t="n"/>
      <c r="N11" s="76" t="n"/>
      <c r="O11" s="76" t="n"/>
      <c r="P11" s="76" t="n"/>
      <c r="Q11" s="89">
        <f>IF(OR(L29="",L29="در انتظار"),"",IF(Q29="",TODAY(),Q29))</f>
        <v/>
      </c>
    </row>
    <row r="12" ht="54" customHeight="1">
      <c r="A12" s="76" t="n"/>
      <c r="B12" s="76" t="n"/>
      <c r="C12" s="76" t="n"/>
      <c r="D12" s="76" t="n"/>
      <c r="E12" s="76" t="n"/>
      <c r="F12" s="76" t="n"/>
      <c r="G12" s="76" t="n"/>
      <c r="H12" s="76" t="n"/>
      <c r="I12" s="76" t="n"/>
      <c r="J12" s="76" t="n"/>
      <c r="K12" s="76" t="n"/>
      <c r="L12" s="76" t="n"/>
      <c r="M12" s="76" t="n"/>
      <c r="N12" s="76" t="n"/>
      <c r="O12" s="76" t="n"/>
      <c r="P12" s="76" t="n"/>
      <c r="Q12" s="89">
        <f>IF(OR(L30="",L30="در انتظار"),"",IF(Q30="",TODAY(),Q30))</f>
        <v/>
      </c>
    </row>
    <row r="13" ht="54" customHeight="1">
      <c r="A13" s="76" t="n"/>
      <c r="B13" s="76" t="n"/>
      <c r="C13" s="76" t="n"/>
      <c r="D13" s="76" t="n"/>
      <c r="E13" s="76" t="n"/>
      <c r="F13" s="76" t="n"/>
      <c r="G13" s="76" t="n"/>
      <c r="H13" s="76" t="n"/>
      <c r="I13" s="76" t="n"/>
      <c r="J13" s="76" t="n"/>
      <c r="K13" s="76" t="n"/>
      <c r="L13" s="76" t="n"/>
      <c r="M13" s="76" t="n"/>
      <c r="N13" s="76" t="n"/>
      <c r="O13" s="76" t="n"/>
      <c r="P13" s="76" t="n"/>
      <c r="Q13" s="89">
        <f>IF(OR(L31="",L31="در انتظار"),"",IF(Q31="",TODAY(),Q31))</f>
        <v/>
      </c>
    </row>
    <row r="14" ht="54" customHeight="1">
      <c r="A14" s="76" t="n"/>
      <c r="B14" s="76" t="n"/>
      <c r="C14" s="76" t="n"/>
      <c r="D14" s="76" t="n"/>
      <c r="E14" s="76" t="n"/>
      <c r="F14" s="76" t="n"/>
      <c r="G14" s="76" t="n"/>
      <c r="H14" s="76" t="n"/>
      <c r="I14" s="76" t="n"/>
      <c r="J14" s="76" t="n"/>
      <c r="K14" s="76" t="n"/>
      <c r="L14" s="76" t="n"/>
      <c r="M14" s="76" t="n"/>
      <c r="N14" s="76" t="n"/>
      <c r="O14" s="76" t="n"/>
      <c r="P14" s="76" t="n"/>
      <c r="Q14" s="89">
        <f>IF(OR(L32="",L32="در انتظار"),"",IF(Q32="",TODAY(),Q32))</f>
        <v/>
      </c>
    </row>
    <row r="15" ht="54" customHeight="1">
      <c r="A15" s="76" t="n"/>
      <c r="B15" s="76" t="n"/>
      <c r="C15" s="76" t="n"/>
      <c r="D15" s="76" t="n"/>
      <c r="E15" s="76" t="n"/>
      <c r="F15" s="76" t="n"/>
      <c r="G15" s="76" t="n"/>
      <c r="H15" s="76" t="n"/>
      <c r="I15" s="76" t="n"/>
      <c r="J15" s="76" t="n"/>
      <c r="K15" s="76" t="n"/>
      <c r="L15" s="76" t="n"/>
      <c r="M15" s="76" t="n"/>
      <c r="N15" s="76" t="n"/>
      <c r="O15" s="76" t="n"/>
      <c r="P15" s="76" t="n"/>
      <c r="Q15" s="89">
        <f>IF(OR(L33="",L33="در انتظار"),"",IF(Q33="",TODAY(),Q33))</f>
        <v/>
      </c>
    </row>
    <row r="16" ht="54" customHeight="1">
      <c r="A16" s="76" t="n"/>
      <c r="B16" s="76" t="n"/>
      <c r="C16" s="76" t="n"/>
      <c r="D16" s="76" t="n"/>
      <c r="E16" s="76" t="n"/>
      <c r="F16" s="76" t="n"/>
      <c r="G16" s="76" t="n"/>
      <c r="H16" s="76" t="n"/>
      <c r="I16" s="76" t="n"/>
      <c r="J16" s="76" t="n"/>
      <c r="K16" s="76" t="n"/>
      <c r="L16" s="76" t="n"/>
      <c r="M16" s="76" t="n"/>
      <c r="N16" s="76" t="n"/>
      <c r="O16" s="76" t="n"/>
      <c r="P16" s="76" t="n"/>
      <c r="Q16" s="89">
        <f>IF(OR(L34="",L34="در انتظار"),"",IF(Q34="",TODAY(),Q34))</f>
        <v/>
      </c>
    </row>
    <row r="17" ht="54" customHeight="1">
      <c r="A17" s="76" t="n"/>
      <c r="B17" s="76" t="n"/>
      <c r="C17" s="76" t="n"/>
      <c r="D17" s="76" t="n"/>
      <c r="E17" s="76" t="n"/>
      <c r="F17" s="76" t="n"/>
      <c r="G17" s="76" t="n"/>
      <c r="H17" s="76" t="n"/>
      <c r="I17" s="76" t="n"/>
      <c r="J17" s="76" t="n"/>
      <c r="K17" s="76" t="n"/>
      <c r="L17" s="76" t="n"/>
      <c r="M17" s="76" t="n"/>
      <c r="N17" s="76" t="n"/>
      <c r="O17" s="76" t="n"/>
      <c r="P17" s="76" t="n"/>
      <c r="Q17" s="89">
        <f>IF(OR(L35="",L35="در انتظار"),"",IF(Q35="",TODAY(),Q35))</f>
        <v/>
      </c>
    </row>
    <row r="18" ht="54" customHeight="1">
      <c r="A18" s="76" t="n"/>
      <c r="B18" s="76" t="n"/>
      <c r="C18" s="76" t="n"/>
      <c r="D18" s="76" t="n"/>
      <c r="E18" s="76" t="n"/>
      <c r="F18" s="76" t="n"/>
      <c r="G18" s="76" t="n"/>
      <c r="H18" s="76" t="n"/>
      <c r="I18" s="76" t="n"/>
      <c r="J18" s="76" t="n"/>
      <c r="K18" s="76" t="n"/>
      <c r="L18" s="76" t="n"/>
      <c r="M18" s="76" t="n"/>
      <c r="N18" s="76" t="n"/>
      <c r="O18" s="76" t="n"/>
      <c r="P18" s="76" t="n"/>
      <c r="Q18" s="89">
        <f>IF(OR(L36="",L36="در انتظار"),"",IF(Q36="",TODAY(),Q36))</f>
        <v/>
      </c>
    </row>
    <row r="19" ht="54" customHeight="1">
      <c r="A19" s="76" t="n"/>
      <c r="B19" s="76" t="n"/>
      <c r="C19" s="76" t="n"/>
      <c r="D19" s="76" t="n"/>
      <c r="E19" s="76" t="n"/>
      <c r="F19" s="76" t="n"/>
      <c r="G19" s="76" t="n"/>
      <c r="H19" s="76" t="n"/>
      <c r="I19" s="76" t="n"/>
      <c r="J19" s="76" t="n"/>
      <c r="K19" s="76" t="n"/>
      <c r="L19" s="76" t="n"/>
      <c r="M19" s="76" t="n"/>
      <c r="N19" s="76" t="n"/>
      <c r="O19" s="76" t="n"/>
      <c r="P19" s="76" t="n"/>
      <c r="Q19" s="89">
        <f>IF(OR(L37="",L37="در انتظار"),"",IF(Q37="",TODAY(),Q37))</f>
        <v/>
      </c>
    </row>
    <row r="20" ht="54" customHeight="1">
      <c r="A20" s="76" t="n"/>
      <c r="B20" s="76" t="n"/>
      <c r="C20" s="76" t="n"/>
      <c r="D20" s="76" t="n"/>
      <c r="E20" s="76" t="n"/>
      <c r="F20" s="76" t="n"/>
      <c r="G20" s="76" t="n"/>
      <c r="H20" s="76" t="n"/>
      <c r="I20" s="76" t="n"/>
      <c r="J20" s="76" t="n"/>
      <c r="K20" s="76" t="n"/>
      <c r="L20" s="76" t="n"/>
      <c r="M20" s="76" t="n"/>
      <c r="N20" s="76" t="n"/>
      <c r="O20" s="76" t="n"/>
      <c r="P20" s="76" t="n"/>
      <c r="Q20" s="89">
        <f>IF(OR(L38="",L38="در انتظار"),"",IF(Q38="",TODAY(),Q38))</f>
        <v/>
      </c>
    </row>
    <row r="21" ht="54" customHeight="1">
      <c r="A21" s="76" t="n"/>
      <c r="B21" s="76" t="n"/>
      <c r="C21" s="76" t="n"/>
      <c r="D21" s="76" t="n"/>
      <c r="E21" s="76" t="n"/>
      <c r="F21" s="76" t="n"/>
      <c r="G21" s="76" t="n"/>
      <c r="H21" s="76" t="n"/>
      <c r="I21" s="76" t="inlineStr">
        <is>
          <t>../Changeover/changeover.c</t>
        </is>
      </c>
      <c r="J21" s="76" t="n"/>
      <c r="K21" s="76" t="n"/>
      <c r="L21" s="76" t="n"/>
      <c r="M21" s="76" t="n"/>
      <c r="N21" s="76" t="n"/>
      <c r="O21" s="76" t="n"/>
      <c r="P21" s="76" t="n"/>
      <c r="Q21" s="89">
        <f>IF(OR(L39="",L39="در انتظار"),"",IF(Q39="",TODAY(),Q39))</f>
        <v/>
      </c>
    </row>
    <row r="22" ht="54" customHeight="1">
      <c r="A22" s="76" t="n"/>
      <c r="B22" s="76" t="n"/>
      <c r="C22" s="76" t="n"/>
      <c r="D22" s="76" t="n"/>
      <c r="E22" s="76" t="n"/>
      <c r="F22" s="76" t="n"/>
      <c r="G22" s="76" t="n"/>
      <c r="H22" s="76" t="n"/>
      <c r="I22" s="76" t="n"/>
      <c r="J22" s="76" t="n"/>
      <c r="K22" s="76" t="n"/>
      <c r="L22" s="76" t="n"/>
      <c r="M22" s="76" t="n"/>
      <c r="N22" s="76" t="n"/>
      <c r="O22" s="76" t="n"/>
      <c r="P22" s="76" t="n"/>
      <c r="Q22" s="89">
        <f>IF(OR(L40="",L40="در انتظار"),"",IF(Q40="",TODAY(),Q40))</f>
        <v/>
      </c>
    </row>
    <row r="23">
      <c r="A23" s="76" t="n"/>
      <c r="B23" s="76" t="n"/>
      <c r="C23" s="76" t="n"/>
      <c r="D23" s="76" t="n"/>
      <c r="E23" s="76" t="n"/>
      <c r="F23" s="76" t="n"/>
      <c r="G23" s="76" t="n"/>
      <c r="H23" s="76" t="n"/>
      <c r="I23" s="76" t="n"/>
      <c r="J23" s="76" t="n"/>
      <c r="K23" s="76" t="n"/>
      <c r="L23" s="76" t="n"/>
      <c r="M23" s="76" t="n"/>
      <c r="N23" s="76" t="n"/>
      <c r="O23" s="76" t="n"/>
      <c r="P23" s="76" t="n"/>
      <c r="Q23" s="89">
        <f>IF(OR(L41="",L41="در انتظار"),"",IF(Q41="",TODAY(),Q41))</f>
        <v/>
      </c>
    </row>
    <row r="24">
      <c r="A24" s="76" t="n"/>
      <c r="B24" s="76" t="n"/>
      <c r="C24" s="76" t="n"/>
      <c r="D24" s="76" t="n"/>
      <c r="E24" s="76" t="n"/>
      <c r="F24" s="76" t="n"/>
      <c r="G24" s="76" t="n"/>
      <c r="H24" s="76" t="n"/>
      <c r="I24" s="76" t="n"/>
      <c r="J24" s="76" t="n"/>
      <c r="K24" s="76" t="n"/>
      <c r="L24" s="76" t="n"/>
      <c r="M24" s="76" t="n"/>
      <c r="N24" s="76" t="n"/>
      <c r="O24" s="76" t="n"/>
      <c r="P24" s="76" t="n"/>
      <c r="Q24" s="89">
        <f>IF(OR(L42="",L42="در انتظار"),"",IF(Q42="",TODAY(),Q42))</f>
        <v/>
      </c>
    </row>
    <row r="25">
      <c r="A25" s="76" t="n"/>
      <c r="B25" s="76" t="n"/>
      <c r="C25" s="76" t="n"/>
      <c r="D25" s="76" t="n"/>
      <c r="E25" s="76" t="n"/>
      <c r="F25" s="76" t="n"/>
      <c r="G25" s="76" t="n"/>
      <c r="H25" s="76" t="n"/>
      <c r="I25" s="76" t="n"/>
      <c r="J25" s="76" t="n"/>
      <c r="K25" s="76" t="n"/>
      <c r="L25" s="76" t="n"/>
      <c r="M25" s="76" t="n"/>
      <c r="N25" s="76" t="n"/>
      <c r="O25" s="76" t="n"/>
      <c r="P25" s="76" t="n"/>
      <c r="Q25" s="89">
        <f>IF(OR(L43="",L43="در انتظار"),"",IF(Q43="",TODAY(),Q43))</f>
        <v/>
      </c>
    </row>
    <row r="26">
      <c r="A26" s="76" t="n"/>
      <c r="B26" s="76" t="n"/>
      <c r="C26" s="76" t="n"/>
      <c r="D26" s="76" t="n"/>
      <c r="E26" s="76" t="n"/>
      <c r="F26" s="76" t="n"/>
      <c r="G26" s="76" t="n"/>
      <c r="H26" s="76" t="n"/>
      <c r="I26" s="76" t="n"/>
      <c r="J26" s="76" t="n"/>
      <c r="K26" s="76" t="n"/>
      <c r="L26" s="76" t="n"/>
      <c r="M26" s="76" t="n"/>
      <c r="N26" s="76" t="n"/>
      <c r="O26" s="76" t="n"/>
      <c r="P26" s="76" t="n"/>
      <c r="Q26" s="89">
        <f>IF(OR(L44="",L44="در انتظار"),"",IF(Q44="",TODAY(),Q44))</f>
        <v/>
      </c>
    </row>
    <row r="27">
      <c r="A27" s="76" t="n"/>
      <c r="B27" s="76" t="n"/>
      <c r="C27" s="76" t="n"/>
      <c r="D27" s="76" t="n"/>
      <c r="E27" s="76" t="n"/>
      <c r="F27" s="76" t="n"/>
      <c r="G27" s="76" t="n"/>
      <c r="H27" s="76" t="n"/>
      <c r="I27" s="76" t="n"/>
      <c r="J27" s="76" t="n"/>
      <c r="K27" s="76" t="n"/>
      <c r="L27" s="76" t="n"/>
      <c r="M27" s="76" t="n"/>
      <c r="N27" s="76" t="n"/>
      <c r="O27" s="76" t="n"/>
      <c r="P27" s="76" t="n"/>
      <c r="Q27" s="89">
        <f>IF(OR(L45="",L45="در انتظار"),"",IF(Q45="",TODAY(),Q45))</f>
        <v/>
      </c>
    </row>
    <row r="28">
      <c r="A28" s="76" t="n"/>
      <c r="B28" s="76" t="n"/>
      <c r="C28" s="76" t="n"/>
      <c r="D28" s="76" t="n"/>
      <c r="E28" s="76" t="n"/>
      <c r="F28" s="76" t="n"/>
      <c r="G28" s="76" t="n"/>
      <c r="H28" s="76" t="n"/>
      <c r="I28" s="76" t="n"/>
      <c r="J28" s="76" t="n"/>
      <c r="K28" s="76" t="n"/>
      <c r="L28" s="76" t="n"/>
      <c r="M28" s="76" t="n"/>
      <c r="N28" s="76" t="n"/>
      <c r="O28" s="76" t="n"/>
      <c r="P28" s="76" t="n"/>
      <c r="Q28" s="89">
        <f>IF(OR(L46="",L46="در انتظار"),"",IF(Q46="",TODAY(),Q46))</f>
        <v/>
      </c>
    </row>
    <row r="29">
      <c r="A29" s="76" t="n"/>
      <c r="B29" s="76" t="n"/>
      <c r="C29" s="76" t="n"/>
      <c r="D29" s="76" t="n"/>
      <c r="E29" s="76" t="n"/>
      <c r="F29" s="76" t="n"/>
      <c r="G29" s="76" t="n"/>
      <c r="H29" s="76" t="n"/>
      <c r="I29" s="76" t="n"/>
      <c r="J29" s="76" t="n"/>
      <c r="K29" s="76" t="n"/>
      <c r="L29" s="76" t="n"/>
      <c r="M29" s="76" t="n"/>
      <c r="N29" s="76" t="n"/>
      <c r="O29" s="76" t="n"/>
      <c r="P29" s="76" t="n"/>
      <c r="Q29" s="89">
        <f>IF(OR(L47="",L47="در انتظار"),"",IF(Q47="",TODAY(),Q47))</f>
        <v/>
      </c>
    </row>
    <row r="30">
      <c r="A30" s="76" t="n"/>
      <c r="B30" s="76" t="n"/>
      <c r="C30" s="76" t="n"/>
      <c r="D30" s="76" t="n"/>
      <c r="E30" s="76" t="n"/>
      <c r="F30" s="76" t="n"/>
      <c r="G30" s="76" t="n"/>
      <c r="H30" s="76" t="n"/>
      <c r="I30" s="76" t="n"/>
      <c r="J30" s="76" t="n"/>
      <c r="K30" s="76" t="n"/>
      <c r="L30" s="76" t="n"/>
      <c r="M30" s="76" t="n"/>
      <c r="N30" s="76" t="n"/>
      <c r="O30" s="76" t="n"/>
      <c r="P30" s="76" t="n"/>
      <c r="Q30" s="89">
        <f>IF(OR(L48="",L48="در انتظار"),"",IF(Q48="",TODAY(),Q48))</f>
        <v/>
      </c>
    </row>
    <row r="31">
      <c r="A31" s="76" t="n"/>
      <c r="B31" s="76" t="n"/>
      <c r="C31" s="76" t="n"/>
      <c r="D31" s="76" t="n"/>
      <c r="E31" s="76" t="n"/>
      <c r="F31" s="76" t="n"/>
      <c r="G31" s="76" t="n"/>
      <c r="H31" s="76" t="n"/>
      <c r="I31" s="76" t="n"/>
      <c r="J31" s="76" t="n"/>
      <c r="K31" s="76" t="n"/>
      <c r="L31" s="76" t="n"/>
      <c r="M31" s="76" t="n"/>
      <c r="N31" s="76" t="n"/>
      <c r="O31" s="76" t="n"/>
      <c r="P31" s="76" t="n"/>
      <c r="Q31" s="89">
        <f>IF(OR(L49="",L49="در انتظار"),"",IF(Q49="",TODAY(),Q49))</f>
        <v/>
      </c>
    </row>
    <row r="32">
      <c r="A32" s="76" t="n"/>
      <c r="B32" s="76" t="n"/>
      <c r="C32" s="76" t="n"/>
      <c r="D32" s="76" t="n"/>
      <c r="E32" s="76" t="n"/>
      <c r="F32" s="76" t="n"/>
      <c r="G32" s="76" t="n"/>
      <c r="H32" s="76" t="n"/>
      <c r="I32" s="76" t="n"/>
      <c r="J32" s="76" t="n"/>
      <c r="K32" s="76" t="n"/>
      <c r="L32" s="76" t="n"/>
      <c r="M32" s="76" t="n"/>
      <c r="N32" s="76" t="n"/>
      <c r="O32" s="76" t="n"/>
      <c r="P32" s="76" t="n"/>
      <c r="Q32" s="89">
        <f>IF(OR(L50="",L50="در انتظار"),"",IF(Q50="",TODAY(),Q50))</f>
        <v/>
      </c>
    </row>
    <row r="33">
      <c r="A33" s="76" t="n"/>
      <c r="B33" s="76" t="n"/>
      <c r="C33" s="76" t="n"/>
      <c r="D33" s="76" t="n"/>
      <c r="E33" s="76" t="n"/>
      <c r="F33" s="76" t="n"/>
      <c r="G33" s="76" t="n"/>
      <c r="H33" s="76" t="n"/>
      <c r="I33" s="76" t="n"/>
      <c r="J33" s="76" t="n"/>
      <c r="K33" s="76" t="n"/>
      <c r="L33" s="76" t="n"/>
      <c r="M33" s="76" t="n"/>
      <c r="N33" s="76" t="n"/>
      <c r="O33" s="76" t="n"/>
      <c r="P33" s="76" t="n"/>
      <c r="Q33" s="89">
        <f>IF(OR(L51="",L51="در انتظار"),"",IF(Q51="",TODAY(),Q51))</f>
        <v/>
      </c>
    </row>
    <row r="34">
      <c r="A34" s="76" t="n"/>
      <c r="B34" s="76" t="n"/>
      <c r="C34" s="76" t="n"/>
      <c r="D34" s="76" t="n"/>
      <c r="E34" s="76" t="n"/>
      <c r="F34" s="76" t="n"/>
      <c r="G34" s="76" t="n"/>
      <c r="H34" s="76" t="n"/>
      <c r="I34" s="76" t="n"/>
      <c r="J34" s="76" t="n"/>
      <c r="K34" s="76" t="n"/>
      <c r="L34" s="76" t="n"/>
      <c r="M34" s="76" t="n"/>
      <c r="N34" s="76" t="n"/>
      <c r="O34" s="76" t="n"/>
      <c r="P34" s="76" t="n"/>
      <c r="Q34" s="89">
        <f>IF(OR(L52="",L52="در انتظار"),"",IF(Q52="",TODAY(),Q52))</f>
        <v/>
      </c>
    </row>
    <row r="35">
      <c r="A35" s="76" t="n"/>
      <c r="B35" s="76" t="n"/>
      <c r="C35" s="76" t="n"/>
      <c r="D35" s="76" t="n"/>
      <c r="E35" s="76" t="n"/>
      <c r="F35" s="76" t="n"/>
      <c r="G35" s="76" t="n"/>
      <c r="H35" s="76" t="n"/>
      <c r="I35" s="76" t="n"/>
      <c r="J35" s="76" t="n"/>
      <c r="K35" s="76" t="n"/>
      <c r="L35" s="76" t="n"/>
      <c r="M35" s="76" t="n"/>
      <c r="N35" s="76" t="n"/>
      <c r="O35" s="76" t="n"/>
      <c r="P35" s="76" t="n"/>
      <c r="Q35" s="89">
        <f>IF(OR(L53="",L53="در انتظار"),"",IF(Q53="",TODAY(),Q53))</f>
        <v/>
      </c>
    </row>
    <row r="36">
      <c r="A36" s="76" t="n"/>
      <c r="B36" s="76" t="n"/>
      <c r="C36" s="76" t="n"/>
      <c r="D36" s="76" t="n"/>
      <c r="E36" s="76" t="n"/>
      <c r="F36" s="76" t="n"/>
      <c r="G36" s="76" t="n"/>
      <c r="H36" s="76" t="n"/>
      <c r="I36" s="76" t="n"/>
      <c r="J36" s="76" t="n"/>
      <c r="K36" s="76" t="n"/>
      <c r="L36" s="76" t="n"/>
      <c r="M36" s="76" t="n"/>
      <c r="N36" s="76" t="n"/>
      <c r="O36" s="76" t="n"/>
      <c r="P36" s="76" t="n"/>
      <c r="Q36" s="89">
        <f>IF(OR(L54="",L54="در انتظار"),"",IF(Q54="",TODAY(),Q54))</f>
        <v/>
      </c>
    </row>
    <row r="37">
      <c r="A37" s="76" t="n"/>
      <c r="B37" s="76" t="n"/>
      <c r="C37" s="76" t="n"/>
      <c r="D37" s="76" t="n"/>
      <c r="E37" s="76" t="n"/>
      <c r="F37" s="76" t="n"/>
      <c r="G37" s="76" t="n"/>
      <c r="H37" s="76" t="n"/>
      <c r="I37" s="76" t="n"/>
      <c r="J37" s="76" t="n"/>
      <c r="K37" s="76" t="n"/>
      <c r="L37" s="76" t="n"/>
      <c r="M37" s="76" t="n"/>
      <c r="N37" s="76" t="n"/>
      <c r="O37" s="76" t="n"/>
      <c r="P37" s="76" t="n"/>
      <c r="Q37" s="89">
        <f>IF(OR(L55="",L55="در انتظار"),"",IF(Q55="",TODAY(),Q55))</f>
        <v/>
      </c>
    </row>
    <row r="38">
      <c r="A38" s="76" t="n"/>
      <c r="B38" s="76" t="n"/>
      <c r="C38" s="76" t="n"/>
      <c r="D38" s="76" t="n"/>
      <c r="E38" s="76" t="n"/>
      <c r="F38" s="76" t="n"/>
      <c r="G38" s="76" t="n"/>
      <c r="H38" s="76" t="n"/>
      <c r="I38" s="76" t="n"/>
      <c r="J38" s="76" t="n"/>
      <c r="K38" s="76" t="n"/>
      <c r="L38" s="76" t="n"/>
      <c r="M38" s="76" t="n"/>
      <c r="N38" s="76" t="n"/>
      <c r="O38" s="76" t="n"/>
      <c r="P38" s="76" t="n"/>
      <c r="Q38" s="89">
        <f>IF(OR(L56="",L56="در انتظار"),"",IF(Q56="",TODAY(),Q56))</f>
        <v/>
      </c>
    </row>
    <row r="39">
      <c r="A39" s="76" t="n"/>
      <c r="B39" s="76" t="n"/>
      <c r="C39" s="76" t="n"/>
      <c r="D39" s="76" t="n"/>
      <c r="E39" s="76" t="n"/>
      <c r="F39" s="76" t="n"/>
      <c r="G39" s="76" t="n"/>
      <c r="H39" s="76" t="n"/>
      <c r="I39" s="76" t="n"/>
      <c r="J39" s="76" t="n"/>
      <c r="K39" s="76" t="n"/>
      <c r="L39" s="76" t="n"/>
      <c r="M39" s="76" t="n"/>
      <c r="N39" s="76" t="n"/>
      <c r="O39" s="76" t="n"/>
      <c r="P39" s="76" t="n"/>
      <c r="Q39" s="89">
        <f>IF(OR(L57="",L57="در انتظار"),"",IF(Q57="",TODAY(),Q57))</f>
        <v/>
      </c>
    </row>
    <row r="40">
      <c r="A40" s="76" t="n"/>
      <c r="B40" s="76" t="n"/>
      <c r="C40" s="76" t="n"/>
      <c r="D40" s="76" t="n"/>
      <c r="E40" s="76" t="n"/>
      <c r="F40" s="76" t="n"/>
      <c r="G40" s="76" t="n"/>
      <c r="H40" s="76" t="n"/>
      <c r="I40" s="76" t="n"/>
      <c r="J40" s="76" t="n"/>
      <c r="K40" s="76" t="n"/>
      <c r="L40" s="76" t="n"/>
      <c r="M40" s="76" t="n"/>
      <c r="N40" s="76" t="n"/>
      <c r="O40" s="76" t="n"/>
      <c r="P40" s="76" t="n"/>
      <c r="Q40" s="89">
        <f>IF(OR(L58="",L58="در انتظار"),"",IF(Q58="",TODAY(),Q58))</f>
        <v/>
      </c>
    </row>
    <row r="41">
      <c r="A41" s="76" t="n"/>
      <c r="B41" s="76" t="n"/>
      <c r="C41" s="76" t="n"/>
      <c r="D41" s="76" t="n"/>
      <c r="E41" s="76" t="n"/>
      <c r="F41" s="76" t="n"/>
      <c r="G41" s="76" t="n"/>
      <c r="H41" s="76" t="n"/>
      <c r="I41" s="76" t="n"/>
      <c r="J41" s="76" t="n"/>
      <c r="K41" s="76" t="n"/>
      <c r="L41" s="76" t="n"/>
      <c r="M41" s="76" t="n"/>
      <c r="N41" s="76" t="n"/>
      <c r="O41" s="76" t="n"/>
      <c r="P41" s="76" t="n"/>
      <c r="Q41" s="89">
        <f>IF(OR(L59="",L59="در انتظار"),"",IF(Q59="",TODAY(),Q59))</f>
        <v/>
      </c>
    </row>
    <row r="42">
      <c r="A42" s="76" t="n"/>
      <c r="B42" s="76" t="n"/>
      <c r="C42" s="76" t="n"/>
      <c r="D42" s="76" t="n"/>
      <c r="E42" s="76" t="n"/>
      <c r="F42" s="76" t="n"/>
      <c r="G42" s="76" t="n"/>
      <c r="H42" s="76" t="n"/>
      <c r="I42" s="76" t="n"/>
      <c r="J42" s="76" t="n"/>
      <c r="K42" s="76" t="n"/>
      <c r="L42" s="76" t="n"/>
      <c r="M42" s="76" t="n"/>
      <c r="N42" s="76" t="n"/>
      <c r="O42" s="76" t="n"/>
      <c r="P42" s="76" t="n"/>
      <c r="Q42" s="89">
        <f>IF(OR(L60="",L60="در انتظار"),"",IF(Q60="",TODAY(),Q60))</f>
        <v/>
      </c>
    </row>
    <row r="43">
      <c r="A43" s="76" t="n"/>
      <c r="B43" s="76" t="n"/>
      <c r="C43" s="76" t="n"/>
      <c r="D43" s="76" t="n"/>
      <c r="E43" s="76" t="n"/>
      <c r="F43" s="76" t="n"/>
      <c r="G43" s="76" t="n"/>
      <c r="H43" s="76" t="n"/>
      <c r="I43" s="76" t="n"/>
      <c r="J43" s="76" t="n"/>
      <c r="K43" s="76" t="n"/>
      <c r="L43" s="76" t="n"/>
      <c r="M43" s="76" t="n"/>
      <c r="N43" s="76" t="n"/>
      <c r="O43" s="76" t="n"/>
      <c r="P43" s="76" t="n"/>
      <c r="Q43" s="89">
        <f>IF(OR(L61="",L61="در انتظار"),"",IF(Q61="",TODAY(),Q61))</f>
        <v/>
      </c>
    </row>
    <row r="44">
      <c r="A44" s="76" t="n"/>
      <c r="B44" s="76" t="n"/>
      <c r="C44" s="76" t="n"/>
      <c r="D44" s="76" t="n"/>
      <c r="E44" s="76" t="n"/>
      <c r="F44" s="76" t="n"/>
      <c r="G44" s="76" t="n"/>
      <c r="H44" s="76" t="n"/>
      <c r="I44" s="76" t="n"/>
      <c r="J44" s="76" t="n"/>
      <c r="K44" s="76" t="n"/>
      <c r="L44" s="76" t="n"/>
      <c r="M44" s="76" t="n"/>
      <c r="N44" s="76" t="n"/>
      <c r="O44" s="76" t="n"/>
      <c r="P44" s="76" t="n"/>
      <c r="Q44" s="89">
        <f>IF(OR(L62="",L62="در انتظار"),"",IF(Q62="",TODAY(),Q62))</f>
        <v/>
      </c>
    </row>
    <row r="45" ht="40.5" customHeight="1">
      <c r="A45" s="90" t="inlineStr">
        <is>
          <t>MP-021</t>
        </is>
      </c>
      <c r="B45" s="91" t="inlineStr">
        <is>
          <t>عملکرد واقعی مسیر تغذیه</t>
        </is>
      </c>
      <c r="C45" s="92" t="inlineStr">
        <is>
          <t>بالا</t>
        </is>
      </c>
      <c r="D45" s="91" t="inlineStr">
        <is>
          <t>فقط باتری وصل، برق شهر قطع</t>
        </is>
      </c>
      <c r="E45" s="91" t="inlineStr">
        <is>
          <t>گام ۱: فقط باتری را وصل کن و برق شهر را قطع نگه دار.
گام ۲: دستگاه را روشن کن.
گام ۳: دستگاه باید کامل و عادی بالا بیاید و کار کند.</t>
        </is>
      </c>
      <c r="F45" s="91" t="inlineStr">
        <is>
          <t>بوت با باتری تنها</t>
        </is>
      </c>
      <c r="G45" s="92" t="inlineStr">
        <is>
          <t>چند ثانیه</t>
        </is>
      </c>
      <c r="H45" s="91" t="inlineStr">
        <is>
          <t>دستگاه از باتری روشن و عادی</t>
        </is>
      </c>
      <c r="I45" s="91" t="inlineStr">
        <is>
          <t>—</t>
        </is>
      </c>
      <c r="J45" s="91" t="inlineStr">
        <is>
          <t>دستگاه بدون برق شهر کامل کار کند</t>
        </is>
      </c>
      <c r="K45" s="91" t="inlineStr"/>
      <c r="L45" s="93" t="inlineStr">
        <is>
          <t>در انتظار</t>
        </is>
      </c>
      <c r="M45" s="91" t="n"/>
      <c r="N45" s="91" t="n"/>
      <c r="O45" s="92" t="n"/>
      <c r="P45" s="92" t="n"/>
      <c r="Q45" s="94">
        <f>IF(OR(L45="",L45="در انتظار"),"",IF(Q45="",TODAY(),Q45))</f>
        <v/>
      </c>
    </row>
    <row r="46" ht="54" customHeight="1">
      <c r="A46" s="90" t="inlineStr">
        <is>
          <t>MP-022</t>
        </is>
      </c>
      <c r="B46" s="95" t="inlineStr">
        <is>
          <t>عملکرد واقعی مسیر تغذیه</t>
        </is>
      </c>
      <c r="C46" s="96" t="inlineStr">
        <is>
          <t>بالا</t>
        </is>
      </c>
      <c r="D46" s="97" t="inlineStr">
        <is>
          <t>دستگاه در حال کار با باتری (MP-021)</t>
        </is>
      </c>
      <c r="E46" s="97"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95" t="inlineStr">
        <is>
          <t>وصل برق شهر حین کار</t>
        </is>
      </c>
      <c r="G46" s="96" t="inlineStr">
        <is>
          <t>چند ثانیه</t>
        </is>
      </c>
      <c r="H46" s="95" t="inlineStr">
        <is>
          <t>انتقال بی‌وقفه به برق شهر</t>
        </is>
      </c>
      <c r="I46" s="95" t="inlineStr">
        <is>
          <t>—</t>
        </is>
      </c>
      <c r="J46" s="95" t="inlineStr">
        <is>
          <t>بدون خاموشی روی شهر بماند</t>
        </is>
      </c>
      <c r="K46" s="95" t="inlineStr"/>
      <c r="L46" s="93" t="inlineStr">
        <is>
          <t>در انتظار</t>
        </is>
      </c>
      <c r="M46" s="95" t="n"/>
      <c r="N46" s="95" t="n"/>
      <c r="O46" s="96" t="n"/>
      <c r="P46" s="96" t="n"/>
      <c r="Q46" s="98">
        <f>IF(OR(L46="",L46="در انتظار"),"",IF(Q46="",TODAY(),Q46))</f>
        <v/>
      </c>
    </row>
    <row r="47" ht="40.5" customHeight="1">
      <c r="A47" s="90" t="inlineStr">
        <is>
          <t>MP-023</t>
        </is>
      </c>
      <c r="B47" s="91" t="inlineStr">
        <is>
          <t>عملکرد واقعی مسیر تغذیه</t>
        </is>
      </c>
      <c r="C47" s="92" t="inlineStr">
        <is>
          <t>بالا</t>
        </is>
      </c>
      <c r="D47" s="91" t="inlineStr">
        <is>
          <t>دستگاه با برق شهر در حال کار و باتری وصل</t>
        </is>
      </c>
      <c r="E47" s="91"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91" t="inlineStr">
        <is>
          <t>قطع ناگهانی برق شهر</t>
        </is>
      </c>
      <c r="G47" s="92" t="inlineStr">
        <is>
          <t>چند ثانیه</t>
        </is>
      </c>
      <c r="H47" s="91" t="inlineStr">
        <is>
          <t>ادامهٔ بی‌وقفه روی باتری</t>
        </is>
      </c>
      <c r="I47" s="91" t="inlineStr">
        <is>
          <t>—</t>
        </is>
      </c>
      <c r="J47" s="91" t="inlineStr">
        <is>
          <t>هیچ خاموشی یا ریستی دیده نشود</t>
        </is>
      </c>
      <c r="K47" s="91" t="inlineStr"/>
      <c r="L47" s="93" t="inlineStr">
        <is>
          <t>در انتظار</t>
        </is>
      </c>
      <c r="M47" s="91" t="n"/>
      <c r="N47" s="91" t="n"/>
      <c r="O47" s="92" t="n"/>
      <c r="P47" s="92" t="n"/>
      <c r="Q47" s="94">
        <f>IF(OR(L47="",L47="در انتظار"),"",IF(Q47="",TODAY(),Q47))</f>
        <v/>
      </c>
    </row>
    <row r="48" ht="40.5" customHeight="1">
      <c r="A48" s="90" t="inlineStr">
        <is>
          <t>MP-024</t>
        </is>
      </c>
      <c r="B48" s="95" t="inlineStr">
        <is>
          <t>عملکرد واقعی مسیر تغذیه</t>
        </is>
      </c>
      <c r="C48" s="96" t="inlineStr">
        <is>
          <t>متوسط</t>
        </is>
      </c>
      <c r="D48" s="95" t="inlineStr">
        <is>
          <t>دستگاه با برق شهر 24 ولت و باتری وصل</t>
        </is>
      </c>
      <c r="E48"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95" t="inlineStr">
        <is>
          <t>افت برق شهر تا حدود 21 ولت</t>
        </is>
      </c>
      <c r="G48" s="96" t="inlineStr">
        <is>
          <t>چند ثانیه</t>
        </is>
      </c>
      <c r="H48" s="95" t="inlineStr">
        <is>
          <t>برگشت خودکار به باتری</t>
        </is>
      </c>
      <c r="I48" s="95" t="inlineStr">
        <is>
          <t>—</t>
        </is>
      </c>
      <c r="J48" s="95" t="inlineStr">
        <is>
          <t>بدون خاموشی روی باتری ادامه دهد</t>
        </is>
      </c>
      <c r="K48" s="95" t="inlineStr"/>
      <c r="L48" s="93" t="inlineStr">
        <is>
          <t>در انتظار</t>
        </is>
      </c>
      <c r="M48" s="95" t="n"/>
      <c r="N48" s="95" t="n"/>
      <c r="O48" s="96" t="n"/>
      <c r="P48" s="96" t="n"/>
      <c r="Q48" s="98">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91" t="inlineStr">
        <is>
          <t>ورودی معتبر / عدم قطع زودهنگام</t>
        </is>
      </c>
      <c r="C6" s="102" t="inlineStr">
        <is>
          <t>بالا</t>
        </is>
      </c>
      <c r="D6" s="103" t="inlineStr">
        <is>
          <t>پس از MP-002، Q1 وصل (Low)</t>
        </is>
      </c>
      <c r="E6" s="10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92" t="inlineStr">
        <is>
          <t>v_in=23000 / PB4 High / v_bat=24000</t>
        </is>
      </c>
      <c r="G6" s="92" t="inlineStr">
        <is>
          <t>4000ms</t>
        </is>
      </c>
      <c r="H6" s="91" t="inlineStr">
        <is>
          <t>PB5 همچنان Low — عدم قطع قبل از 5s (تایمر در حال شمارش)</t>
        </is>
      </c>
      <c r="I6" s="91" t="inlineStr">
        <is>
          <t>TimerActive=true, BatteryConnected=true</t>
        </is>
      </c>
      <c r="J6" s="91" t="inlineStr">
        <is>
          <t>PASS: Low &lt;5s. FAIL: High زودهنگام &lt;5s.</t>
        </is>
      </c>
      <c r="K6" s="91" t="n"/>
      <c r="L6" s="93" t="inlineStr">
        <is>
          <t>در انتظار</t>
        </is>
      </c>
      <c r="M6" s="91" t="n"/>
      <c r="N6" s="91" t="n"/>
      <c r="O6" s="92" t="n"/>
      <c r="P6" s="92" t="n"/>
      <c r="Q6" s="94">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91" t="inlineStr">
        <is>
          <t>هیسترزیس / 21.9V قبل از قطع حفظ</t>
        </is>
      </c>
      <c r="C8" s="102" t="inlineStr">
        <is>
          <t>بالا</t>
        </is>
      </c>
      <c r="D8" s="91" t="inlineStr">
        <is>
          <t>Q1 وصل، تست 5s ناتمام (مثلاً 2s از 23000)</t>
        </is>
      </c>
      <c r="E8" s="91"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92" t="inlineStr">
        <is>
          <t>v_in 23000(2s) → 21900 / PB4 High</t>
        </is>
      </c>
      <c r="G8" s="92" t="inlineStr">
        <is>
          <t>1500ms @21900</t>
        </is>
      </c>
      <c r="H8" s="91" t="inlineStr">
        <is>
          <t>PB5 همچنان Low — تایمر pending لغو، Q1 حفظ (21.9V به‌تنهایی عدم قطع)</t>
        </is>
      </c>
      <c r="I8" s="91" t="inlineStr">
        <is>
          <t>TimerActive=false after drop, BatteryConnected=true</t>
        </is>
      </c>
      <c r="J8" s="91" t="inlineStr">
        <is>
          <t>PASS: Low مانده، تایمر لغو. FAIL: reconnect یا ادامه تایمر بدون reset.</t>
        </is>
      </c>
      <c r="K8" s="91" t="n"/>
      <c r="L8" s="93" t="inlineStr">
        <is>
          <t>در انتظار</t>
        </is>
      </c>
      <c r="M8" s="91" t="n"/>
      <c r="N8" s="91" t="n"/>
      <c r="O8" s="92" t="n"/>
      <c r="P8" s="92" t="n"/>
      <c r="Q8" s="94">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91" t="inlineStr">
        <is>
          <t>هیسترزیس / مرز 21500 preserve</t>
        </is>
      </c>
      <c r="C10" s="92" t="inlineStr">
        <is>
          <t>متوسط</t>
        </is>
      </c>
      <c r="D10" s="103" t="inlineStr">
        <is>
          <t>پس از MP-004 (Q1 High)</t>
        </is>
      </c>
      <c r="E10" s="10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92" t="inlineStr">
        <is>
          <t>v_in=21500 / PB4 High</t>
        </is>
      </c>
      <c r="G10" s="92" t="inlineStr">
        <is>
          <t>1000ms</t>
        </is>
      </c>
      <c r="H10" s="91" t="inlineStr">
        <is>
          <t>PB5 همچنان High — 21500 در ناحیه حفظ (نه &lt;21500)، reconnect نشود</t>
        </is>
      </c>
      <c r="I10" s="91" t="inlineStr">
        <is>
          <t>High preserved @21500</t>
        </is>
      </c>
      <c r="J10" s="91" t="inlineStr">
        <is>
          <t>PASS: High @21500. FAIL: Low در مرز (باید &lt;21500).</t>
        </is>
      </c>
      <c r="K10" s="91" t="n"/>
      <c r="L10" s="93" t="inlineStr">
        <is>
          <t>در انتظار</t>
        </is>
      </c>
      <c r="M10" s="91" t="n"/>
      <c r="N10" s="91" t="n"/>
      <c r="O10" s="92" t="n"/>
      <c r="P10" s="92" t="n"/>
      <c r="Q10" s="94">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91" t="inlineStr">
        <is>
          <t>هیسترزیس / بازگشت به 22V re-qualify</t>
        </is>
      </c>
      <c r="C12" s="102" t="inlineStr">
        <is>
          <t>بالا</t>
        </is>
      </c>
      <c r="D12" s="103" t="inlineStr">
        <is>
          <t>پس از MP-008 (Q1 Low)</t>
        </is>
      </c>
      <c r="E12" s="103"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92" t="inlineStr">
        <is>
          <t>v_in=22000 / PB4 High</t>
        </is>
      </c>
      <c r="G12" s="92" t="inlineStr">
        <is>
          <t>5500ms</t>
        </is>
      </c>
      <c r="H12" s="91" t="inlineStr">
        <is>
          <t>PB5 Low 5s سپس High @5000ms — دوباره qualification کامل</t>
        </is>
      </c>
      <c r="I12" s="91" t="inlineStr">
        <is>
          <t>Timer re-armed @22000, High @5s</t>
        </is>
      </c>
      <c r="J12" s="91" t="inlineStr">
        <is>
          <t>PASS: High پس از 5s دوم. FAIL: قطع فوری بدون 5s.</t>
        </is>
      </c>
      <c r="K12" s="91" t="n"/>
      <c r="L12" s="93" t="inlineStr">
        <is>
          <t>در انتظار</t>
        </is>
      </c>
      <c r="M12" s="91" t="n"/>
      <c r="N12" s="91" t="n"/>
      <c r="O12" s="92" t="n"/>
      <c r="P12" s="92" t="n"/>
      <c r="Q12" s="94">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91" t="inlineStr">
        <is>
          <t>قطع ناگهانی / falling PB4 قبل از threshold ADC</t>
        </is>
      </c>
      <c r="C14" s="102" t="inlineStr">
        <is>
          <t>بالا</t>
        </is>
      </c>
      <c r="D14" s="91" t="inlineStr">
        <is>
          <t>Q1 وصل یا High، v_in هنوز &gt;=22000 (مثلاً 23000) اما PB4 را Low کن</t>
        </is>
      </c>
      <c r="E14" s="91"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92" t="inlineStr">
        <is>
          <t>PB4 falling Low / v_in ADC 23000 (قبل از نمونه بعدی)</t>
        </is>
      </c>
      <c r="G14" s="92" t="inlineStr">
        <is>
          <t>&lt;10ms</t>
        </is>
      </c>
      <c r="H14" s="91" t="inlineStr">
        <is>
          <t>PB5 در ISR فوراً Low (&lt;100µs)، تایمر لغو، سپس BSP_EXTI_INPUT_DETECT ثبت</t>
        </is>
      </c>
      <c r="I14" s="91" t="inlineStr">
        <is>
          <t>ISR Low first, then event</t>
        </is>
      </c>
      <c r="J14" s="91" t="inlineStr">
        <is>
          <t>PASS: Low &lt;100µs بدون انتظار ADC. FAIL: تأخیر task یا عدم Low.</t>
        </is>
      </c>
      <c r="K14" s="91" t="n"/>
      <c r="L14" s="93" t="inlineStr">
        <is>
          <t>در انتظار</t>
        </is>
      </c>
      <c r="M14" s="91" t="n"/>
      <c r="N14" s="91" t="n"/>
      <c r="O14" s="92" t="n"/>
      <c r="P14" s="92" t="n"/>
      <c r="Q14" s="94">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91" t="inlineStr">
        <is>
          <t>v_bat بی‌اثر while v_in معتبر</t>
        </is>
      </c>
      <c r="C16" s="92" t="inlineStr">
        <is>
          <t>متوسط</t>
        </is>
      </c>
      <c r="D16" s="91" t="inlineStr">
        <is>
          <t>v_in=23000 پایدار، Q1 قطع High</t>
        </is>
      </c>
      <c r="E16" s="91"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92" t="inlineStr">
        <is>
          <t>v_in=23000 constant / v_bat 19000→26000</t>
        </is>
      </c>
      <c r="G16" s="92" t="inlineStr">
        <is>
          <t>3s sweep</t>
        </is>
      </c>
      <c r="H16" s="91" t="inlineStr">
        <is>
          <t>PB5 همچنان High — تغییر v_bat روی Q1 بی‌اثر</t>
        </is>
      </c>
      <c r="I16" s="91" t="inlineStr">
        <is>
          <t>High stable</t>
        </is>
      </c>
      <c r="J16" s="91" t="inlineStr">
        <is>
          <t>PASS: High ثابت. FAIL: Low به خاطر v_bat پایین.</t>
        </is>
      </c>
      <c r="K16" s="91" t="n"/>
      <c r="L16" s="93" t="inlineStr">
        <is>
          <t>در انتظار</t>
        </is>
      </c>
      <c r="M16" s="91" t="n"/>
      <c r="N16" s="91" t="n"/>
      <c r="O16" s="92" t="n"/>
      <c r="P16" s="92" t="n"/>
      <c r="Q16" s="94">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91" t="inlineStr">
        <is>
          <t>Snapshot نامعتبر + تایمر reset</t>
        </is>
      </c>
      <c r="C18" s="102" t="inlineStr">
        <is>
          <t>بالا</t>
        </is>
      </c>
      <c r="D18" s="91" t="inlineStr">
        <is>
          <t>در حال qualification 2s در 23000</t>
        </is>
      </c>
      <c r="E18" s="91"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92" t="inlineStr">
        <is>
          <t>23000 2s → invalid 0.5s → 23000</t>
        </is>
      </c>
      <c r="G18" s="92" t="inlineStr">
        <is>
          <t>2+0.5+5s</t>
        </is>
      </c>
      <c r="H18" s="91" t="inlineStr">
        <is>
          <t>PB5 Low تا 5s پیوسته پس از بازگشت valid تکمیل شود (invalid reset کند)</t>
        </is>
      </c>
      <c r="I18" s="91" t="inlineStr">
        <is>
          <t>Timer reset @invalid</t>
        </is>
      </c>
      <c r="J18" s="91" t="inlineStr">
        <is>
          <t>PASS: قطع فقط پس از 5s پیوسته دوم. FAIL: قطع زود بر مبنای زمان قبل invalid.</t>
        </is>
      </c>
      <c r="K18" s="91" t="n"/>
      <c r="L18" s="93" t="inlineStr">
        <is>
          <t>در انتظار</t>
        </is>
      </c>
      <c r="M18" s="91" t="n"/>
      <c r="N18" s="91" t="n"/>
      <c r="O18" s="92" t="n"/>
      <c r="P18" s="92" t="n"/>
      <c r="Q18" s="94">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91" t="inlineStr">
        <is>
          <t>Regression Changeover</t>
        </is>
      </c>
      <c r="C20" s="102" t="inlineStr">
        <is>
          <t>بالا</t>
        </is>
      </c>
      <c r="D20" s="91" t="inlineStr">
        <is>
          <t>McuPowerPath فعال، Changeover با 24 سناریوی فعلی</t>
        </is>
      </c>
      <c r="E20" s="103"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104" t="inlineStr">
        <is>
          <t>CO-001..024 per Changeover sheet</t>
        </is>
      </c>
      <c r="G20" s="92" t="inlineStr">
        <is>
          <t>per Changeover</t>
        </is>
      </c>
      <c r="H20" s="91" t="inlineStr">
        <is>
          <t>PB11 دقیقاً مطابق Changeover، PB5 بدون تغییر (فقط توسط McuPowerPath، نه Changeover)</t>
        </is>
      </c>
      <c r="I20" s="103" t="inlineStr">
        <is>
          <t>PB5 forbidden in changeover.c</t>
        </is>
      </c>
      <c r="J20" s="91" t="inlineStr">
        <is>
          <t>PASS: PB11 unchanged, grep changeover no BSP_GPIO_BATTERY_SWITCH. FAIL: PB5 toggled by Changeover.</t>
        </is>
      </c>
      <c r="K20" s="91" t="n"/>
      <c r="L20" s="93" t="inlineStr">
        <is>
          <t>در انتظار</t>
        </is>
      </c>
      <c r="M20" s="91" t="n"/>
      <c r="N20" s="91" t="n"/>
      <c r="O20" s="92" t="n"/>
      <c r="P20" s="92" t="n"/>
      <c r="Q20" s="94">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9"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(v_in / PB4 / v_bat)</t>
        </is>
      </c>
      <c r="G4" s="78" t="inlineStr">
        <is>
          <t>مدت مشاهده</t>
        </is>
      </c>
      <c r="H4" s="78" t="inlineStr">
        <is>
          <t>PB5 / Q1 — انتظار</t>
        </is>
      </c>
      <c r="I4" s="78" t="inlineStr">
        <is>
          <t>وضعیت Q1 حفظ/latch</t>
        </is>
      </c>
      <c r="J4" s="78" t="inlineStr">
        <is>
          <t>معیار قبولی</t>
        </is>
      </c>
      <c r="K4" s="78" t="inlineStr">
        <is>
          <t>نتیجهٔ واقعی / اندازه‌گیری</t>
        </is>
      </c>
      <c r="L4" s="78" t="inlineStr">
        <is>
          <t>وضعیت</t>
        </is>
      </c>
      <c r="M4" s="78" t="inlineStr">
        <is>
          <t>شرح ایراد / تفاوت</t>
        </is>
      </c>
      <c r="N4" s="78" t="inlineStr">
        <is>
          <t>مدرک تست / scope</t>
        </is>
      </c>
      <c r="O4" s="78" t="inlineStr">
        <is>
          <t>commit</t>
        </is>
      </c>
      <c r="P4" s="78" t="inlineStr">
        <is>
          <t>نام تست‌کننده</t>
        </is>
      </c>
      <c r="Q4" s="78" t="inlineStr">
        <is>
          <t>تاریخ</t>
        </is>
      </c>
    </row>
    <row r="5" ht="54" customHeight="1">
      <c r="A5" s="90" t="inlineStr">
        <is>
          <t>MP-001</t>
        </is>
      </c>
      <c r="B5" s="91" t="inlineStr">
        <is>
          <t>نگاشت سخت‌افزار</t>
        </is>
      </c>
      <c r="C5" s="102" t="inlineStr">
        <is>
          <t>بالا</t>
        </is>
      </c>
      <c r="D5" s="91" t="inlineStr">
        <is>
          <t>برد خاموش، شماتیک ChangeOver تأییدشده</t>
        </is>
      </c>
      <c r="E5" s="103"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92" t="inlineStr">
        <is>
          <t>Q1=PB5 pin41, PB4 pin, PB11/Q17</t>
        </is>
      </c>
      <c r="G5" s="92" t="inlineStr">
        <is>
          <t>—</t>
        </is>
      </c>
      <c r="H5" s="91" t="inlineStr">
        <is>
          <t>Q1=PB5 Low=وصل High=قطع، PB4 High=حاضر Low=قطع، PB11/Q17 خارج از McuPowerPath</t>
        </is>
      </c>
      <c r="I5" s="91" t="inlineStr">
        <is>
          <t>HW mapping ثابت</t>
        </is>
      </c>
      <c r="J5" s="103" t="inlineStr">
        <is>
          <t>PASS: نگاشت مطابق board_pins.h و شماتیک. FAIL: PB5 فعال-High یا PB11 در McuPowerPath.</t>
        </is>
      </c>
      <c r="K5" s="91" t="n"/>
      <c r="L5" s="93" t="inlineStr">
        <is>
          <t>در انتظار</t>
        </is>
      </c>
      <c r="M5" s="91" t="n"/>
      <c r="N5" s="91" t="n"/>
      <c r="O5" s="92" t="n"/>
      <c r="P5" s="92" t="n"/>
      <c r="Q5" s="94">
        <f>IF(OR(L5="",L5="در انتظار"),"",IF(Q5="",TODAY(),Q5))</f>
        <v/>
      </c>
    </row>
    <row r="6" ht="54" customHeight="1">
      <c r="A6" s="90" t="inlineStr">
        <is>
          <t>MP-020</t>
        </is>
      </c>
      <c r="B6" s="95" t="inlineStr">
        <is>
          <t>snapshot zeroing</t>
        </is>
      </c>
      <c r="C6" s="101" t="inlineStr">
        <is>
          <t>بالا</t>
        </is>
      </c>
      <c r="D6" s="95" t="inlineStr">
        <is>
          <t>v_in نامعتبر + valid=false</t>
        </is>
      </c>
      <c r="E6" s="9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96" t="inlineStr">
        <is>
          <t>valid=false</t>
        </is>
      </c>
      <c r="G6" s="96" t="inlineStr">
        <is>
          <t>6s</t>
        </is>
      </c>
      <c r="H6" s="95" t="inlineStr">
        <is>
          <t>Q1 (PB5) باید امن بماند؛ بدون تصمیم بر اساس v_in زباله؛ هر 9 فیلد صفر</t>
        </is>
      </c>
      <c r="I6" s="95" t="inlineStr">
        <is>
          <t>امن</t>
        </is>
      </c>
      <c r="J6" s="95" t="inlineStr">
        <is>
          <t>PB5 Low حفظ بدون قطع کاذب</t>
        </is>
      </c>
      <c r="K6" s="95" t="n"/>
      <c r="L6" s="105" t="inlineStr">
        <is>
          <t>نیاز به تکرار</t>
        </is>
      </c>
      <c r="M6" s="95" t="n"/>
      <c r="N6" s="95" t="n"/>
      <c r="O6" s="96" t="inlineStr">
        <is>
          <t>62f3782</t>
        </is>
      </c>
      <c r="P6" s="96" t="n"/>
      <c r="Q6" s="98"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78" t="inlineStr">
        <is>
          <t>مرجع سریع سناریوهای McuPowerPath — هیسترزیس v_in و 5s qualification</t>
        </is>
      </c>
      <c r="B1" s="79" t="n"/>
      <c r="C1" s="79" t="n"/>
      <c r="D1" s="79" t="n"/>
      <c r="E1" s="79" t="n"/>
      <c r="F1" s="80" t="n"/>
    </row>
    <row r="2">
      <c r="A2" s="87" t="inlineStr">
        <is>
          <t>آستانه‌ها: QUALIFY 22000 (شروع 5s)، RECONNECT 21500 (وصل)، HYSTERESIS 500، STABLE 5000ms — فقط v_in، نه v_bat — PB4 falling فوری Low</t>
        </is>
      </c>
      <c r="B2" s="76" t="n"/>
      <c r="C2" s="76" t="n"/>
      <c r="D2" s="76" t="n"/>
      <c r="E2" s="76" t="n"/>
      <c r="F2" s="76" t="n"/>
    </row>
    <row r="3" ht="22" customHeight="1">
      <c r="A3" s="106" t="inlineStr">
        <is>
          <t>موضوع</t>
        </is>
      </c>
      <c r="B3" s="106" t="inlineStr">
        <is>
          <t>شرط / مقدار</t>
        </is>
      </c>
      <c r="C3" s="106" t="inlineStr">
        <is>
          <t>رفتار مورد انتظار</t>
        </is>
      </c>
      <c r="D3" s="106" t="inlineStr">
        <is>
          <t>ثابت / محل کد</t>
        </is>
      </c>
      <c r="E3" s="106" t="inlineStr">
        <is>
          <t>توضیح</t>
        </is>
      </c>
      <c r="F3" s="106" t="inlineStr">
        <is>
          <t>وابستگی</t>
        </is>
      </c>
    </row>
    <row r="4" ht="18" customHeight="1">
      <c r="A4" s="107" t="inlineStr">
        <is>
          <t>نگاشت Q1</t>
        </is>
      </c>
      <c r="B4" s="107" t="inlineStr">
        <is>
          <t>Q1=PB5 pin41 فعال-Low, PB5 Low=وصل High=قطع</t>
        </is>
      </c>
      <c r="C4" s="107" t="inlineStr">
        <is>
          <t>HW mapping</t>
        </is>
      </c>
      <c r="D4" s="108" t="inlineStr">
        <is>
          <t>board_pins.h:PIN_BAT_SWITCH_*</t>
        </is>
      </c>
      <c r="E4" s="107" t="inlineStr">
        <is>
          <t>فقط PB5 در McuPowerPath</t>
        </is>
      </c>
      <c r="F4" s="108"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07" t="inlineStr">
        <is>
          <t>PB11/Q17</t>
        </is>
      </c>
      <c r="B6" s="107" t="inlineStr">
        <is>
          <t>PB11=PROTECT_BATTERY فقط Changeover</t>
        </is>
      </c>
      <c r="C6" s="107" t="inlineStr">
        <is>
          <t>بدون تغییر توسط McuPowerPath</t>
        </is>
      </c>
      <c r="D6" s="108" t="inlineStr">
        <is>
          <t>changeover.c</t>
        </is>
      </c>
      <c r="E6" s="107" t="inlineStr">
        <is>
          <t>regression</t>
        </is>
      </c>
      <c r="F6" s="108"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07" t="inlineStr">
        <is>
          <t>Qualify</t>
        </is>
      </c>
      <c r="B8" s="107" t="inlineStr">
        <is>
          <t>v_in &gt;=22000 پیوسته 5000ms</t>
        </is>
      </c>
      <c r="C8" s="107" t="inlineStr">
        <is>
          <t>PB5 High (قطع)</t>
        </is>
      </c>
      <c r="D8" s="107" t="inlineStr">
        <is>
          <t>QUALIFY 22000 + STABLE 5000</t>
        </is>
      </c>
      <c r="E8" s="107" t="inlineStr">
        <is>
          <t>از rtos_time</t>
        </is>
      </c>
      <c r="F8" s="108"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07" t="inlineStr">
        <is>
          <t>Reconnect</t>
        </is>
      </c>
      <c r="B10" s="107" t="inlineStr">
        <is>
          <t>v_in &lt;21500</t>
        </is>
      </c>
      <c r="C10" s="107" t="inlineStr">
        <is>
          <t>PB5 Low (وصل) + لغو تایمر</t>
        </is>
      </c>
      <c r="D10" s="107" t="inlineStr">
        <is>
          <t>RECONNECT 21500</t>
        </is>
      </c>
      <c r="E10" s="107" t="inlineStr">
        <is>
          <t>حتی 21499</t>
        </is>
      </c>
      <c r="F10" s="108"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07" t="inlineStr">
        <is>
          <t>v_bat بی‌اثر</t>
        </is>
      </c>
      <c r="B12" s="107" t="inlineStr">
        <is>
          <t>v_bat 19-26V while v_in 23V</t>
        </is>
      </c>
      <c r="C12" s="107" t="inlineStr">
        <is>
          <t>Q1 بدون تغییر</t>
        </is>
      </c>
      <c r="D12" s="107" t="inlineStr">
        <is>
          <t>فقط v_in</t>
        </is>
      </c>
      <c r="E12" s="107" t="inlineStr">
        <is>
          <t>مستقل</t>
        </is>
      </c>
      <c r="F12" s="108"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07" t="inlineStr">
        <is>
          <t>Invalid+Timer</t>
        </is>
      </c>
      <c r="B14" s="107" t="inlineStr">
        <is>
          <t>2s qualify → 0.5s invalid → 5s</t>
        </is>
      </c>
      <c r="C14" s="107" t="inlineStr">
        <is>
          <t>قطع فقط پس از 5s پیوسته دوم</t>
        </is>
      </c>
      <c r="D14" s="107" t="inlineStr">
        <is>
          <t>Timers reset</t>
        </is>
      </c>
      <c r="E14" s="107" t="inlineStr">
        <is>
          <t>ناپایدار</t>
        </is>
      </c>
      <c r="F14" s="108"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07" t="inlineStr">
        <is>
          <t>Regression</t>
        </is>
      </c>
      <c r="B16" s="107" t="inlineStr">
        <is>
          <t>21 سناریو Changeover</t>
        </is>
      </c>
      <c r="C16" s="107" t="inlineStr">
        <is>
          <t>PB11 unchanged, PB5 forbidden</t>
        </is>
      </c>
      <c r="D16" s="107" t="inlineStr">
        <is>
          <t>changeover thresholds</t>
        </is>
      </c>
      <c r="E16" s="107" t="inlineStr">
        <is>
          <t>21000/20800/21200</t>
        </is>
      </c>
      <c r="F16" s="108"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5" t="inlineStr">
        <is>
          <t>ثبت ایرادهای مشاهده‌شده — McuPowerPath (Q1=PB5 هیسترزیس)</t>
        </is>
      </c>
      <c r="B1" s="76" t="n"/>
      <c r="C1" s="76" t="n"/>
      <c r="D1" s="76" t="n"/>
      <c r="E1" s="76" t="n"/>
      <c r="F1" s="76" t="n"/>
      <c r="G1" s="76" t="n"/>
      <c r="H1" s="76" t="n"/>
      <c r="I1" s="76" t="n"/>
      <c r="J1" s="76" t="n"/>
      <c r="K1" s="76" t="n"/>
      <c r="L1" s="76" t="n"/>
      <c r="M1" s="76" t="n"/>
    </row>
    <row r="2" ht="30" customHeight="1">
      <c r="A2" s="78" t="inlineStr">
        <is>
          <t>برای هر وضعیت «رد» یا تفاوت مهم، یک ردیف با شناسه تست (MP-xxx) و جزئیات کامل پر کن. ISR Low باید &lt;100µs باشد.</t>
        </is>
      </c>
      <c r="B2" s="79" t="n"/>
      <c r="C2" s="79" t="n"/>
      <c r="D2" s="79" t="n"/>
      <c r="E2" s="79" t="n"/>
      <c r="F2" s="79" t="n"/>
      <c r="G2" s="79" t="n"/>
      <c r="H2" s="79" t="n"/>
      <c r="I2" s="79" t="n"/>
      <c r="J2" s="79" t="n"/>
      <c r="K2" s="79" t="n"/>
      <c r="L2" s="79" t="n"/>
      <c r="M2" s="80" t="n"/>
    </row>
    <row r="3" ht="22" customHeight="1">
      <c r="A3" s="106" t="inlineStr">
        <is>
          <t>شماره ایراد</t>
        </is>
      </c>
      <c r="B3" s="106" t="inlineStr">
        <is>
          <t>شناسه تست</t>
        </is>
      </c>
      <c r="C3" s="106" t="inlineStr">
        <is>
          <t>تاریخ کشف</t>
        </is>
      </c>
      <c r="D3" s="106" t="inlineStr">
        <is>
          <t>شدت</t>
        </is>
      </c>
      <c r="E3" s="106" t="inlineStr">
        <is>
          <t>شرح کوتاه ایراد</t>
        </is>
      </c>
      <c r="F3" s="106" t="inlineStr">
        <is>
          <t>مراحل بازتولید</t>
        </is>
      </c>
      <c r="G3" s="106" t="inlineStr">
        <is>
          <t>انتظار</t>
        </is>
      </c>
      <c r="H3" s="106" t="inlineStr">
        <is>
          <t>واقعیت</t>
        </is>
      </c>
      <c r="I3" s="106" t="inlineStr">
        <is>
          <t>مدرک/مسیر عکس یا scope</t>
        </is>
      </c>
      <c r="J3" s="106" t="inlineStr">
        <is>
          <t>commit firmware</t>
        </is>
      </c>
      <c r="K3" s="106" t="inlineStr">
        <is>
          <t>محل احتمالی</t>
        </is>
      </c>
      <c r="L3" s="106" t="inlineStr">
        <is>
          <t>وضعیت ایراد</t>
        </is>
      </c>
      <c r="M3" s="106" t="inlineStr">
        <is>
          <t>تأیید رفع / توضیحات</t>
        </is>
      </c>
    </row>
    <row r="4" ht="16" customHeight="1">
      <c r="A4" s="111" t="inlineStr"/>
      <c r="B4" s="111" t="inlineStr"/>
      <c r="C4" s="111" t="inlineStr"/>
      <c r="D4" s="111" t="inlineStr"/>
      <c r="E4" s="111" t="inlineStr"/>
      <c r="F4" s="111" t="inlineStr"/>
      <c r="G4" s="111" t="inlineStr"/>
      <c r="H4" s="111" t="inlineStr"/>
      <c r="I4" s="111" t="inlineStr"/>
      <c r="J4" s="111" t="inlineStr"/>
      <c r="K4" s="111" t="inlineStr"/>
      <c r="L4" s="111" t="inlineStr"/>
      <c r="M4" s="111"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11" t="inlineStr"/>
      <c r="B6" s="111" t="inlineStr"/>
      <c r="C6" s="111" t="inlineStr"/>
      <c r="D6" s="111" t="inlineStr"/>
      <c r="E6" s="111" t="inlineStr"/>
      <c r="F6" s="111" t="inlineStr"/>
      <c r="G6" s="111" t="inlineStr"/>
      <c r="H6" s="111" t="inlineStr"/>
      <c r="I6" s="111" t="inlineStr"/>
      <c r="J6" s="111" t="inlineStr"/>
      <c r="K6" s="111" t="inlineStr"/>
      <c r="L6" s="111" t="inlineStr"/>
      <c r="M6" s="111"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11" t="inlineStr"/>
      <c r="B8" s="111" t="inlineStr"/>
      <c r="C8" s="111" t="inlineStr"/>
      <c r="D8" s="111" t="inlineStr"/>
      <c r="E8" s="111" t="inlineStr"/>
      <c r="F8" s="111" t="inlineStr"/>
      <c r="G8" s="111" t="inlineStr"/>
      <c r="H8" s="111" t="inlineStr"/>
      <c r="I8" s="111" t="inlineStr"/>
      <c r="J8" s="111" t="inlineStr"/>
      <c r="K8" s="111" t="inlineStr"/>
      <c r="L8" s="111" t="inlineStr"/>
      <c r="M8" s="111"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11" t="inlineStr"/>
      <c r="B10" s="111" t="inlineStr"/>
      <c r="C10" s="111" t="inlineStr"/>
      <c r="D10" s="111" t="inlineStr"/>
      <c r="E10" s="111" t="inlineStr"/>
      <c r="F10" s="111" t="inlineStr"/>
      <c r="G10" s="111" t="inlineStr"/>
      <c r="H10" s="111" t="inlineStr"/>
      <c r="I10" s="111" t="inlineStr"/>
      <c r="J10" s="111" t="inlineStr"/>
      <c r="K10" s="111" t="inlineStr"/>
      <c r="L10" s="111" t="inlineStr"/>
      <c r="M10" s="111"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11" t="inlineStr"/>
      <c r="B12" s="111" t="inlineStr"/>
      <c r="C12" s="111" t="inlineStr"/>
      <c r="D12" s="111" t="inlineStr"/>
      <c r="E12" s="111" t="inlineStr"/>
      <c r="F12" s="111" t="inlineStr"/>
      <c r="G12" s="111" t="inlineStr"/>
      <c r="H12" s="111" t="inlineStr"/>
      <c r="I12" s="111" t="inlineStr"/>
      <c r="J12" s="111" t="inlineStr"/>
      <c r="K12" s="111" t="inlineStr"/>
      <c r="L12" s="111" t="inlineStr"/>
      <c r="M12" s="111"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5" t="inlineStr">
        <is>
          <t>تأیید نهایی اعتبارسنجی روی برد — McuPowerPath — Q1=PB5 هیسترزیس 22000/21500</t>
        </is>
      </c>
      <c r="B1" s="76" t="n"/>
      <c r="C1" s="76" t="n"/>
      <c r="D1" s="76" t="n"/>
      <c r="E1" s="76" t="n"/>
      <c r="F1" s="76" t="n"/>
    </row>
    <row r="2">
      <c r="A2" s="113" t="inlineStr">
        <is>
          <t>این صفحه فقط پس از تکمیل تست‌ها و بستن ایرادهای بحرانی/بالا پر شود. DOC/State.xlsx و Changeover بدون تغییر می‌مانند.</t>
        </is>
      </c>
      <c r="B2" s="76" t="n"/>
      <c r="C2" s="76" t="n"/>
      <c r="D2" s="76" t="n"/>
      <c r="E2" s="76" t="n"/>
      <c r="F2" s="76" t="n"/>
    </row>
    <row r="3" ht="18" customHeight="1">
      <c r="A3" s="106" t="inlineStr">
        <is>
          <t>مشخصات تست</t>
        </is>
      </c>
      <c r="B3" s="82" t="n"/>
      <c r="C3" s="82" t="n"/>
      <c r="D3" s="82" t="n"/>
      <c r="E3" s="82" t="n"/>
      <c r="F3" s="83"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commit firmware</t>
        </is>
      </c>
      <c r="B6" s="109" t="inlineStr">
        <is>
          <t>TESTER: fill flashed firmware commit</t>
        </is>
      </c>
      <c r="C6" s="76" t="n"/>
      <c r="D6" s="114" t="inlineStr">
        <is>
          <t>شناسه برد</t>
        </is>
      </c>
      <c r="E6" s="109" t="inlineStr"/>
      <c r="F6" s="76" t="n"/>
    </row>
    <row r="7" ht="16" customHeight="1">
      <c r="A7" s="114" t="inlineStr">
        <is>
          <t>تست‌کننده اصلی</t>
        </is>
      </c>
      <c r="B7" s="109" t="inlineStr"/>
      <c r="C7" s="76" t="n"/>
      <c r="D7" s="114" t="inlineStr">
        <is>
          <t>تاریخ شروع</t>
        </is>
      </c>
      <c r="E7" s="109" t="inlineStr"/>
      <c r="F7" s="76" t="n"/>
    </row>
    <row r="8" ht="16" customHeight="1">
      <c r="A8" s="114" t="inlineStr">
        <is>
          <t>تاریخ پایان</t>
        </is>
      </c>
      <c r="B8" s="109" t="inlineStr"/>
      <c r="C8" s="76" t="n"/>
      <c r="D8" s="114" t="inlineStr">
        <is>
          <t>ابزار اندازه‌گیری</t>
        </is>
      </c>
      <c r="E8" s="109" t="inlineStr">
        <is>
          <t>منبع آزمایشگاهی + DMM + اسیلوسکوپ + تایمر RTOS</t>
        </is>
      </c>
      <c r="F8" s="76" t="n"/>
    </row>
    <row r="9" ht="16" customHeight="1">
      <c r="A9" s="114" t="inlineStr">
        <is>
          <t>فرکانس تیک</t>
        </is>
      </c>
      <c r="B9" s="109" t="inlineStr">
        <is>
          <t>از osKernelGetTickFreq (قابل‌حمل)</t>
        </is>
      </c>
      <c r="C9" s="76" t="n"/>
      <c r="D9" s="114" t="inlineStr">
        <is>
          <t>دوره کنترل</t>
        </is>
      </c>
      <c r="E9" s="109" t="inlineStr">
        <is>
          <t>APP_CONFIG.control_period_ms ≈10ms</t>
        </is>
      </c>
      <c r="F9" s="76" t="n"/>
    </row>
    <row r="10" ht="16" customHeight="1">
      <c r="A10" s="114" t="inlineStr">
        <is>
          <t>آستانه‌ها</t>
        </is>
      </c>
      <c r="B10" s="109" t="inlineStr">
        <is>
          <t>QUALIFY 22000 / RECONNECT 21500 / HYSTERESIS 500</t>
        </is>
      </c>
      <c r="C10" s="76" t="n"/>
      <c r="D10" s="114" t="inlineStr">
        <is>
          <t>فیلتر</t>
        </is>
      </c>
      <c r="E10" s="110" t="inlineStr">
        <is>
          <t>STABLE 5000ms via rtos_time.h</t>
        </is>
      </c>
      <c r="F10" s="76" t="n"/>
    </row>
    <row r="11" ht="16" customHeight="1">
      <c r="A11" s="114" t="inlineStr"/>
      <c r="B11" s="109" t="inlineStr"/>
      <c r="C11" s="76" t="n"/>
      <c r="D11" s="114" t="inlineStr"/>
      <c r="E11" s="109" t="inlineStr"/>
      <c r="F11" s="76" t="n"/>
    </row>
    <row r="12" ht="18" customHeight="1">
      <c r="A12" s="106" t="inlineStr">
        <is>
          <t>خلاصهٔ خودکار وضعیت تست‌ها</t>
        </is>
      </c>
      <c r="B12" s="82" t="n"/>
      <c r="C12" s="82" t="n"/>
      <c r="D12" s="82" t="n"/>
      <c r="E12" s="82" t="n"/>
      <c r="F12" s="83" t="n"/>
    </row>
    <row r="13" ht="16" customHeight="1">
      <c r="A13" s="114" t="inlineStr">
        <is>
          <t>شاخص</t>
        </is>
      </c>
      <c r="B13" s="109" t="inlineStr">
        <is>
          <t>مقدار</t>
        </is>
      </c>
      <c r="C13" s="76" t="n"/>
      <c r="D13" s="114" t="inlineStr">
        <is>
          <t>توضیح</t>
        </is>
      </c>
      <c r="E13" s="109" t="inlineStr"/>
      <c r="F13" s="76" t="n"/>
    </row>
    <row r="14" ht="16" customHeight="1">
      <c r="A14" s="114" t="inlineStr">
        <is>
          <t>کل تست‌ها</t>
        </is>
      </c>
      <c r="B14" s="109" t="inlineStr">
        <is>
          <t>17</t>
        </is>
      </c>
      <c r="C14" s="76" t="n"/>
      <c r="D14" s="115" t="inlineStr">
        <is>
          <t>از MP-001 تا MP-017</t>
        </is>
      </c>
      <c r="E14" s="109" t="inlineStr"/>
      <c r="F14" s="76" t="n"/>
    </row>
    <row r="15" ht="16" customHeight="1">
      <c r="A15" s="114" t="inlineStr">
        <is>
          <t>قبول</t>
        </is>
      </c>
      <c r="B15" s="109" t="inlineStr">
        <is>
          <t>0</t>
        </is>
      </c>
      <c r="C15" s="76" t="n"/>
      <c r="D15" s="114" t="inlineStr">
        <is>
          <t>COUNTIF برنامه تست!L:L="قبول"</t>
        </is>
      </c>
      <c r="E15" s="109" t="inlineStr"/>
      <c r="F15" s="76" t="n"/>
    </row>
    <row r="16" ht="16" customHeight="1">
      <c r="A16" s="114" t="inlineStr">
        <is>
          <t>رد</t>
        </is>
      </c>
      <c r="B16" s="109" t="inlineStr">
        <is>
          <t>0</t>
        </is>
      </c>
      <c r="C16" s="76" t="n"/>
      <c r="D16" s="114" t="inlineStr">
        <is>
          <t>COUNTIF رد</t>
        </is>
      </c>
      <c r="E16" s="109" t="inlineStr"/>
      <c r="F16" s="76" t="n"/>
    </row>
    <row r="17" ht="16" customHeight="1">
      <c r="A17" s="114" t="inlineStr">
        <is>
          <t>در انتظار</t>
        </is>
      </c>
      <c r="B17" s="109" t="inlineStr">
        <is>
          <t>17</t>
        </is>
      </c>
      <c r="C17" s="76" t="n"/>
      <c r="D17" s="114" t="inlineStr">
        <is>
          <t>پیش از تست برد</t>
        </is>
      </c>
      <c r="E17" s="109" t="inlineStr"/>
      <c r="F17" s="76" t="n"/>
    </row>
    <row r="18" ht="16" customHeight="1">
      <c r="A18" s="114" t="inlineStr">
        <is>
          <t>نرخ قبولی</t>
        </is>
      </c>
      <c r="B18" s="109" t="inlineStr">
        <is>
          <t>0%</t>
        </is>
      </c>
      <c r="C18" s="76" t="n"/>
      <c r="D18" s="114" t="inlineStr">
        <is>
          <t>قبول/کل</t>
        </is>
      </c>
      <c r="E18" s="109" t="inlineStr"/>
      <c r="F18" s="76" t="n"/>
    </row>
    <row r="19">
      <c r="A19" s="76" t="n"/>
      <c r="B19" s="76" t="n"/>
      <c r="C19" s="76" t="n"/>
      <c r="D19" s="76" t="n"/>
      <c r="E19" s="76" t="n"/>
      <c r="F19" s="76" t="n"/>
    </row>
    <row r="20" ht="20" customHeight="1">
      <c r="A20" s="116" t="inlineStr">
        <is>
          <t>امضا و تأیید: تست‌کننده ________________  سرپرست فنی ________________  تاریخ ________________</t>
        </is>
      </c>
      <c r="B20" s="76" t="n"/>
      <c r="C20" s="76" t="n"/>
      <c r="D20" s="76" t="n"/>
      <c r="E20" s="76" t="n"/>
      <c r="F20" s="76" t="n"/>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17" t="inlineStr">
        <is>
          <t>وضعیت</t>
        </is>
      </c>
      <c r="B1" s="76" t="n"/>
      <c r="C1" s="76" t="n"/>
    </row>
    <row r="2">
      <c r="A2" s="118"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17"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17"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2026-10-16T18:57:05Z</dcterms:modified>
</cp:coreProperties>
</file>