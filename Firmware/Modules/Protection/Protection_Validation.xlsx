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آزمایشگاهی" sheetId="9" state="visible" r:id="rId9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برنامه‌نویسی'!$A$4:$Q$7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7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modules_enable.h" TargetMode="External" Id="rId1" /><Relationship Type="http://schemas.openxmlformats.org/officeDocument/2006/relationships/hyperlink" Target="protection.c" TargetMode="External" Id="rId2" /><Relationship Type="http://schemas.openxmlformats.org/officeDocument/2006/relationships/hyperlink" Target="../Fault/fault.h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Protection</t>
        </is>
      </c>
    </row>
    <row r="2">
      <c r="A2" s="13" t="inlineStr">
        <is>
          <t>Protection | اسکلت حفاظت (MODULE_PROTECTION=0) — FAULT_ADC به‌صورت وضعیت لحظه‌ای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13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13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15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hyperlinks>
    <hyperlink ref="A9" location="'تست‌های آزمایشگاهی'!A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6" t="inlineStr">
        <is>
          <t>برنامهٔ تست عملی — ماژول Protection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40.5" customHeight="1">
      <c r="A5" s="17" t="inlineStr">
        <is>
          <t>PR-001</t>
        </is>
      </c>
      <c r="B5" s="18" t="inlineStr">
        <is>
          <t>ماژول خاموش</t>
        </is>
      </c>
      <c r="C5" s="19" t="inlineStr">
        <is>
          <t>بالا</t>
        </is>
      </c>
      <c r="D5" s="18" t="inlineStr">
        <is>
          <t>دستگاه در حال کار عادی با باتری و بار واقعی است</t>
        </is>
      </c>
      <c r="E5" s="18" t="inlineStr">
        <is>
          <t>گام ۱: دستگاه را چند ساعت در کار عادی (شارژ و مصرف) زیر نظر بگیر.
گام ۲: دنبال قطع حفاظتیِ بی‌دلیل بگرد.</t>
        </is>
      </c>
      <c r="F5" s="20" t="inlineStr">
        <is>
          <t>کار عادی چندساعته</t>
        </is>
      </c>
      <c r="G5" s="20" t="inlineStr">
        <is>
          <t>چند ساعت</t>
        </is>
      </c>
      <c r="H5" s="18" t="inlineStr">
        <is>
          <t>هیچ قطع حفاظتیِ اضافه‌ای در کار عادی دیده نمی‌شود؛ محصول با همان حفاظت‌های ماژول‌های فعال کار می‌کند</t>
        </is>
      </c>
      <c r="I5" s="18" t="inlineStr">
        <is>
          <t>—</t>
        </is>
      </c>
      <c r="J5" s="18" t="inlineStr">
        <is>
          <t>کار تمیز چندساعته = قبول؛ قطع بی‌دلیل = رد</t>
        </is>
      </c>
      <c r="K5" s="18" t="inlineStr"/>
      <c r="L5" s="21" t="inlineStr">
        <is>
          <t>در انتظار</t>
        </is>
      </c>
      <c r="M5" s="18" t="inlineStr"/>
      <c r="N5" s="18" t="inlineStr"/>
      <c r="O5" s="20" t="inlineStr">
        <is>
          <t>TESTER: fill</t>
        </is>
      </c>
      <c r="P5" s="20" t="inlineStr"/>
      <c r="Q5" s="22" t="inlineStr">
        <is>
          <t>2026-09-23</t>
        </is>
      </c>
    </row>
    <row r="6" ht="54" customHeight="1">
      <c r="A6" s="17" t="inlineStr">
        <is>
          <t>PR-003</t>
        </is>
      </c>
      <c r="B6" s="18" t="inlineStr">
        <is>
          <t>بوت قبل از warm-up</t>
        </is>
      </c>
      <c r="C6" s="19" t="inlineStr">
        <is>
          <t>بالا</t>
        </is>
      </c>
      <c r="D6" s="18" t="inlineStr">
        <is>
          <t>دستگاه کاملاً خاموش و سرد است؛ بار روی خروجی وصل است</t>
        </is>
      </c>
      <c r="E6" s="18" t="inlineStr">
        <is>
          <t>گام ۱: دستگاه را روشن کن.
گام ۲: در همان ثانیه‌های اول بار را نگاه کن.</t>
        </is>
      </c>
      <c r="F6" s="20" t="inlineStr">
        <is>
          <t>روشن‌کردن سرد با بار</t>
        </is>
      </c>
      <c r="G6" s="20" t="inlineStr">
        <is>
          <t>یک دقیقه</t>
        </is>
      </c>
      <c r="H6" s="18" t="inlineStr">
        <is>
          <t>خروجی در لحظه‌های اول بی‌دلیل قطع نمی‌شود؛ دستگاه تمیز بالا می‌آید و بار عادی کار می‌کند</t>
        </is>
      </c>
      <c r="I6" s="18" t="inlineStr">
        <is>
          <t>—</t>
        </is>
      </c>
      <c r="J6" s="18" t="inlineStr">
        <is>
          <t>بالا آمدن تمیز = قبول؛ قطع‌ووصل اول کار = رد</t>
        </is>
      </c>
      <c r="K6" s="18" t="inlineStr"/>
      <c r="L6" s="21" t="inlineStr">
        <is>
          <t>در انتظار</t>
        </is>
      </c>
      <c r="M6" s="18" t="inlineStr"/>
      <c r="N6" s="18" t="inlineStr"/>
      <c r="O6" s="20" t="inlineStr">
        <is>
          <t>TESTER: fill</t>
        </is>
      </c>
      <c r="P6" s="20" t="inlineStr"/>
      <c r="Q6" s="22" t="inlineStr">
        <is>
          <t>2026-09-23</t>
        </is>
      </c>
    </row>
    <row r="7" ht="54" customHeight="1">
      <c r="Q7" s="28">
        <f>IF(OR(L11="",L11="در انتظار"),"",IF(Q11="",TODAY(),Q11))</f>
        <v/>
      </c>
    </row>
    <row r="8" ht="54" customHeight="1">
      <c r="Q8" s="28">
        <f>IF(OR(L12="",L12="در انتظار"),"",IF(Q12="",TODAY(),Q12))</f>
        <v/>
      </c>
    </row>
    <row r="9" ht="54" customHeight="1">
      <c r="Q9" s="28">
        <f>IF(OR(L13="",L13="در انتظار"),"",IF(Q13="",TODAY(),Q13))</f>
        <v/>
      </c>
    </row>
    <row r="10" ht="54" customHeight="1">
      <c r="Q10" s="28">
        <f>IF(OR(L14="",L14="در انتظار"),"",IF(Q14="",TODAY(),Q14))</f>
        <v/>
      </c>
    </row>
    <row r="11">
      <c r="Q11" s="28">
        <f>IF(OR(L15="",L15="در انتظار"),"",IF(Q15="",TODAY(),Q15))</f>
        <v/>
      </c>
    </row>
    <row r="12">
      <c r="Q12" s="28">
        <f>IF(OR(L16="",L16="در انتظار"),"",IF(Q16="",TODAY(),Q16))</f>
        <v/>
      </c>
    </row>
    <row r="13">
      <c r="Q13" s="28">
        <f>IF(OR(L17="",L17="در انتظار"),"",IF(Q17="",TODAY(),Q17))</f>
        <v/>
      </c>
    </row>
    <row r="14">
      <c r="Q14" s="28">
        <f>IF(OR(L18="",L18="در انتظار"),"",IF(Q18="",TODAY(),Q18))</f>
        <v/>
      </c>
    </row>
    <row r="15">
      <c r="Q15" s="28">
        <f>IF(OR(L19="",L19="در انتظار"),"",IF(Q19="",TODAY(),Q19))</f>
        <v/>
      </c>
    </row>
    <row r="16">
      <c r="Q16" s="28">
        <f>IF(OR(L20="",L20="در انتظار"),"",IF(Q20="",TODAY(),Q20))</f>
        <v/>
      </c>
    </row>
    <row r="17">
      <c r="Q17" s="28">
        <f>IF(OR(L21="",L21="در انتظار"),"",IF(Q21="",TODAY(),Q21))</f>
        <v/>
      </c>
    </row>
    <row r="18">
      <c r="Q18" s="28">
        <f>IF(OR(L22="",L22="در انتظار"),"",IF(Q22="",TODAY(),Q22))</f>
        <v/>
      </c>
    </row>
    <row r="19">
      <c r="Q19" s="28">
        <f>IF(OR(L23="",L23="در انتظار"),"",IF(Q23="",TODAY(),Q23))</f>
        <v/>
      </c>
    </row>
    <row r="20">
      <c r="Q20" s="28">
        <f>IF(OR(L24="",L24="در انتظار"),"",IF(Q24="",TODAY(),Q24))</f>
        <v/>
      </c>
    </row>
    <row r="21">
      <c r="Q21" s="28">
        <f>IF(OR(L25="",L25="در انتظار"),"",IF(Q25="",TODAY(),Q25))</f>
        <v/>
      </c>
    </row>
    <row r="22">
      <c r="Q22" s="28">
        <f>IF(OR(L26="",L26="در انتظار"),"",IF(Q26="",TODAY(),Q26))</f>
        <v/>
      </c>
    </row>
    <row r="23">
      <c r="Q23" s="28">
        <f>IF(OR(L27="",L27="در انتظار"),"",IF(Q27="",TODAY(),Q27))</f>
        <v/>
      </c>
    </row>
    <row r="24">
      <c r="Q24" s="28">
        <f>IF(OR(L28="",L28="در انتظار"),"",IF(Q28="",TODAY(),Q28))</f>
        <v/>
      </c>
    </row>
    <row r="25">
      <c r="Q25" s="28">
        <f>IF(OR(L29="",L29="در انتظار"),"",IF(Q29="",TODAY(),Q29))</f>
        <v/>
      </c>
    </row>
    <row r="26">
      <c r="Q26" s="28">
        <f>IF(OR(L30="",L30="در انتظار"),"",IF(Q30="",TODAY(),Q30))</f>
        <v/>
      </c>
    </row>
    <row r="27">
      <c r="Q27" s="28">
        <f>IF(OR(L31="",L31="در انتظار"),"",IF(Q31="",TODAY(),Q31))</f>
        <v/>
      </c>
    </row>
    <row r="28">
      <c r="Q28" s="28">
        <f>IF(OR(L32="",L32="در انتظار"),"",IF(Q32="",TODAY(),Q32))</f>
        <v/>
      </c>
    </row>
    <row r="29">
      <c r="Q29" s="28">
        <f>IF(OR(L33="",L33="در انتظار"),"",IF(Q33="",TODAY(),Q33))</f>
        <v/>
      </c>
    </row>
    <row r="30">
      <c r="Q30" s="28">
        <f>IF(OR(L34="",L34="در انتظار"),"",IF(Q34="",TODAY(),Q34))</f>
        <v/>
      </c>
    </row>
    <row r="31">
      <c r="Q31" s="28">
        <f>IF(OR(L35="",L35="در انتظار"),"",IF(Q35="",TODAY(),Q35))</f>
        <v/>
      </c>
    </row>
    <row r="32">
      <c r="Q32" s="28">
        <f>IF(OR(L36="",L36="در انتظار"),"",IF(Q36="",TODAY(),Q36))</f>
        <v/>
      </c>
    </row>
    <row r="33">
      <c r="Q33" s="28">
        <f>IF(OR(L37="",L37="در انتظار"),"",IF(Q37="",TODAY(),Q37))</f>
        <v/>
      </c>
    </row>
    <row r="34">
      <c r="Q34" s="28">
        <f>IF(OR(L38="",L38="در انتظار"),"",IF(Q38="",TODAY(),Q38))</f>
        <v/>
      </c>
    </row>
    <row r="35">
      <c r="Q35" s="28">
        <f>IF(OR(L39="",L39="در انتظار"),"",IF(Q39="",TODAY(),Q39))</f>
        <v/>
      </c>
    </row>
    <row r="36">
      <c r="Q36" s="28">
        <f>IF(OR(L40="",L40="در انتظار"),"",IF(Q40="",TODAY(),Q40))</f>
        <v/>
      </c>
    </row>
    <row r="37">
      <c r="Q37" s="28">
        <f>IF(OR(L41="",L41="در انتظار"),"",IF(Q41="",TODAY(),Q41))</f>
        <v/>
      </c>
    </row>
    <row r="38">
      <c r="Q38" s="28">
        <f>IF(OR(L42="",L42="در انتظار"),"",IF(Q42="",TODAY(),Q42))</f>
        <v/>
      </c>
    </row>
    <row r="39">
      <c r="Q39" s="28">
        <f>IF(OR(L43="",L43="در انتظار"),"",IF(Q43="",TODAY(),Q43))</f>
        <v/>
      </c>
    </row>
    <row r="40">
      <c r="Q40" s="28">
        <f>IF(OR(L44="",L44="در انتظار"),"",IF(Q44="",TODAY(),Q44))</f>
        <v/>
      </c>
    </row>
    <row r="41">
      <c r="Q41" s="28">
        <f>IF(OR(L45="",L45="در انتظار"),"",IF(Q45="",TODAY(),Q45))</f>
        <v/>
      </c>
    </row>
    <row r="42">
      <c r="Q42" s="28">
        <f>IF(OR(L46="",L46="در انتظار"),"",IF(Q46="",TODAY(),Q46))</f>
        <v/>
      </c>
    </row>
    <row r="43">
      <c r="Q43" s="28">
        <f>IF(OR(L47="",L47="در انتظار"),"",IF(Q47="",TODAY(),Q47))</f>
        <v/>
      </c>
    </row>
    <row r="44">
      <c r="Q44" s="28">
        <f>IF(OR(L48="",L48="در انتظار"),"",IF(Q48="",TODAY(),Q48))</f>
        <v/>
      </c>
    </row>
    <row r="45">
      <c r="Q45" s="28">
        <f>IF(OR(L49="",L49="در انتظار"),"",IF(Q49="",TODAY(),Q49))</f>
        <v/>
      </c>
    </row>
    <row r="46">
      <c r="Q46" s="28">
        <f>IF(OR(L50="",L50="در انتظار"),"",IF(Q50="",TODAY(),Q50))</f>
        <v/>
      </c>
    </row>
  </sheetData>
  <autoFilter ref="A4:Q47"/>
  <mergeCells count="3">
    <mergeCell ref="A3:Q3"/>
    <mergeCell ref="A2:Q2"/>
    <mergeCell ref="A1:Q1"/>
  </mergeCells>
  <dataValidations count="2">
    <dataValidation sqref="C5:C90" showDropDown="0" showInputMessage="0" showErrorMessage="0" allowBlank="1" type="list">
      <formula1>='فهرست‌ها'!$B$9:$B$11</formula1>
    </dataValidation>
    <dataValidation sqref="L5:L90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4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7" t="inlineStr">
        <is>
          <t>PR-004</t>
        </is>
      </c>
      <c r="B5" s="23" t="inlineStr">
        <is>
          <t>عدم تداخل مالکیت</t>
        </is>
      </c>
      <c r="C5" s="25" t="inlineStr">
        <is>
          <t>متوسط</t>
        </is>
      </c>
      <c r="D5" s="23" t="inlineStr">
        <is>
          <t>—</t>
        </is>
      </c>
      <c r="E5" s="41" t="inlineStr">
        <is>
          <t>گام ۱: جدول بیت‌های FAULT_* در app_types.h را جلوی خودت بگذار.
گام ۲: کد protection.c را خط‌به‌خط با مالکیت بیت‌ها مقایسه کن.
گام ۳: این ماژول باید فقط FAULT_ADC را ست/پاک کند؛ FAULT_CHARGER_BAT_LOST مال ماژول Fault است و بقیهٔ بیت‌ها هم صاحب خودشان را دارند.
گام ۴: هیچ تداخلی بین بیت‌ها نباید باشد.</t>
        </is>
      </c>
      <c r="F5" s="25" t="inlineStr">
        <is>
          <t>—</t>
        </is>
      </c>
      <c r="G5" s="25" t="inlineStr">
        <is>
          <t>—</t>
        </is>
      </c>
      <c r="H5" s="23" t="inlineStr">
        <is>
          <t>این ماژول فقط FAULT_ADC را لمس می‌کند؛ FAULT_CHARGER_BAT_LOST مالک Fault است</t>
        </is>
      </c>
      <c r="I5" s="23" t="inlineStr">
        <is>
          <t>—</t>
        </is>
      </c>
      <c r="J5" s="23" t="inlineStr">
        <is>
          <t>بدون تداخل بیت‌ها</t>
        </is>
      </c>
      <c r="K5" s="23" t="n"/>
      <c r="L5" s="21" t="inlineStr">
        <is>
          <t>در انتظار</t>
        </is>
      </c>
      <c r="M5" s="23" t="n"/>
      <c r="N5" s="23" t="n"/>
      <c r="O5" s="25" t="inlineStr">
        <is>
          <t>TESTER: fill</t>
        </is>
      </c>
      <c r="P5" s="25" t="n"/>
      <c r="Q5" s="26" t="inlineStr">
        <is>
          <t>2026-09-23</t>
        </is>
      </c>
    </row>
    <row r="6" ht="54" customHeight="1">
      <c r="A6" s="17" t="inlineStr">
        <is>
          <t>PR-005</t>
        </is>
      </c>
      <c r="B6" s="18" t="inlineStr">
        <is>
          <t>فعال‌سازی آینده</t>
        </is>
      </c>
      <c r="C6" s="20" t="inlineStr">
        <is>
          <t>پایین</t>
        </is>
      </c>
      <c r="D6" s="18" t="inlineStr">
        <is>
          <t>—</t>
        </is>
      </c>
      <c r="E6" s="42" t="inlineStr">
        <is>
          <t>گام ۱: کد ماژول را کامل مرور کن (protection.c و هدرش).
گام ۲: شرایط فعال‌سازی حفاظت کامل (اضافه‌جریان، باتری ضعیف و...) و سیاست هر کدام را روی کاغذ بنویس.
گام ۳: قبل از اینکه MODULE_PROTECTION=1 شود، سند تصمیم را به تأیید کاربر برسان.
گام ۴: قبولی یعنی همین سند تصمیم موجود و تأیید شده باشد؛ این ردیف تست برد نیست.</t>
        </is>
      </c>
      <c r="F6" s="20" t="inlineStr">
        <is>
          <t>—</t>
        </is>
      </c>
      <c r="G6" s="20" t="inlineStr">
        <is>
          <t>—</t>
        </is>
      </c>
      <c r="H6" s="18" t="inlineStr">
        <is>
          <t>شرایط فعال‌سازی و سیاست‌ها قبل از MODULE_PROTECTION=1 مستند و به تأیید کاربر برسد</t>
        </is>
      </c>
      <c r="I6" s="18" t="inlineStr">
        <is>
          <t>—</t>
        </is>
      </c>
      <c r="J6" s="18" t="inlineStr">
        <is>
          <t>سند تصمیم موجود</t>
        </is>
      </c>
      <c r="K6" s="18" t="n"/>
      <c r="L6" s="21" t="inlineStr">
        <is>
          <t>در انتظار</t>
        </is>
      </c>
      <c r="M6" s="18" t="n"/>
      <c r="N6" s="18" t="n"/>
      <c r="O6" s="20" t="inlineStr">
        <is>
          <t>TESTER: fill</t>
        </is>
      </c>
      <c r="P6" s="20" t="n"/>
      <c r="Q6" s="22" t="inlineStr">
        <is>
          <t>2026-09-23</t>
        </is>
      </c>
    </row>
    <row r="7" ht="54" customHeight="1">
      <c r="A7" s="17" t="inlineStr">
        <is>
          <t>PR-010</t>
        </is>
      </c>
      <c r="B7" s="23" t="inlineStr">
        <is>
          <t>snapshot zeroing</t>
        </is>
      </c>
      <c r="C7" s="24" t="inlineStr">
        <is>
          <t>بالا</t>
        </is>
      </c>
      <c r="D7" s="23" t="inlineStr">
        <is>
          <t>valid=false</t>
        </is>
      </c>
      <c r="E7" s="23" t="inlineStr">
        <is>
          <t>گام ۱: یک snapshot نامعتبر بساز: valid=false و هر 9 فیلد صفر.
گام ۲: آن را 2 ثانیه به Protection_Run بده.
گام ۳: تابع باید فقط valid را چک کند و به فیلدهای صفر دست نزند.
گام ۴: FAULT_ADC باید به‌صورت زنده (بدون latch) بماند و هیچ fault کاذبی ساخته نشود.</t>
        </is>
      </c>
      <c r="F7" s="25" t="inlineStr">
        <is>
          <t>valid=false</t>
        </is>
      </c>
      <c r="G7" s="25" t="inlineStr">
        <is>
          <t>2s</t>
        </is>
      </c>
      <c r="H7" s="23" t="inlineStr">
        <is>
          <t>فقط valid چک شود؛ هر 9 فیلد صفر؛ FAULT_ADC زنده بماند بدون latch کاذب</t>
        </is>
      </c>
      <c r="I7" s="23" t="inlineStr">
        <is>
          <t>—</t>
        </is>
      </c>
      <c r="J7" s="23" t="inlineStr">
        <is>
          <t>بدون fault کاذب</t>
        </is>
      </c>
      <c r="K7" s="23" t="n"/>
      <c r="L7" s="27" t="inlineStr">
        <is>
          <t>نیاز به تکرار</t>
        </is>
      </c>
      <c r="M7" s="23" t="n"/>
      <c r="N7" s="23" t="n"/>
      <c r="O7" s="25" t="inlineStr">
        <is>
          <t>62f3782</t>
        </is>
      </c>
      <c r="P7" s="25" t="n"/>
      <c r="Q7" s="26" t="inlineStr">
        <is>
          <t>2026-10-12</t>
        </is>
      </c>
    </row>
    <row r="8">
      <c r="Q8" s="28">
        <f>IF(OR(L8="",L8="در انتظار"),"",IF(Q8="",TODAY(),Q8))</f>
        <v/>
      </c>
    </row>
    <row r="9">
      <c r="Q9" s="28">
        <f>IF(OR(L9="",L9="در انتظار"),"",IF(Q9="",TODAY(),Q9))</f>
        <v/>
      </c>
    </row>
    <row r="10">
      <c r="Q10" s="28">
        <f>IF(OR(L10="",L10="در انتظار"),"",IF(Q10="",TODAY(),Q10))</f>
        <v/>
      </c>
    </row>
    <row r="11">
      <c r="Q11" s="28">
        <f>IF(OR(L11="",L11="در انتظار"),"",IF(Q11="",TODAY(),Q11))</f>
        <v/>
      </c>
    </row>
    <row r="12">
      <c r="Q12" s="28">
        <f>IF(OR(L12="",L12="در انتظار"),"",IF(Q12="",TODAY(),Q12))</f>
        <v/>
      </c>
    </row>
    <row r="13">
      <c r="Q13" s="28">
        <f>IF(OR(L13="",L13="در انتظار"),"",IF(Q13="",TODAY(),Q13))</f>
        <v/>
      </c>
    </row>
    <row r="14">
      <c r="Q14" s="28">
        <f>IF(OR(L14="",L14="در انتظار"),"",IF(Q14="",TODAY(),Q14))</f>
        <v/>
      </c>
    </row>
    <row r="15">
      <c r="Q15" s="28">
        <f>IF(OR(L15="",L15="در انتظار"),"",IF(Q15="",TODAY(),Q15))</f>
        <v/>
      </c>
    </row>
    <row r="16">
      <c r="Q16" s="28">
        <f>IF(OR(L16="",L16="در انتظار"),"",IF(Q16="",TODAY(),Q16))</f>
        <v/>
      </c>
    </row>
    <row r="17">
      <c r="Q17" s="28">
        <f>IF(OR(L17="",L17="در انتظار"),"",IF(Q17="",TODAY(),Q17))</f>
        <v/>
      </c>
    </row>
    <row r="18">
      <c r="Q18" s="28">
        <f>IF(OR(L18="",L18="در انتظار"),"",IF(Q18="",TODAY(),Q18))</f>
        <v/>
      </c>
    </row>
    <row r="19">
      <c r="Q19" s="28">
        <f>IF(OR(L19="",L19="در انتظار"),"",IF(Q19="",TODAY(),Q19))</f>
        <v/>
      </c>
    </row>
    <row r="20">
      <c r="Q20" s="28">
        <f>IF(OR(L20="",L20="در انتظار"),"",IF(Q20="",TODAY(),Q20))</f>
        <v/>
      </c>
    </row>
    <row r="21">
      <c r="Q21" s="28">
        <f>IF(OR(L21="",L21="در انتظار"),"",IF(Q21="",TODAY(),Q21))</f>
        <v/>
      </c>
    </row>
    <row r="22">
      <c r="Q22" s="28">
        <f>IF(OR(L22="",L22="در انتظار"),"",IF(Q22="",TODAY(),Q22))</f>
        <v/>
      </c>
    </row>
    <row r="23">
      <c r="Q23" s="28">
        <f>IF(OR(L23="",L23="در انتظار"),"",IF(Q23="",TODAY(),Q23))</f>
        <v/>
      </c>
    </row>
    <row r="24">
      <c r="Q24" s="28">
        <f>IF(OR(L24="",L24="در انتظار"),"",IF(Q24="",TODAY(),Q24))</f>
        <v/>
      </c>
    </row>
    <row r="25">
      <c r="Q25" s="28">
        <f>IF(OR(L25="",L25="در انتظار"),"",IF(Q25="",TODAY(),Q25))</f>
        <v/>
      </c>
    </row>
    <row r="26">
      <c r="Q26" s="28">
        <f>IF(OR(L26="",L26="در انتظار"),"",IF(Q26="",TODAY(),Q26))</f>
        <v/>
      </c>
    </row>
    <row r="27">
      <c r="Q27" s="28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Protection</t>
        </is>
      </c>
      <c r="B1" s="39" t="n"/>
      <c r="C1" s="39" t="n"/>
      <c r="D1" s="39" t="n"/>
      <c r="E1" s="40" t="n"/>
    </row>
    <row r="2"/>
    <row r="3">
      <c r="A3" s="29" t="inlineStr">
        <is>
          <t>موضوع</t>
        </is>
      </c>
      <c r="B3" s="29" t="inlineStr">
        <is>
          <t>شرط / مقدار</t>
        </is>
      </c>
      <c r="C3" s="29" t="inlineStr">
        <is>
          <t>رفتار مورد انتظار</t>
        </is>
      </c>
      <c r="D3" s="29" t="inlineStr">
        <is>
          <t>ثابت / محل کد</t>
        </is>
      </c>
      <c r="E3" s="29" t="inlineStr">
        <is>
          <t>توضیح</t>
        </is>
      </c>
    </row>
    <row r="4">
      <c r="A4" s="30" t="inlineStr">
        <is>
          <t>وضعیت</t>
        </is>
      </c>
      <c r="B4" s="30" t="inlineStr">
        <is>
          <t>MODULE_PROTECTION=0</t>
        </is>
      </c>
      <c r="C4" s="30" t="inlineStr">
        <is>
          <t>خاموش؛ اسکلت</t>
        </is>
      </c>
      <c r="D4" s="43" t="inlineStr">
        <is>
          <t>modules_enable.h</t>
        </is>
      </c>
      <c r="E4" s="30" t="inlineStr">
        <is>
          <t>فعال‌سازی با دستور کاربر</t>
        </is>
      </c>
    </row>
    <row r="5">
      <c r="A5" s="30" t="inlineStr">
        <is>
          <t>FAULT_ADC</t>
        </is>
      </c>
      <c r="B5" s="30" t="inlineStr">
        <is>
          <t>Set در نامعتبر / Clear در معتبر</t>
        </is>
      </c>
      <c r="C5" s="30" t="inlineStr">
        <is>
          <t>لحظه‌ای، بدون latch</t>
        </is>
      </c>
      <c r="D5" s="43" t="inlineStr">
        <is>
          <t>protection.c (اصلاح 2026-09-22)</t>
        </is>
      </c>
      <c r="E5" s="30" t="inlineStr">
        <is>
          <t>قبلاً latch ابدی بود</t>
        </is>
      </c>
    </row>
    <row r="6">
      <c r="A6" s="30" t="inlineStr">
        <is>
          <t>مالکیت بیت‌ها</t>
        </is>
      </c>
      <c r="B6" s="30" t="inlineStr">
        <is>
          <t>این ماژول فقط FAULT_ADC</t>
        </is>
      </c>
      <c r="C6" s="30" t="inlineStr">
        <is>
          <t>BAT_LOST مالک Fault</t>
        </is>
      </c>
      <c r="D6" s="43" t="inlineStr">
        <is>
          <t>fault.h / app_types.h</t>
        </is>
      </c>
      <c r="E6" s="30" t="inlineStr">
        <is>
          <t>—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Protection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40" t="n"/>
    </row>
    <row r="3">
      <c r="A3" s="29" t="inlineStr">
        <is>
          <t>شماره ایراد</t>
        </is>
      </c>
      <c r="B3" s="29" t="inlineStr">
        <is>
          <t>شناسه تست</t>
        </is>
      </c>
      <c r="C3" s="29" t="inlineStr">
        <is>
          <t>تاریخ کشف</t>
        </is>
      </c>
      <c r="D3" s="29" t="inlineStr">
        <is>
          <t>شدت</t>
        </is>
      </c>
      <c r="E3" s="29" t="inlineStr">
        <is>
          <t>شرح کوتاه ایراد</t>
        </is>
      </c>
      <c r="F3" s="29" t="inlineStr">
        <is>
          <t>مراحل بازتولید</t>
        </is>
      </c>
      <c r="G3" s="29" t="inlineStr">
        <is>
          <t>انتظار</t>
        </is>
      </c>
      <c r="H3" s="29" t="inlineStr">
        <is>
          <t>واقعیت</t>
        </is>
      </c>
      <c r="I3" s="29" t="inlineStr">
        <is>
          <t>مدرک/مسیر عکس یا scope</t>
        </is>
      </c>
      <c r="J3" s="29" t="inlineStr">
        <is>
          <t>commit firmware</t>
        </is>
      </c>
      <c r="K3" s="29" t="inlineStr">
        <is>
          <t>محل احتمالی</t>
        </is>
      </c>
      <c r="L3" s="29" t="inlineStr">
        <is>
          <t>وضعیت ایراد</t>
        </is>
      </c>
      <c r="M3" s="29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Protection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Protection — اسکلت حفاظت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بیلد تستی + پنل ESP</t>
        </is>
      </c>
    </row>
    <row r="10"/>
    <row r="11">
      <c r="A11" s="31" t="inlineStr">
        <is>
          <t>خلاصهٔ خودکار وضعیت تست‌ها</t>
        </is>
      </c>
    </row>
    <row r="12">
      <c r="A12" s="29" t="inlineStr">
        <is>
          <t>شاخص</t>
        </is>
      </c>
      <c r="B12" s="29" t="inlineStr">
        <is>
          <t>مقدار</t>
        </is>
      </c>
      <c r="C12" s="29" t="inlineStr">
        <is>
          <t>توضیح</t>
        </is>
      </c>
    </row>
    <row r="13">
      <c r="A13" s="32" t="inlineStr">
        <is>
          <t>کل تست‌ها</t>
        </is>
      </c>
      <c r="B13" s="32" t="n">
        <v>5</v>
      </c>
      <c r="C13" s="32" t="inlineStr">
        <is>
          <t>همهٔ ردیف‌های برنامه تست</t>
        </is>
      </c>
    </row>
    <row r="14">
      <c r="A14" s="32" t="inlineStr">
        <is>
          <t>قبول</t>
        </is>
      </c>
      <c r="B14" s="32">
        <f>COUNTIF('برنامه تست'!L:L,"قبول")</f>
        <v/>
      </c>
      <c r="C14" s="32" t="inlineStr">
        <is>
          <t>COUNTIF برنامه تست</t>
        </is>
      </c>
    </row>
    <row r="15">
      <c r="A15" s="32" t="inlineStr">
        <is>
          <t>رد</t>
        </is>
      </c>
      <c r="B15" s="32">
        <f>COUNTIF('برنامه تست'!L:L,"رد")</f>
        <v/>
      </c>
      <c r="C15" s="32" t="inlineStr">
        <is>
          <t>COUNTIF رد</t>
        </is>
      </c>
    </row>
    <row r="16">
      <c r="A16" s="32" t="inlineStr">
        <is>
          <t>در انتظار</t>
        </is>
      </c>
      <c r="B16" s="32">
        <f>COUNTIF('برنامه تست'!L:L,"در انتظار")</f>
        <v/>
      </c>
      <c r="C16" s="32" t="inlineStr">
        <is>
          <t>پیش از تست برد</t>
        </is>
      </c>
    </row>
    <row r="17">
      <c r="A17" s="32" t="inlineStr">
        <is>
          <t>نرخ قبولی</t>
        </is>
      </c>
      <c r="B17" s="32">
        <f>IF(5=0,0,COUNTIF('برنامه تست'!L:L,"قبول")/5)</f>
        <v/>
      </c>
      <c r="C17" s="32" t="inlineStr">
        <is>
          <t>قبول/کل</t>
        </is>
      </c>
    </row>
    <row r="18"/>
    <row r="19">
      <c r="A19" s="31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3" t="inlineStr">
        <is>
          <t>وضعیت</t>
        </is>
      </c>
    </row>
    <row r="2">
      <c r="A2" s="34" t="inlineStr">
        <is>
          <t>در انتظار</t>
        </is>
      </c>
    </row>
    <row r="3">
      <c r="A3" s="34" t="inlineStr">
        <is>
          <t>انجام شد</t>
        </is>
      </c>
    </row>
    <row r="4">
      <c r="A4" s="34" t="inlineStr">
        <is>
          <t>قبول</t>
        </is>
      </c>
    </row>
    <row r="5">
      <c r="A5" s="34" t="inlineStr">
        <is>
          <t>رد</t>
        </is>
      </c>
    </row>
    <row r="6">
      <c r="A6" s="34" t="inlineStr">
        <is>
          <t>مسدود</t>
        </is>
      </c>
    </row>
    <row r="7">
      <c r="A7" t="inlineStr">
        <is>
          <t>نیاز به تکرار</t>
        </is>
      </c>
    </row>
    <row r="8">
      <c r="A8" s="33" t="inlineStr">
        <is>
          <t>اولویت</t>
        </is>
      </c>
    </row>
    <row r="9">
      <c r="B9" s="34" t="inlineStr">
        <is>
          <t>بالا</t>
        </is>
      </c>
    </row>
    <row r="10">
      <c r="B10" s="34" t="inlineStr">
        <is>
          <t>متوسط</t>
        </is>
      </c>
    </row>
    <row r="11">
      <c r="B11" s="34" t="inlineStr">
        <is>
          <t>پایین</t>
        </is>
      </c>
    </row>
    <row r="12"/>
    <row r="13">
      <c r="A13" s="33" t="inlineStr">
        <is>
          <t>شدت</t>
        </is>
      </c>
    </row>
    <row r="14">
      <c r="A14" s="34" t="inlineStr">
        <is>
          <t>بحرانی</t>
        </is>
      </c>
    </row>
    <row r="15">
      <c r="A15" s="34" t="inlineStr">
        <is>
          <t>بالا</t>
        </is>
      </c>
    </row>
    <row r="16">
      <c r="A16" s="34" t="inlineStr">
        <is>
          <t>متوسط</t>
        </is>
      </c>
    </row>
    <row r="17">
      <c r="A17" s="34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5" t="inlineStr">
        <is>
          <t>ماشین حالت ماژول نگهبان اعتبار (Protection)</t>
        </is>
      </c>
    </row>
    <row r="2"/>
    <row r="3" ht="24" customHeight="1">
      <c r="A3" s="36" t="inlineStr">
        <is>
          <t>حالت‌ها و گذارهای همین ماژول</t>
        </is>
      </c>
      <c r="B3" s="37" t="inlineStr">
        <is>
          <t>Protection_State_Machine.xlsx</t>
        </is>
      </c>
    </row>
    <row r="4" ht="24" customHeight="1">
      <c r="A4" s="36" t="inlineStr">
        <is>
          <t>ماشین حالت کل برنامه (نمای سیستمی)</t>
        </is>
      </c>
      <c r="B4" s="37" t="inlineStr">
        <is>
          <t>../../../Documentation/System_State_Machine.xlsx</t>
        </is>
      </c>
    </row>
    <row r="5" ht="24" customHeight="1">
      <c r="A5" s="36" t="inlineStr">
        <is>
          <t>راهنمای رنگ‌ها</t>
        </is>
      </c>
      <c r="B5" s="38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6" t="inlineStr">
        <is>
          <t>بازتولید</t>
        </is>
      </c>
      <c r="B6" s="37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6" t="inlineStr">
        <is>
          <t>برنامهٔ تست آزمایشگاهی — ماژول Protection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40.5" customHeight="1">
      <c r="A5" s="17" t="inlineStr">
        <is>
          <t>PR-002</t>
        </is>
      </c>
      <c r="B5" s="23" t="inlineStr">
        <is>
          <t>FAULT_ADC لحظه‌ای</t>
        </is>
      </c>
      <c r="C5" s="24" t="inlineStr">
        <is>
          <t>بالا</t>
        </is>
      </c>
      <c r="D5" s="23" t="inlineStr">
        <is>
          <t>بیلد تستی با MODULE_PROTECTION=1</t>
        </is>
      </c>
      <c r="E5" s="23" t="inlineStr">
        <is>
          <t>گام ۱: یک بیلد تستی بگیر که در آن MODULE_PROTECTION=1 باشد.
گام ۲: ADC را موقتاً نامعتبر کن (مثلاً ورودی را در دورهٔ warm-up قطع کن تا snapshot نامعتبر شود).
گام ۳: بیت FAULT_ADC باید لحظه‌ای ست شود (در پنل/ماسک ببین).
گام ۴: ADC را معتبر کن و اولین snapshot معتبر را بده (5 ثانیه کافی است): بیت باید خودش پاک شود؛ بیت بعد از معتبر شدن صفر است.</t>
        </is>
      </c>
      <c r="F5" s="25" t="inlineStr">
        <is>
          <t>snapshot نامعتبر</t>
        </is>
      </c>
      <c r="G5" s="25" t="inlineStr">
        <is>
          <t>5s</t>
        </is>
      </c>
      <c r="H5" s="23" t="inlineStr">
        <is>
          <t>Set بیت FAULT_ADC به‌صورت لحظه‌ای؛ با اولین snapshot معتبر خودش پاک می‌شود</t>
        </is>
      </c>
      <c r="I5" s="23" t="inlineStr">
        <is>
          <t>لحظه‌ای نه latch</t>
        </is>
      </c>
      <c r="J5" s="23" t="inlineStr">
        <is>
          <t>بیت بعد از معتبر شدن صفر</t>
        </is>
      </c>
      <c r="K5" s="23" t="n"/>
      <c r="L5" s="21" t="inlineStr">
        <is>
          <t>در انتظار</t>
        </is>
      </c>
      <c r="M5" s="23" t="n"/>
      <c r="N5" s="23" t="n"/>
      <c r="O5" s="25" t="inlineStr">
        <is>
          <t>TESTER: fill</t>
        </is>
      </c>
      <c r="P5" s="25" t="n"/>
      <c r="Q5" s="26">
        <f>IF(OR(L5="",L5="در انتظار"),"",IF(Q5="",TODAY(),Q5))</f>
        <v/>
      </c>
    </row>
    <row r="6" ht="54" customHeight="1"/>
    <row r="7" ht="54" customHeight="1"/>
    <row r="8" ht="54" customHeight="1"/>
    <row r="9" ht="54" customHeight="1"/>
    <row r="10" ht="54" customHeight="1"/>
  </sheetData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2026-10-16T17:06:58Z</dcterms:modified>
</cp:coreProperties>
</file>