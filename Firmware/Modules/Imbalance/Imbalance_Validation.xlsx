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تست'!$A$4:$Q$60</definedName>
    <definedName name="_xlnm.Print_Titles" localSheetId="1">'برنامه تست'!$4:$4</definedName>
    <definedName name="_xlnm._FilterDatabase" localSheetId="2" hidden="1">'تست‌های آزمایشگاهی'!$A$4:$Q$5</definedName>
    <definedName name="_xlnm.Print_Titles" localSheetId="2">'تست‌های آزمایشگاهی'!$4:$4</definedName>
    <definedName name="_xlnm._FilterDatabase" localSheetId="3" hidden="1">'تست‌های برنامه‌نویسی'!$A$4:$Q$5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9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b val="1"/>
      <color rgb="000563C1"/>
      <sz val="8"/>
      <u val="single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b val="1"/>
      <color rgb="00FFFFFF"/>
      <sz val="11"/>
    </font>
    <font>
      <name val="Vazirmatn"/>
      <b val="1"/>
      <sz val="8"/>
    </font>
    <font>
      <name val="Vazirmatn"/>
      <sz val="8"/>
    </font>
    <font>
      <name val="Vazirmatn"/>
      <color rgb="000563C1"/>
      <sz val="8"/>
      <u val="single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color rgb="000563C1"/>
      <sz val="8"/>
      <u val="single"/>
    </font>
  </fonts>
  <fills count="8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left" vertical="center" wrapText="1"/>
    </xf>
    <xf numFmtId="0" fontId="15" fillId="3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6" fillId="0" borderId="0" pivotButton="0" quotePrefix="0" xfId="0"/>
    <xf numFmtId="0" fontId="9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right" vertical="center" wrapText="1"/>
    </xf>
    <xf numFmtId="0" fontId="17" fillId="6" borderId="2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center" vertical="center" wrapText="1"/>
    </xf>
    <xf numFmtId="164" fontId="14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right" vertical="center" wrapText="1"/>
    </xf>
    <xf numFmtId="0" fontId="8" fillId="7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8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19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center" wrapText="1"/>
    </xf>
    <xf numFmtId="0" fontId="20" fillId="4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21" fillId="3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0" borderId="0" pivotButton="0" quotePrefix="0" xfId="0"/>
    <xf numFmtId="0" fontId="23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right" vertical="center" wrapText="1"/>
    </xf>
    <xf numFmtId="0" fontId="2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right" vertical="center" wrapText="1"/>
    </xf>
    <xf numFmtId="0" fontId="27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right" vertical="center" wrapText="1"/>
    </xf>
    <xf numFmtId="164" fontId="26" fillId="0" borderId="0" pivotButton="0" quotePrefix="0" xfId="0"/>
    <xf numFmtId="0" fontId="7" fillId="0" borderId="0" applyAlignment="1" pivotButton="0" quotePrefix="0" xfId="0">
      <alignment vertical="center" wrapText="1"/>
    </xf>
    <xf numFmtId="0" fontId="5" fillId="7" borderId="2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8" fillId="2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left" vertical="center" wrapText="1"/>
    </xf>
    <xf numFmtId="0" fontId="2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../Rtos/Src/task_control.c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Tester/host_test_imbalance.c" TargetMode="External" Id="rId1" /><Relationship Type="http://schemas.openxmlformats.org/officeDocument/2006/relationships/hyperlink" Target="imbalance.c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Imbalance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>
      <c r="A1" s="47" t="inlineStr">
        <is>
          <t>برگه تست و اعتبارسنجی عملی ماژول Imbalance</t>
        </is>
      </c>
    </row>
    <row r="2" ht="30" customHeight="1">
      <c r="A2" s="48" t="inlineStr">
        <is>
          <t>Imbalance | سناریوی ۵: قضاوت عدم‌توازن دو نیم‌باتری با شمارش ماندگار رویداد و قفل</t>
        </is>
      </c>
    </row>
    <row r="3">
      <c r="A3" s="49" t="inlineStr">
        <is>
          <t>هدف فایل</t>
        </is>
      </c>
    </row>
    <row r="4">
      <c r="A4" s="50" t="n"/>
    </row>
    <row r="5">
      <c r="A5" s="50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51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50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50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50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50" t="inlineStr">
        <is>
          <t>نبود باتری برای ۳ ثانیهٔ پیوسته = تعویض واقعی → ریست خودکار همهٔ شمارنده‌ها و قفل.</t>
        </is>
      </c>
    </row>
    <row r="11">
      <c r="A11" s="50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60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2" t="inlineStr">
        <is>
          <t>برنامهٔ تست عملی — ماژول Imbalance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>
      <c r="A2" s="54" t="inlineStr">
        <is>
          <t>وضعیت فقط یکی از: در انتظار / قبول / رد / مسدود / نیاز به تکرار. تست Host جایگزین تست برد نیست.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>
      <c r="A3" s="54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54" customHeight="1">
      <c r="A5" s="55" t="inlineStr">
        <is>
          <t>IM-001</t>
        </is>
      </c>
      <c r="B5" s="56" t="inlineStr">
        <is>
          <t>آستانهٔ استراحت</t>
        </is>
      </c>
      <c r="C5" s="57" t="inlineStr">
        <is>
          <t>بالا</t>
        </is>
      </c>
      <c r="D5" s="56" t="inlineStr">
        <is>
          <t>دو باتری ۱۲ ولت وصل است؛ دستگاه خاموش و بیکار (نه شارژ، نه بار)</t>
        </is>
      </c>
      <c r="E5" s="56" t="inlineStr">
        <is>
          <t>گام ۱: یکی از باتری‌ها را با یک لامپ ۱۲ ولت کمی خالی کن تا از آن یکی ضعیف‌تر شود.
گام ۲: باتری‌ها را سر جا وصل کن و دستگاه را نیم ساعت بیکار بگذار.
گام ۳: در پنل ببین رویداد عدم‌توازن شمرده شده یا نه.</t>
        </is>
      </c>
      <c r="F5" s="58" t="inlineStr">
        <is>
          <t>یک نیم ضعیف‌تر در حالت استراحت</t>
        </is>
      </c>
      <c r="G5" s="58" t="inlineStr">
        <is>
          <t>نیم ساعت</t>
        </is>
      </c>
      <c r="H5" s="56" t="inlineStr">
        <is>
          <t>اختلاف دو باتری در استراحت دیده و یک رویداد شمرده می‌شود</t>
        </is>
      </c>
      <c r="I5" s="56" t="inlineStr">
        <is>
          <t>رویداد در شمارنده می‌ماند</t>
        </is>
      </c>
      <c r="J5" s="56" t="inlineStr">
        <is>
          <t>شمرده‌شدن رویداد = قبول؛ نشمردن با اختلاف واضح = رد</t>
        </is>
      </c>
      <c r="K5" s="56" t="inlineStr">
        <is>
          <t>در انتظار</t>
        </is>
      </c>
      <c r="L5" s="59" t="inlineStr">
        <is>
          <t>در انتظار</t>
        </is>
      </c>
      <c r="M5" s="56" t="n"/>
      <c r="N5" s="56" t="inlineStr">
        <is>
          <t>TESTER: fill</t>
        </is>
      </c>
      <c r="O5" s="58" t="inlineStr">
        <is>
          <t>TESTER: fill</t>
        </is>
      </c>
      <c r="P5" s="58" t="inlineStr">
        <is>
          <t>TESTER: fill</t>
        </is>
      </c>
      <c r="Q5" s="60" t="inlineStr">
        <is>
          <t>2026-10-05</t>
        </is>
      </c>
    </row>
    <row r="6" ht="54" customHeight="1">
      <c r="A6" s="55" t="inlineStr">
        <is>
          <t>IM-002</t>
        </is>
      </c>
      <c r="B6" s="61" t="inlineStr">
        <is>
          <t>گیت زمانی پس از شارژ</t>
        </is>
      </c>
      <c r="C6" s="62" t="inlineStr">
        <is>
          <t>بالا</t>
        </is>
      </c>
      <c r="D6" s="61" t="inlineStr">
        <is>
          <t>باتری‌ها تازه شارژشان تمام شده است</t>
        </is>
      </c>
      <c r="E6" s="61" t="inlineStr">
        <is>
          <t>گام ۱: درست بعد از تمام‌شدن شارژ، یک باتری را کمی ضعیف کن (لامپ ۱۲ ولت).
گام ۲: در همان دقایق اول پنل را چک کن.</t>
        </is>
      </c>
      <c r="F6" s="63" t="inlineStr">
        <is>
          <t>اختلاف بلافاصله بعد از شارژ</t>
        </is>
      </c>
      <c r="G6" s="63" t="inlineStr">
        <is>
          <t>ربع ساعت</t>
        </is>
      </c>
      <c r="H6" s="61" t="inlineStr">
        <is>
          <t>درست بعد از شارژ رویداد حساب نمی‌شود؛ دستگاه اول فرصت استراحت و جاافتادن می‌دهد</t>
        </is>
      </c>
      <c r="I6" s="61" t="inlineStr">
        <is>
          <t>بدون رویداد زودهنگام</t>
        </is>
      </c>
      <c r="J6" s="61" t="inlineStr">
        <is>
          <t>حساب‌نشدن در فرصت اول = قبول؛ رویداد فوری بعد شارژ = رد</t>
        </is>
      </c>
      <c r="K6" s="61" t="inlineStr">
        <is>
          <t>در انتظار</t>
        </is>
      </c>
      <c r="L6" s="59" t="inlineStr">
        <is>
          <t>در انتظار</t>
        </is>
      </c>
      <c r="M6" s="61" t="n"/>
      <c r="N6" s="61" t="inlineStr">
        <is>
          <t>TESTER: fill</t>
        </is>
      </c>
      <c r="O6" s="63" t="inlineStr">
        <is>
          <t>TESTER: fill</t>
        </is>
      </c>
      <c r="P6" s="63" t="inlineStr">
        <is>
          <t>TESTER: fill</t>
        </is>
      </c>
      <c r="Q6" s="64" t="inlineStr">
        <is>
          <t>2026-10-05</t>
        </is>
      </c>
    </row>
    <row r="7" ht="54" customHeight="1">
      <c r="A7" s="55" t="inlineStr">
        <is>
          <t>IM-003</t>
        </is>
      </c>
      <c r="B7" s="56" t="inlineStr">
        <is>
          <t>آستانهٔ دشارژ</t>
        </is>
      </c>
      <c r="C7" s="57" t="inlineStr">
        <is>
          <t>بالا</t>
        </is>
      </c>
      <c r="D7" s="56" t="inlineStr">
        <is>
          <t>دستگاه روی باتری دارد به یک بار واقعی کار می‌کند</t>
        </is>
      </c>
      <c r="E7" s="56" t="inlineStr">
        <is>
          <t>گام ۱: حین کار، باتری‌ای که ضعیف‌تر است را زیر نظر بگیر (از اول یکی را کمی خالی‌تر وصل کن).
گام ۲: بگذار دستگاه مدتی با بار کار کند.
گام ۳: شمارندهٔ رویداد را در پنل چک کن.</t>
        </is>
      </c>
      <c r="F7" s="58" t="inlineStr">
        <is>
          <t>دو باتری نابرابر زیر بار واقعی</t>
        </is>
      </c>
      <c r="G7" s="58" t="inlineStr">
        <is>
          <t>نیم ساعت</t>
        </is>
      </c>
      <c r="H7" s="56" t="inlineStr">
        <is>
          <t>اختلاف زیر بار هم دیده و رویداد شمرده می‌شود</t>
        </is>
      </c>
      <c r="I7" s="56" t="inlineStr">
        <is>
          <t>رویداد در شمارنده می‌ماند</t>
        </is>
      </c>
      <c r="J7" s="56" t="inlineStr">
        <is>
          <t>شمرده‌شدن زیر بار = قبول؛ فقط در استراحت شمردن = رد</t>
        </is>
      </c>
      <c r="K7" s="56" t="inlineStr">
        <is>
          <t>در انتظار</t>
        </is>
      </c>
      <c r="L7" s="59" t="inlineStr">
        <is>
          <t>در انتظار</t>
        </is>
      </c>
      <c r="M7" s="56" t="n"/>
      <c r="N7" s="56" t="inlineStr">
        <is>
          <t>TESTER: fill</t>
        </is>
      </c>
      <c r="O7" s="58" t="inlineStr">
        <is>
          <t>TESTER: fill</t>
        </is>
      </c>
      <c r="P7" s="58" t="inlineStr">
        <is>
          <t>TESTER: fill</t>
        </is>
      </c>
      <c r="Q7" s="60" t="inlineStr">
        <is>
          <t>2026-10-05</t>
        </is>
      </c>
    </row>
    <row r="8" ht="54" customHeight="1">
      <c r="A8" s="55" t="inlineStr">
        <is>
          <t>IM-004</t>
        </is>
      </c>
      <c r="B8" s="61" t="inlineStr">
        <is>
          <t>هیسترزیس پایان اپیزود</t>
        </is>
      </c>
      <c r="C8" s="62" t="inlineStr">
        <is>
          <t>بالا</t>
        </is>
      </c>
      <c r="D8" s="61" t="inlineStr">
        <is>
          <t>یک اپیزود عدم‌توازن در جریان است (اختلاف دو باتری نزدیک مرز تمام‌شدن)</t>
        </is>
      </c>
      <c r="E8" s="61" t="inlineStr">
        <is>
          <t>گام ۱: اختلاف دو باتری را آرام کم کن (باتری ضعیف را کمی شارژ یا با سالم‌تر عوض کن).
گام ۲: بعد کمی دوباره اختلاف بساز و کم کن.
گام ۳: شمارنده و وضعیت اپیزود را در پنل نگاه کن.</t>
        </is>
      </c>
      <c r="F8" s="63" t="inlineStr">
        <is>
          <t>کم و زیاد کردن آرام اختلاف دور مرز پایان</t>
        </is>
      </c>
      <c r="G8" s="63" t="inlineStr">
        <is>
          <t>ربع ساعت</t>
        </is>
      </c>
      <c r="H8" s="61" t="inlineStr">
        <is>
          <t>اپیزود با هر تغییر کوچک باز و بسته نمی‌شود؛ پایانش تمیز و یک‌باره است</t>
        </is>
      </c>
      <c r="I8" s="61" t="inlineStr">
        <is>
          <t>پایان پایدار</t>
        </is>
      </c>
      <c r="J8" s="61" t="inlineStr">
        <is>
          <t>پایان تمیز = قبول؛ باز و بسته‌شدن تندتند = رد</t>
        </is>
      </c>
      <c r="K8" s="61" t="inlineStr">
        <is>
          <t>در انتظار</t>
        </is>
      </c>
      <c r="L8" s="59" t="inlineStr">
        <is>
          <t>در انتظار</t>
        </is>
      </c>
      <c r="M8" s="61" t="n"/>
      <c r="N8" s="61" t="inlineStr">
        <is>
          <t>TESTER: fill</t>
        </is>
      </c>
      <c r="O8" s="63" t="inlineStr">
        <is>
          <t>TESTER: fill</t>
        </is>
      </c>
      <c r="P8" s="63" t="inlineStr">
        <is>
          <t>TESTER: fill</t>
        </is>
      </c>
      <c r="Q8" s="64" t="inlineStr">
        <is>
          <t>2026-10-05</t>
        </is>
      </c>
    </row>
    <row r="9" ht="40.5" customHeight="1">
      <c r="A9" s="55" t="inlineStr">
        <is>
          <t>IM-005</t>
        </is>
      </c>
      <c r="B9" s="56" t="inlineStr">
        <is>
          <t>نوسان دور حد</t>
        </is>
      </c>
      <c r="C9" s="58" t="inlineStr">
        <is>
          <t>متوسط</t>
        </is>
      </c>
      <c r="D9" s="56" t="inlineStr">
        <is>
          <t>به‌جای یک باتری منبع آزمایشگاهی گذاشته‌ای تا ولتاژش را بازی بدهی</t>
        </is>
      </c>
      <c r="E9" s="56" t="inlineStr">
        <is>
          <t>گام ۱: ولتاژ منبع را دور مرز اختلاف مجاز، کم‌کم بالا و پایین کن.
گام ۲: شمارندهٔ رویداد را در پنل زیر نظر بگیر.</t>
        </is>
      </c>
      <c r="F9" s="58" t="inlineStr">
        <is>
          <t>نوسان ولتاژ یک نیم دور مرز</t>
        </is>
      </c>
      <c r="G9" s="58" t="inlineStr">
        <is>
          <t>ربع ساعت</t>
        </is>
      </c>
      <c r="H9" s="56" t="inlineStr">
        <is>
          <t>با نوسان‌های کوچک شمارنده بالا نمی‌رود؛ فقط اختلاف واقعی و ماندگار شمرده می‌شود</t>
        </is>
      </c>
      <c r="I9" s="56" t="inlineStr">
        <is>
          <t>بدون رویداد کاذب</t>
        </is>
      </c>
      <c r="J9" s="56" t="inlineStr">
        <is>
          <t>ثابت‌ماندن شمارنده = قبول؛ شمردن با هر نوسان = رد</t>
        </is>
      </c>
      <c r="K9" s="56" t="inlineStr">
        <is>
          <t>در انتظار</t>
        </is>
      </c>
      <c r="L9" s="59" t="inlineStr">
        <is>
          <t>در انتظار</t>
        </is>
      </c>
      <c r="M9" s="56" t="n"/>
      <c r="N9" s="56" t="inlineStr">
        <is>
          <t>TESTER: fill</t>
        </is>
      </c>
      <c r="O9" s="58" t="inlineStr">
        <is>
          <t>TESTER: fill</t>
        </is>
      </c>
      <c r="P9" s="58" t="inlineStr">
        <is>
          <t>TESTER: fill</t>
        </is>
      </c>
      <c r="Q9" s="60" t="inlineStr">
        <is>
          <t>2026-10-05</t>
        </is>
      </c>
    </row>
    <row r="10" ht="54" customHeight="1">
      <c r="A10" s="55" t="inlineStr">
        <is>
          <t>IM-006</t>
        </is>
      </c>
      <c r="B10" s="61" t="inlineStr">
        <is>
          <t>ماندگاری شمارنده</t>
        </is>
      </c>
      <c r="C10" s="62" t="inlineStr">
        <is>
          <t>بالا</t>
        </is>
      </c>
      <c r="D10" s="65" t="inlineStr">
        <is>
          <t>چند رویداد عدم‌توازن را با IM-001 ساخته‌ای و شمرده شده‌اند</t>
        </is>
      </c>
      <c r="E10" s="61" t="inlineStr">
        <is>
          <t>گام ۱: برق دستگاه را کامل قطع کن و یک دقیقه صبر کن.
گام ۲: دوباره روشن کن و شمارنده را در پنل بخوان.</t>
        </is>
      </c>
      <c r="F10" s="63" t="inlineStr">
        <is>
          <t>قطع و وصل کامل برق</t>
        </is>
      </c>
      <c r="G10" s="63" t="inlineStr">
        <is>
          <t>پنج دقیقه</t>
        </is>
      </c>
      <c r="H10" s="61" t="inlineStr">
        <is>
          <t>شمارندهٔ رویدادها بعد از روشن‌شدن سر جایش هست و از صفر شروع نشده</t>
        </is>
      </c>
      <c r="I10" s="61" t="inlineStr">
        <is>
          <t>ماندگار در قطع برق</t>
        </is>
      </c>
      <c r="J10" s="61" t="inlineStr">
        <is>
          <t>حفظ شمارنده = قبول؛ صفر شدن = رد</t>
        </is>
      </c>
      <c r="K10" s="61" t="inlineStr">
        <is>
          <t>در انتظار</t>
        </is>
      </c>
      <c r="L10" s="59" t="inlineStr">
        <is>
          <t>در انتظار</t>
        </is>
      </c>
      <c r="M10" s="61" t="n"/>
      <c r="N10" s="61" t="inlineStr">
        <is>
          <t>TESTER: fill</t>
        </is>
      </c>
      <c r="O10" s="63" t="inlineStr">
        <is>
          <t>TESTER: fill</t>
        </is>
      </c>
      <c r="P10" s="63" t="inlineStr">
        <is>
          <t>TESTER: fill</t>
        </is>
      </c>
      <c r="Q10" s="64" t="inlineStr">
        <is>
          <t>2026-10-05</t>
        </is>
      </c>
    </row>
    <row r="11" ht="54" customHeight="1">
      <c r="A11" s="55" t="inlineStr">
        <is>
          <t>IM-007</t>
        </is>
      </c>
      <c r="B11" s="56" t="inlineStr">
        <is>
          <t>قفل شدن</t>
        </is>
      </c>
      <c r="C11" s="57" t="inlineStr">
        <is>
          <t>بالا</t>
        </is>
      </c>
      <c r="D11" s="56" t="inlineStr">
        <is>
          <t>دو باتری نابرابر داری؛ برای زود دیدن نتیجه از پنل حدّ رویدادهای مجاز را موقتاً روی یک بگذار</t>
        </is>
      </c>
      <c r="E11" s="66" t="inlineStr">
        <is>
          <t>گام ۱: یک رویداد عدم‌توازن بساز (مثل IM-001).
گام ۲: وقتی قفل شد چراغ‌ها را ببین: فقط قرمز چشمک می‌زند، سبز و زرد خاموش‌اند.
گام ۳: حدّ را از پنل به مقدار واقعی برگردان.</t>
        </is>
      </c>
      <c r="F11" s="58" t="inlineStr">
        <is>
          <t>رویداد عدم‌توازن با حدّ موقتِ یک</t>
        </is>
      </c>
      <c r="G11" s="58" t="inlineStr">
        <is>
          <t>نیم ساعت</t>
        </is>
      </c>
      <c r="H11" s="56" t="inlineStr">
        <is>
          <t>قفل عدم‌توازن می‌نشیند: قرمز چشمک‌زنِ تنها، بدون سبز و زرد</t>
        </is>
      </c>
      <c r="I11" s="56" t="inlineStr">
        <is>
          <t>قفل تا تعویض باتری</t>
        </is>
      </c>
      <c r="J11" s="56" t="inlineStr">
        <is>
          <t>نشستن قفل با همان چهره = قبول؛ قفل‌نشدن یا چهرهٔ اشتباه = رد</t>
        </is>
      </c>
      <c r="K11" s="56" t="inlineStr">
        <is>
          <t>در انتظار</t>
        </is>
      </c>
      <c r="L11" s="59" t="inlineStr">
        <is>
          <t>در انتظار</t>
        </is>
      </c>
      <c r="M11" s="56" t="n"/>
      <c r="N11" s="56" t="inlineStr">
        <is>
          <t>TESTER: fill</t>
        </is>
      </c>
      <c r="O11" s="58" t="inlineStr">
        <is>
          <t>TESTER: fill</t>
        </is>
      </c>
      <c r="P11" s="58" t="inlineStr">
        <is>
          <t>TESTER: fill</t>
        </is>
      </c>
      <c r="Q11" s="60" t="inlineStr">
        <is>
          <t>2026-10-05</t>
        </is>
      </c>
    </row>
    <row r="12" ht="54" customHeight="1">
      <c r="A12" s="55" t="inlineStr">
        <is>
          <t>IM-009</t>
        </is>
      </c>
      <c r="B12" s="56" t="inlineStr">
        <is>
          <t>بوق ساعتی</t>
        </is>
      </c>
      <c r="C12" s="58" t="inlineStr">
        <is>
          <t>متوسط</t>
        </is>
      </c>
      <c r="D12" s="66" t="inlineStr">
        <is>
          <t>قفل عدم‌توازن فعال است (IM-007)؛ از پنل دورهٔ بوق قفل را موقتاً کوتاه کرده‌ای</t>
        </is>
      </c>
      <c r="E12" s="56" t="inlineStr">
        <is>
          <t>گام ۱: با کرنومتر صبر کن تا وقت بوق برسد.
گام ۲: به بوق و چراغ قرمز دقت کن.
گام ۳: دورهٔ بوق را به مقدار واقعی برگردان.</t>
        </is>
      </c>
      <c r="F12" s="58" t="inlineStr">
        <is>
          <t>قفل فعال با دورهٔ بوق کوتاه‌شده</t>
        </is>
      </c>
      <c r="G12" s="58" t="inlineStr">
        <is>
          <t>چند دقیقه</t>
        </is>
      </c>
      <c r="H12" s="56" t="inlineStr">
        <is>
          <t>سر وقت، یک بوق کوتاه می‌آید و قرمز همچنان چشمک می‌زند</t>
        </is>
      </c>
      <c r="I12" s="56" t="inlineStr">
        <is>
          <t>بوق دوره‌ای در قفل</t>
        </is>
      </c>
      <c r="J12" s="56" t="inlineStr">
        <is>
          <t>بوق سر وقت = قبول؛ بی‌بوقی یا بوق به‌هم‌ریخته = رد</t>
        </is>
      </c>
      <c r="K12" s="56" t="inlineStr">
        <is>
          <t>در انتظار</t>
        </is>
      </c>
      <c r="L12" s="59" t="inlineStr">
        <is>
          <t>در انتظار</t>
        </is>
      </c>
      <c r="M12" s="56" t="n"/>
      <c r="N12" s="56" t="inlineStr">
        <is>
          <t>TESTER: fill</t>
        </is>
      </c>
      <c r="O12" s="58" t="inlineStr">
        <is>
          <t>TESTER: fill</t>
        </is>
      </c>
      <c r="P12" s="58" t="inlineStr">
        <is>
          <t>TESTER: fill</t>
        </is>
      </c>
      <c r="Q12" s="60" t="inlineStr">
        <is>
          <t>2026-10-05</t>
        </is>
      </c>
    </row>
    <row r="13" ht="54" customHeight="1">
      <c r="A13" s="55" t="inlineStr">
        <is>
          <t>IM-010</t>
        </is>
      </c>
      <c r="B13" s="61" t="inlineStr">
        <is>
          <t>وتوی خروجی</t>
        </is>
      </c>
      <c r="C13" s="62" t="inlineStr">
        <is>
          <t>بالا</t>
        </is>
      </c>
      <c r="D13" s="61" t="inlineStr">
        <is>
          <t>قفل عدم‌توازن فعال است و از پنل گزینهٔ «قطع خروجی هنگام قفل» روشن است؛ یک بار روی خروجی داری</t>
        </is>
      </c>
      <c r="E13" s="61" t="inlineStr">
        <is>
          <t>گام ۱: برق شهر را بکش.
گام ۲: بار را نگاه کن؛ نباید از این باتری روشن شود.
گام ۳: برق شهر را برگردان.</t>
        </is>
      </c>
      <c r="F13" s="63" t="inlineStr">
        <is>
          <t>قطع برق شهر در قفل با وتوی خروجی</t>
        </is>
      </c>
      <c r="G13" s="63" t="inlineStr">
        <is>
          <t>پنج دقیقه</t>
        </is>
      </c>
      <c r="H13" s="61" t="inlineStr">
        <is>
          <t>باتریِ قفل‌شده روی خروجی نمی‌آید و بار روشن نمی‌شود؛ با برگشت برق شهر کار عادی می‌شود</t>
        </is>
      </c>
      <c r="I13" s="61" t="inlineStr">
        <is>
          <t>وتو تا پاک‌شدن قفل</t>
        </is>
      </c>
      <c r="J13" s="61" t="inlineStr">
        <is>
          <t>روشن‌نشدن بار از باتری قفل‌شده = قبول؛ آمدن باتری روی خروجی = رد</t>
        </is>
      </c>
      <c r="K13" s="61" t="inlineStr">
        <is>
          <t>در انتظار</t>
        </is>
      </c>
      <c r="L13" s="59" t="inlineStr">
        <is>
          <t>در انتظار</t>
        </is>
      </c>
      <c r="M13" s="61" t="n"/>
      <c r="N13" s="61" t="inlineStr">
        <is>
          <t>TESTER: fill</t>
        </is>
      </c>
      <c r="O13" s="63" t="inlineStr">
        <is>
          <t>TESTER: fill</t>
        </is>
      </c>
      <c r="P13" s="63" t="inlineStr">
        <is>
          <t>TESTER: fill</t>
        </is>
      </c>
      <c r="Q13" s="64" t="inlineStr">
        <is>
          <t>2026-10-05</t>
        </is>
      </c>
    </row>
    <row r="14" ht="54" customHeight="1">
      <c r="A14" s="55" t="inlineStr">
        <is>
          <t>IM-011</t>
        </is>
      </c>
      <c r="B14" s="56" t="inlineStr">
        <is>
          <t>برداشتن تیک ۱۱۷</t>
        </is>
      </c>
      <c r="C14" s="58" t="inlineStr">
        <is>
          <t>متوسط</t>
        </is>
      </c>
      <c r="D14" s="56" t="inlineStr">
        <is>
          <t>قفل عدم‌توازن فعال است؛ گزینهٔ قطع خروجی را از پنل خاموش می‌کنی</t>
        </is>
      </c>
      <c r="E14" s="56" t="inlineStr">
        <is>
          <t>گام ۱: تیک قطع خروجی را از پنل بردار.
گام ۲: برق شهر را بکش و بار را نگاه کن.</t>
        </is>
      </c>
      <c r="F14" s="58" t="inlineStr">
        <is>
          <t>برداشتن تیک قطع خروجی در قفل</t>
        </is>
      </c>
      <c r="G14" s="58" t="inlineStr">
        <is>
          <t>پنج دقیقه</t>
        </is>
      </c>
      <c r="H14" s="56" t="inlineStr">
        <is>
          <t>این بار باتری روی خروجی می‌آید و بار کار می‌کند، هرچند قفل هنوز هست</t>
        </is>
      </c>
      <c r="I14" s="56" t="inlineStr">
        <is>
          <t>وتو تابع تیک پنل</t>
        </is>
      </c>
      <c r="J14" s="56" t="inlineStr">
        <is>
          <t>کارکردن خروجی با تیک خاموش = قبول؛ وتوی همیشگی = رد</t>
        </is>
      </c>
      <c r="K14" s="56" t="inlineStr">
        <is>
          <t>در انتظار</t>
        </is>
      </c>
      <c r="L14" s="59" t="inlineStr">
        <is>
          <t>در انتظار</t>
        </is>
      </c>
      <c r="M14" s="56" t="n"/>
      <c r="N14" s="56" t="inlineStr">
        <is>
          <t>TESTER: fill</t>
        </is>
      </c>
      <c r="O14" s="58" t="inlineStr">
        <is>
          <t>TESTER: fill</t>
        </is>
      </c>
      <c r="P14" s="58" t="inlineStr">
        <is>
          <t>TESTER: fill</t>
        </is>
      </c>
      <c r="Q14" s="60" t="inlineStr">
        <is>
          <t>2026-10-05</t>
        </is>
      </c>
    </row>
    <row r="15" ht="54" customHeight="1">
      <c r="A15" s="55" t="inlineStr">
        <is>
          <t>IM-012</t>
        </is>
      </c>
      <c r="B15" s="61" t="inlineStr">
        <is>
          <t>بودجهٔ سیکل شارژ</t>
        </is>
      </c>
      <c r="C15" s="62" t="inlineStr">
        <is>
          <t>بالا</t>
        </is>
      </c>
      <c r="D15" s="61" t="inlineStr">
        <is>
          <t>قفل عدم‌توازن فعال است و شارژ باتری قفل‌شده هنوز اجازه دارد</t>
        </is>
      </c>
      <c r="E15" s="61" t="inlineStr">
        <is>
          <t>گام ۱: چند چرخهٔ شارژ کامل روی همان باتری انجام بده.
گام ۲: بعد از هر چرخه ببین شارژ هنوز شروع می‌شود یا نه.</t>
        </is>
      </c>
      <c r="F15" s="63" t="inlineStr">
        <is>
          <t>چند چرخهٔ شارژ پشت سر هم در قفل</t>
        </is>
      </c>
      <c r="G15" s="63" t="inlineStr">
        <is>
          <t>چند چرخهٔ شارژ</t>
        </is>
      </c>
      <c r="H15" s="61" t="inlineStr">
        <is>
          <t>بعد از تمام‌شدن بودجهٔ چرخه‌های مجاز، شارژ آن باتری هم دیگر شروع نمی‌شود</t>
        </is>
      </c>
      <c r="I15" s="61" t="inlineStr">
        <is>
          <t>توقف شارژ بعد از بودجه</t>
        </is>
      </c>
      <c r="J15" s="61" t="inlineStr">
        <is>
          <t>توقف بعد از چرخه‌های مجاز = قبول؛ شارژ بی‌نهایت در قفل = رد</t>
        </is>
      </c>
      <c r="K15" s="61" t="inlineStr">
        <is>
          <t>در انتظار</t>
        </is>
      </c>
      <c r="L15" s="59" t="inlineStr">
        <is>
          <t>در انتظار</t>
        </is>
      </c>
      <c r="M15" s="61" t="n"/>
      <c r="N15" s="61" t="inlineStr">
        <is>
          <t>TESTER: fill</t>
        </is>
      </c>
      <c r="O15" s="63" t="inlineStr">
        <is>
          <t>TESTER: fill</t>
        </is>
      </c>
      <c r="P15" s="63" t="inlineStr">
        <is>
          <t>TESTER: fill</t>
        </is>
      </c>
      <c r="Q15" s="64" t="inlineStr">
        <is>
          <t>2026-10-05</t>
        </is>
      </c>
    </row>
    <row r="16" ht="54" customHeight="1">
      <c r="A16" s="55" t="inlineStr">
        <is>
          <t>IM-013</t>
        </is>
      </c>
      <c r="B16" s="56" t="inlineStr">
        <is>
          <t>ریست با تعویض باتری</t>
        </is>
      </c>
      <c r="C16" s="57" t="inlineStr">
        <is>
          <t>بالا</t>
        </is>
      </c>
      <c r="D16" s="56" t="inlineStr">
        <is>
          <t>قفل عدم‌توازن فعال است و چراغ قرمز چشمک می‌زند</t>
        </is>
      </c>
      <c r="E16" s="56" t="inlineStr">
        <is>
          <t>گام ۱: هر دو باتری را با دو باتری سالم و هم‌شارژ عوض کن.
گام ۲: چند دقیقه صبر کن و چراغ‌ها را ببین.</t>
        </is>
      </c>
      <c r="F16" s="58" t="inlineStr">
        <is>
          <t>تعویض واقعی هر دو باتری</t>
        </is>
      </c>
      <c r="G16" s="58" t="inlineStr">
        <is>
          <t>ربع ساعت</t>
        </is>
      </c>
      <c r="H16" s="56" t="inlineStr">
        <is>
          <t>قفل خودش پاک می‌شود، چشمک قرمز می‌رود و رفتار عادی برمی‌گردد</t>
        </is>
      </c>
      <c r="I16" s="56" t="inlineStr">
        <is>
          <t>پاک‌شدن خودکار با تعویض</t>
        </is>
      </c>
      <c r="J16" s="56" t="inlineStr">
        <is>
          <t>پاک‌شدن خودکار = قبول؛ ماندن قفل با باتری سالم = رد</t>
        </is>
      </c>
      <c r="K16" s="56" t="inlineStr">
        <is>
          <t>در انتظار</t>
        </is>
      </c>
      <c r="L16" s="59" t="inlineStr">
        <is>
          <t>در انتظار</t>
        </is>
      </c>
      <c r="M16" s="56" t="n"/>
      <c r="N16" s="56" t="inlineStr">
        <is>
          <t>TESTER: fill</t>
        </is>
      </c>
      <c r="O16" s="58" t="inlineStr">
        <is>
          <t>TESTER: fill</t>
        </is>
      </c>
      <c r="P16" s="58" t="inlineStr">
        <is>
          <t>TESTER: fill</t>
        </is>
      </c>
      <c r="Q16" s="60" t="inlineStr">
        <is>
          <t>2026-10-05</t>
        </is>
      </c>
    </row>
    <row r="17" ht="54" customHeight="1">
      <c r="A17" s="55" t="inlineStr">
        <is>
          <t>IM-014</t>
        </is>
      </c>
      <c r="B17" s="61" t="inlineStr">
        <is>
          <t>جدا شدن کوتاه</t>
        </is>
      </c>
      <c r="C17" s="63" t="inlineStr">
        <is>
          <t>متوسط</t>
        </is>
      </c>
      <c r="D17" s="61" t="inlineStr">
        <is>
          <t>قفل عدم‌توازن فعال است</t>
        </is>
      </c>
      <c r="E17" s="65" t="inlineStr">
        <is>
          <t>گام ۱: باتری‌ها را فقط چند ثانیه جدا کن و سریع وصل کن.
گام ۲: چراغ‌ها را ببین؛ قفل باید سر جایش باشد.
گام ۳: حالا تعویض واقعی (IM-013) انجام بده و تفاوت را ببین.</t>
        </is>
      </c>
      <c r="F17" s="63" t="inlineStr">
        <is>
          <t>جدا کردن کوتاه در برابر تعویض واقعی</t>
        </is>
      </c>
      <c r="G17" s="63" t="inlineStr">
        <is>
          <t>ربع ساعت</t>
        </is>
      </c>
      <c r="H17" s="61" t="inlineStr">
        <is>
          <t>قطع چندثانیه‌ای قفل را پاک نمی‌کند؛ فقط تعویض واقعی پاکش می‌کند</t>
        </is>
      </c>
      <c r="I17" s="61" t="inlineStr">
        <is>
          <t>قفل در برابر قطع کوتاه مقاوم</t>
        </is>
      </c>
      <c r="J17" s="61" t="inlineStr">
        <is>
          <t>ماندن قفل بعد قطع کوتاه = قبول؛ پاک‌شدن با قطع کوتاه = رد</t>
        </is>
      </c>
      <c r="K17" s="61" t="inlineStr">
        <is>
          <t>در انتظار</t>
        </is>
      </c>
      <c r="L17" s="59" t="inlineStr">
        <is>
          <t>در انتظار</t>
        </is>
      </c>
      <c r="M17" s="61" t="n"/>
      <c r="N17" s="61" t="inlineStr">
        <is>
          <t>TESTER: fill</t>
        </is>
      </c>
      <c r="O17" s="63" t="inlineStr">
        <is>
          <t>TESTER: fill</t>
        </is>
      </c>
      <c r="P17" s="63" t="inlineStr">
        <is>
          <t>TESTER: fill</t>
        </is>
      </c>
      <c r="Q17" s="64" t="inlineStr">
        <is>
          <t>2026-10-05</t>
        </is>
      </c>
    </row>
    <row r="18" ht="54" customHeight="1">
      <c r="A18" s="55" t="inlineStr">
        <is>
          <t>IM-015</t>
        </is>
      </c>
      <c r="B18" s="56" t="inlineStr">
        <is>
          <t>بازهٔ پارامترها</t>
        </is>
      </c>
      <c r="C18" s="58" t="inlineStr">
        <is>
          <t>پایین</t>
        </is>
      </c>
      <c r="D18" s="56" t="inlineStr">
        <is>
          <t>پنل باز است و تنظیم‌های عدم‌توازن را می‌بینی</t>
        </is>
      </c>
      <c r="E18" s="56" t="inlineStr">
        <is>
          <t>گام ۱: از پنل یک حدّ ناممکن بفرست (مثلاً اختلاف مجاز خیلی بزرگ یا منفیِ معادل).
گام ۲: مقدار ذخیره‌شده را دوباره از پنل بخوان.</t>
        </is>
      </c>
      <c r="F18" s="58" t="inlineStr">
        <is>
          <t>فرستادن مقدار بیرون بازه از پنل</t>
        </is>
      </c>
      <c r="G18" s="58" t="inlineStr">
        <is>
          <t>پنج دقیقه</t>
        </is>
      </c>
      <c r="H18" s="56" t="inlineStr">
        <is>
          <t>دستگاه مقدار خراب را قبول نمی‌کند و مقدار درست قبلی سر جایش می‌ماند</t>
        </is>
      </c>
      <c r="I18" s="56" t="inlineStr">
        <is>
          <t>حفظ مقدار قبلی</t>
        </is>
      </c>
      <c r="J18" s="56" t="inlineStr">
        <is>
          <t>رد شدن مقدار خراب = قبول؛ ذخیره‌شدن مقدار ناممکن = رد</t>
        </is>
      </c>
      <c r="K18" s="56" t="inlineStr">
        <is>
          <t>در انتظار</t>
        </is>
      </c>
      <c r="L18" s="59" t="inlineStr">
        <is>
          <t>در انتظار</t>
        </is>
      </c>
      <c r="M18" s="56" t="n"/>
      <c r="N18" s="56" t="inlineStr">
        <is>
          <t>TESTER: fill</t>
        </is>
      </c>
      <c r="O18" s="58" t="inlineStr">
        <is>
          <t>TESTER: fill</t>
        </is>
      </c>
      <c r="P18" s="58" t="inlineStr">
        <is>
          <t>TESTER: fill</t>
        </is>
      </c>
      <c r="Q18" s="60" t="inlineStr">
        <is>
          <t>2026-10-05</t>
        </is>
      </c>
    </row>
    <row r="19" ht="54" customHeight="1">
      <c r="A19" s="55" t="inlineStr">
        <is>
          <t>IM-016</t>
        </is>
      </c>
      <c r="B19" s="61" t="inlineStr">
        <is>
          <t>ماندگاری تنظیم‌ها پس از قطع برق</t>
        </is>
      </c>
      <c r="C19" s="62" t="inlineStr">
        <is>
          <t>بالا</t>
        </is>
      </c>
      <c r="D19" s="61" t="inlineStr">
        <is>
          <t>پنل باز است</t>
        </is>
      </c>
      <c r="E19" s="61" t="inlineStr">
        <is>
          <t>گام ۱: یک تنظیم عدم‌توازن را از پنل عوض کن (مثلاً اختلاف مجاز).
گام ۲: برق دستگاه را کامل قطع و دوباره وصل کن.
گام ۳: تنظیم را از پنل دوباره بخوان.</t>
        </is>
      </c>
      <c r="F19" s="63" t="inlineStr">
        <is>
          <t>تغییر تنظیم و قطع‌ووصل برق</t>
        </is>
      </c>
      <c r="G19" s="63" t="inlineStr">
        <is>
          <t>پنج دقیقه</t>
        </is>
      </c>
      <c r="H19" s="61" t="inlineStr">
        <is>
          <t>همان تنظیم تازه بعد از روشن‌شدن سر جاست</t>
        </is>
      </c>
      <c r="I19" s="61" t="inlineStr">
        <is>
          <t>ماندگار در قطع برق</t>
        </is>
      </c>
      <c r="J19" s="61" t="inlineStr">
        <is>
          <t>حفظ تنظیم = قبول؛ برگشت به مقدار قبلی = رد</t>
        </is>
      </c>
      <c r="K19" s="61" t="inlineStr">
        <is>
          <t>در انتظار</t>
        </is>
      </c>
      <c r="L19" s="59" t="inlineStr">
        <is>
          <t>در انتظار</t>
        </is>
      </c>
      <c r="M19" s="65" t="inlineStr">
        <is>
          <t>ایراد ممیزی ۲۰۲۶-۱۰-۰۶ (DEF-IM-001) — رگرسیون هاست در host_test_imbalance.c پوشش داده شد</t>
        </is>
      </c>
      <c r="N19" s="61" t="inlineStr">
        <is>
          <t>TESTER: fill</t>
        </is>
      </c>
      <c r="O19" s="63" t="inlineStr">
        <is>
          <t>TESTER: fill</t>
        </is>
      </c>
      <c r="P19" s="63" t="inlineStr">
        <is>
          <t>TESTER: fill</t>
        </is>
      </c>
      <c r="Q19" s="64" t="inlineStr">
        <is>
          <t>2026-10-06</t>
        </is>
      </c>
    </row>
    <row r="20" ht="54" customHeight="1">
      <c r="A20" s="55" t="inlineStr">
        <is>
          <t>IM-017</t>
        </is>
      </c>
      <c r="B20" s="56" t="inlineStr">
        <is>
          <t>ماندگاری شمارنده و قفل پس از قطع برق</t>
        </is>
      </c>
      <c r="C20" s="57" t="inlineStr">
        <is>
          <t>بالا</t>
        </is>
      </c>
      <c r="D20" s="56" t="inlineStr">
        <is>
          <t>قفل عدم‌توازن فعال و شمارنده چند رویداد دارد</t>
        </is>
      </c>
      <c r="E20" s="56" t="inlineStr">
        <is>
          <t>گام ۱: برق دستگاه را کامل قطع کن و یک دقیقه صبر کن.
گام ۲: روشن کن و چراغ‌ها و شمارنده را چک کن.</t>
        </is>
      </c>
      <c r="F20" s="58" t="inlineStr">
        <is>
          <t>قطع و وصل برق در قفل</t>
        </is>
      </c>
      <c r="G20" s="58" t="inlineStr">
        <is>
          <t>پنج دقیقه</t>
        </is>
      </c>
      <c r="H20" s="56" t="inlineStr">
        <is>
          <t>قفل و شمارنده بعد از روشن‌شدن دقیقاً سر جایشان‌اند</t>
        </is>
      </c>
      <c r="I20" s="56" t="inlineStr">
        <is>
          <t>ماندگار در قطع برق</t>
        </is>
      </c>
      <c r="J20" s="56" t="inlineStr">
        <is>
          <t>حفظ هر دو = قبول؛ پاک‌شدن با قطع برق = رد</t>
        </is>
      </c>
      <c r="K20" s="56" t="inlineStr">
        <is>
          <t>در انتظار</t>
        </is>
      </c>
      <c r="L20" s="59" t="inlineStr">
        <is>
          <t>در انتظار</t>
        </is>
      </c>
      <c r="M20" s="56" t="inlineStr">
        <is>
          <t>'برنامه تست'!A5</t>
        </is>
      </c>
      <c r="N20" s="56" t="inlineStr">
        <is>
          <t>TESTER: fill</t>
        </is>
      </c>
      <c r="O20" s="58" t="inlineStr">
        <is>
          <t>TESTER: fill</t>
        </is>
      </c>
      <c r="P20" s="58" t="inlineStr">
        <is>
          <t>TESTER: fill</t>
        </is>
      </c>
      <c r="Q20" s="60" t="inlineStr">
        <is>
          <t>2026-10-06</t>
        </is>
      </c>
    </row>
    <row r="21" ht="54" customHeight="1">
      <c r="A21" s="53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67">
        <f>IF(OR(L23="",L23="در انتظار"),"",IF(Q23="",TODAY(),Q23))</f>
        <v/>
      </c>
    </row>
    <row r="22" ht="40.5" customHeight="1">
      <c r="A22" s="53" t="n"/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67">
        <f>IF(OR(L24="",L24="در انتظار"),"",IF(Q24="",TODAY(),Q24))</f>
        <v/>
      </c>
    </row>
    <row r="23">
      <c r="A23" s="53" t="n"/>
      <c r="B23" s="53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67">
        <f>IF(OR(L25="",L25="در انتظار"),"",IF(Q25="",TODAY(),Q25))</f>
        <v/>
      </c>
    </row>
    <row r="24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67">
        <f>IF(OR(L26="",L26="در انتظار"),"",IF(Q26="",TODAY(),Q26))</f>
        <v/>
      </c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67">
        <f>IF(OR(L27="",L27="در انتظار"),"",IF(Q27="",TODAY(),Q27))</f>
        <v/>
      </c>
    </row>
    <row r="26">
      <c r="A26" s="53" t="n"/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67">
        <f>IF(OR(L28="",L28="در انتظار"),"",IF(Q28="",TODAY(),Q28))</f>
        <v/>
      </c>
    </row>
    <row r="27">
      <c r="A27" s="53" t="n"/>
      <c r="B27" s="53" t="n"/>
      <c r="C27" s="53" t="n"/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67">
        <f>IF(OR(L29="",L29="در انتظار"),"",IF(Q29="",TODAY(),Q29))</f>
        <v/>
      </c>
    </row>
    <row r="28">
      <c r="A28" s="53" t="n"/>
      <c r="B28" s="53" t="n"/>
      <c r="C28" s="53" t="n"/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67">
        <f>IF(OR(L30="",L30="در انتظار"),"",IF(Q30="",TODAY(),Q30))</f>
        <v/>
      </c>
    </row>
    <row r="29">
      <c r="A29" s="53" t="n"/>
      <c r="B29" s="53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67">
        <f>IF(OR(L31="",L31="در انتظار"),"",IF(Q31="",TODAY(),Q31))</f>
        <v/>
      </c>
    </row>
    <row r="30">
      <c r="A30" s="53" t="n"/>
      <c r="B30" s="53" t="n"/>
      <c r="C30" s="53" t="n"/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67">
        <f>IF(OR(L32="",L32="در انتظار"),"",IF(Q32="",TODAY(),Q32))</f>
        <v/>
      </c>
    </row>
    <row r="31">
      <c r="A31" s="53" t="n"/>
      <c r="B31" s="53" t="n"/>
      <c r="C31" s="53" t="n"/>
      <c r="D31" s="53" t="n"/>
      <c r="E31" s="53" t="n"/>
      <c r="F31" s="53" t="n"/>
      <c r="G31" s="53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67">
        <f>IF(OR(L33="",L33="در انتظار"),"",IF(Q33="",TODAY(),Q33))</f>
        <v/>
      </c>
    </row>
    <row r="32">
      <c r="A32" s="53" t="n"/>
      <c r="B32" s="53" t="n"/>
      <c r="C32" s="53" t="n"/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67">
        <f>IF(OR(L34="",L34="در انتظار"),"",IF(Q34="",TODAY(),Q34))</f>
        <v/>
      </c>
    </row>
    <row r="33">
      <c r="A33" s="53" t="n"/>
      <c r="B33" s="53" t="n"/>
      <c r="C33" s="53" t="n"/>
      <c r="D33" s="53" t="n"/>
      <c r="E33" s="53" t="n"/>
      <c r="F33" s="53" t="n"/>
      <c r="G33" s="53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67">
        <f>IF(OR(L35="",L35="در انتظار"),"",IF(Q35="",TODAY(),Q35))</f>
        <v/>
      </c>
    </row>
    <row r="34">
      <c r="A34" s="53" t="n"/>
      <c r="B34" s="53" t="n"/>
      <c r="C34" s="53" t="n"/>
      <c r="D34" s="53" t="n"/>
      <c r="E34" s="53" t="n"/>
      <c r="F34" s="53" t="n"/>
      <c r="G34" s="53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67">
        <f>IF(OR(L36="",L36="در انتظار"),"",IF(Q36="",TODAY(),Q36))</f>
        <v/>
      </c>
    </row>
    <row r="35">
      <c r="A35" s="53" t="n"/>
      <c r="B35" s="53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67">
        <f>IF(OR(L37="",L37="در انتظار"),"",IF(Q37="",TODAY(),Q37))</f>
        <v/>
      </c>
    </row>
    <row r="36">
      <c r="A36" s="53" t="n"/>
      <c r="B36" s="53" t="n"/>
      <c r="C36" s="53" t="n"/>
      <c r="D36" s="53" t="n"/>
      <c r="E36" s="53" t="n"/>
      <c r="F36" s="53" t="n"/>
      <c r="G36" s="53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67">
        <f>IF(OR(L38="",L38="در انتظار"),"",IF(Q38="",TODAY(),Q38))</f>
        <v/>
      </c>
    </row>
    <row r="37">
      <c r="A37" s="53" t="n"/>
      <c r="B37" s="53" t="n"/>
      <c r="C37" s="53" t="n"/>
      <c r="D37" s="53" t="n"/>
      <c r="E37" s="53" t="n"/>
      <c r="F37" s="53" t="n"/>
      <c r="G37" s="53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67">
        <f>IF(OR(L39="",L39="در انتظار"),"",IF(Q39="",TODAY(),Q39))</f>
        <v/>
      </c>
    </row>
    <row r="38">
      <c r="A38" s="53" t="n"/>
      <c r="B38" s="53" t="n"/>
      <c r="C38" s="53" t="n"/>
      <c r="D38" s="53" t="n"/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67">
        <f>IF(OR(L40="",L40="در انتظار"),"",IF(Q40="",TODAY(),Q40))</f>
        <v/>
      </c>
    </row>
    <row r="39">
      <c r="A39" s="53" t="n"/>
      <c r="B39" s="53" t="n"/>
      <c r="C39" s="53" t="n"/>
      <c r="D39" s="53" t="n"/>
      <c r="E39" s="53" t="n"/>
      <c r="F39" s="53" t="n"/>
      <c r="G39" s="53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67">
        <f>IF(OR(L41="",L41="در انتظار"),"",IF(Q41="",TODAY(),Q41))</f>
        <v/>
      </c>
    </row>
    <row r="40">
      <c r="A40" s="53" t="n"/>
      <c r="B40" s="53" t="n"/>
      <c r="C40" s="53" t="n"/>
      <c r="D40" s="53" t="n"/>
      <c r="E40" s="53" t="n"/>
      <c r="F40" s="53" t="n"/>
      <c r="G40" s="53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67">
        <f>IF(OR(L42="",L42="در انتظار"),"",IF(Q42="",TODAY(),Q42))</f>
        <v/>
      </c>
    </row>
    <row r="41">
      <c r="A41" s="53" t="n"/>
      <c r="B41" s="53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67">
        <f>IF(OR(L43="",L43="در انتظار"),"",IF(Q43="",TODAY(),Q43))</f>
        <v/>
      </c>
    </row>
    <row r="42">
      <c r="A42" s="53" t="n"/>
      <c r="B42" s="53" t="n"/>
      <c r="C42" s="53" t="n"/>
      <c r="D42" s="53" t="n"/>
      <c r="E42" s="53" t="n"/>
      <c r="F42" s="53" t="n"/>
      <c r="G42" s="53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67">
        <f>IF(OR(L44="",L44="در انتظار"),"",IF(Q44="",TODAY(),Q44))</f>
        <v/>
      </c>
    </row>
    <row r="43">
      <c r="A43" s="53" t="n"/>
      <c r="B43" s="53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67">
        <f>IF(OR(L45="",L45="در انتظار"),"",IF(Q45="",TODAY(),Q45))</f>
        <v/>
      </c>
    </row>
    <row r="44">
      <c r="A44" s="53" t="n"/>
      <c r="B44" s="53" t="n"/>
      <c r="C44" s="53" t="n"/>
      <c r="D44" s="53" t="n"/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67">
        <f>IF(OR(L46="",L46="در انتظار"),"",IF(Q46="",TODAY(),Q46))</f>
        <v/>
      </c>
    </row>
    <row r="45">
      <c r="A45" s="53" t="n"/>
      <c r="B45" s="53" t="n"/>
      <c r="C45" s="53" t="n"/>
      <c r="D45" s="53" t="n"/>
      <c r="E45" s="53" t="n"/>
      <c r="F45" s="53" t="n"/>
      <c r="G45" s="53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67">
        <f>IF(OR(L47="",L47="در انتظار"),"",IF(Q47="",TODAY(),Q47))</f>
        <v/>
      </c>
    </row>
    <row r="46">
      <c r="A46" s="53" t="n"/>
      <c r="B46" s="53" t="n"/>
      <c r="C46" s="53" t="n"/>
      <c r="D46" s="53" t="n"/>
      <c r="E46" s="53" t="n"/>
      <c r="F46" s="53" t="n"/>
      <c r="G46" s="53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67">
        <f>IF(OR(L48="",L48="در انتظار"),"",IF(Q48="",TODAY(),Q48))</f>
        <v/>
      </c>
    </row>
    <row r="47">
      <c r="A47" s="53" t="n"/>
      <c r="B47" s="53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67">
        <f>IF(OR(L49="",L49="در انتظار"),"",IF(Q49="",TODAY(),Q49))</f>
        <v/>
      </c>
    </row>
    <row r="48">
      <c r="A48" s="53" t="n"/>
      <c r="B48" s="53" t="n"/>
      <c r="C48" s="53" t="n"/>
      <c r="D48" s="53" t="n"/>
      <c r="E48" s="53" t="n"/>
      <c r="F48" s="53" t="n"/>
      <c r="G48" s="53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67">
        <f>IF(OR(L50="",L50="در انتظار"),"",IF(Q50="",TODAY(),Q50))</f>
        <v/>
      </c>
    </row>
    <row r="49">
      <c r="A49" s="53" t="n"/>
      <c r="B49" s="53" t="n"/>
      <c r="C49" s="53" t="n"/>
      <c r="D49" s="53" t="n"/>
      <c r="E49" s="53" t="n"/>
      <c r="F49" s="53" t="n"/>
      <c r="G49" s="53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67">
        <f>IF(OR(L51="",L51="در انتظار"),"",IF(Q51="",TODAY(),Q51))</f>
        <v/>
      </c>
    </row>
    <row r="50">
      <c r="A50" s="53" t="n"/>
      <c r="B50" s="53" t="n"/>
      <c r="C50" s="53" t="n"/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67">
        <f>IF(OR(L52="",L52="در انتظار"),"",IF(Q52="",TODAY(),Q52))</f>
        <v/>
      </c>
    </row>
    <row r="51">
      <c r="A51" s="53" t="n"/>
      <c r="B51" s="53" t="n"/>
      <c r="C51" s="53" t="n"/>
      <c r="D51" s="53" t="n"/>
      <c r="E51" s="53" t="n"/>
      <c r="F51" s="53" t="n"/>
      <c r="G51" s="53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67">
        <f>IF(OR(L53="",L53="در انتظار"),"",IF(Q53="",TODAY(),Q53))</f>
        <v/>
      </c>
    </row>
    <row r="52">
      <c r="A52" s="53" t="n"/>
      <c r="B52" s="53" t="n"/>
      <c r="C52" s="53" t="n"/>
      <c r="D52" s="53" t="n"/>
      <c r="E52" s="53" t="n"/>
      <c r="F52" s="53" t="n"/>
      <c r="G52" s="53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67">
        <f>IF(OR(L54="",L54="در انتظار"),"",IF(Q54="",TODAY(),Q54))</f>
        <v/>
      </c>
    </row>
    <row r="53">
      <c r="A53" s="53" t="n"/>
      <c r="B53" s="53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67">
        <f>IF(OR(L55="",L55="در انتظار"),"",IF(Q55="",TODAY(),Q55))</f>
        <v/>
      </c>
    </row>
    <row r="54">
      <c r="A54" s="53" t="n"/>
      <c r="B54" s="53" t="n"/>
      <c r="C54" s="53" t="n"/>
      <c r="D54" s="53" t="n"/>
      <c r="E54" s="53" t="n"/>
      <c r="F54" s="53" t="n"/>
      <c r="G54" s="53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67">
        <f>IF(OR(L56="",L56="در انتظار"),"",IF(Q56="",TODAY(),Q56))</f>
        <v/>
      </c>
    </row>
    <row r="55">
      <c r="A55" s="53" t="n"/>
      <c r="B55" s="53" t="n"/>
      <c r="C55" s="53" t="n"/>
      <c r="D55" s="53" t="n"/>
      <c r="E55" s="53" t="n"/>
      <c r="F55" s="53" t="n"/>
      <c r="G55" s="53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67">
        <f>IF(OR(L57="",L57="در انتظار"),"",IF(Q57="",TODAY(),Q57))</f>
        <v/>
      </c>
    </row>
    <row r="56">
      <c r="A56" s="53" t="n"/>
      <c r="B56" s="53" t="n"/>
      <c r="C56" s="53" t="n"/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67">
        <f>IF(OR(L58="",L58="در انتظار"),"",IF(Q58="",TODAY(),Q58))</f>
        <v/>
      </c>
    </row>
    <row r="57">
      <c r="A57" s="53" t="n"/>
      <c r="B57" s="53" t="n"/>
      <c r="C57" s="53" t="n"/>
      <c r="D57" s="53" t="n"/>
      <c r="E57" s="53" t="n"/>
      <c r="F57" s="53" t="n"/>
      <c r="G57" s="53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67">
        <f>IF(OR(L59="",L59="در انتظار"),"",IF(Q59="",TODAY(),Q59))</f>
        <v/>
      </c>
    </row>
    <row r="58">
      <c r="A58" s="53" t="n"/>
      <c r="B58" s="53" t="n"/>
      <c r="C58" s="53" t="n"/>
      <c r="D58" s="53" t="n"/>
      <c r="E58" s="53" t="n"/>
      <c r="F58" s="53" t="n"/>
      <c r="G58" s="53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67">
        <f>IF(OR(L60="",L60="در انتظار"),"",IF(Q60="",TODAY(),Q60))</f>
        <v/>
      </c>
    </row>
    <row r="59">
      <c r="A59" s="53" t="n"/>
      <c r="B59" s="53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67">
        <f>IF(OR(L61="",L61="در انتظار"),"",IF(Q61="",TODAY(),Q61))</f>
        <v/>
      </c>
    </row>
    <row r="60">
      <c r="A60" s="53" t="n"/>
      <c r="B60" s="53" t="n"/>
      <c r="C60" s="53" t="n"/>
      <c r="D60" s="53" t="n"/>
      <c r="E60" s="53" t="n"/>
      <c r="F60" s="53" t="n"/>
      <c r="G60" s="53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67">
        <f>IF(OR(L62="",L62="در انتظار"),"",IF(Q62="",TODAY(),Q62))</f>
        <v/>
      </c>
    </row>
  </sheetData>
  <autoFilter ref="A4:Q60"/>
  <dataValidations count="2">
    <dataValidation sqref="C5:C102" showDropDown="0" showInputMessage="0" showErrorMessage="0" allowBlank="1" type="list">
      <formula1>='فهرست‌ها'!$B$9:$B$11</formula1>
    </dataValidation>
    <dataValidation sqref="L5:L102" showDropDown="0" showInputMessage="0" showErrorMessage="0" allowBlank="1" prompt="وضعیت تست را از فهرست انتخاب کنید" type="list">
      <formula1>='فهرست‌ها'!$A$2:$A$7</formula1>
    </dataValidation>
  </dataValidations>
  <hyperlinks>
    <hyperlink ref="D10" location="'برنامه تست'!A5"/>
    <hyperlink ref="E11" location="'برنامه تست'!A5"/>
    <hyperlink ref="D12" location="'برنامه تست'!A11"/>
    <hyperlink ref="E17" location="'برنامه تست'!A16"/>
    <hyperlink ref="M19" location="'برنامه تست'!A5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2" t="inlineStr">
        <is>
          <t>تست‌های آزمایشگاهی (پایه، اسیلوسکوپ و زمان‌بندی دقیق — جدا از تست عملی)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42" customHeight="1">
      <c r="A2" s="68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54" customHeight="1">
      <c r="A5" s="55" t="inlineStr">
        <is>
          <t>IM-008</t>
        </is>
      </c>
      <c r="B5" s="61" t="inlineStr">
        <is>
          <t>چشمک قفل</t>
        </is>
      </c>
      <c r="C5" s="63" t="inlineStr">
        <is>
          <t>متوسط</t>
        </is>
      </c>
      <c r="D5" s="61" t="inlineStr">
        <is>
          <t>قفل فعال</t>
        </is>
      </c>
      <c r="E5" s="65" t="inlineStr">
        <is>
          <t>گام ۱: قفل را فعال نگه دار (IM-007).
گام ۲: پارامتر 123 (دورهٔ چشمک) را 1000 میلی‌ثانیه و پارامتر 124 (سهم روشنی) را 50 درصد بگذار.
گام ۳: با کرنومتر یا اسیلوسکوپ یک دورهٔ کامل چشمک قرمز را اندازه بگیر و مدت روشنی را هم بخوان.
گام ۴: در 60 ثانیه چند دوره را چک کن: دوره باید 1000 میلی‌ثانیه و روشنی 50 درصد باشد، با خطای حداکثر ±5 درصد.</t>
        </is>
      </c>
      <c r="F5" s="63" t="inlineStr">
        <is>
          <t>۱۰۰۰ms و ۵۰٪</t>
        </is>
      </c>
      <c r="G5" s="63" t="inlineStr">
        <is>
          <t>۶۰ ثانیه</t>
        </is>
      </c>
      <c r="H5" s="61" t="inlineStr">
        <is>
          <t>چشمک قرمز با همان دوره و duty</t>
        </is>
      </c>
      <c r="I5" s="61" t="inlineStr">
        <is>
          <t>پایدار</t>
        </is>
      </c>
      <c r="J5" s="61" t="inlineStr">
        <is>
          <t>اندازه‌گیری با کرنومتر یا اسیلوسکوپ در ±۵٪</t>
        </is>
      </c>
      <c r="K5" s="61" t="inlineStr">
        <is>
          <t>در انتظار</t>
        </is>
      </c>
      <c r="L5" s="59" t="inlineStr">
        <is>
          <t>در انتظار</t>
        </is>
      </c>
      <c r="M5" s="61" t="n"/>
      <c r="N5" s="61" t="inlineStr">
        <is>
          <t>TESTER: fill</t>
        </is>
      </c>
      <c r="O5" s="63" t="inlineStr">
        <is>
          <t>TESTER: fill</t>
        </is>
      </c>
      <c r="P5" s="63" t="inlineStr">
        <is>
          <t>TESTER: fill</t>
        </is>
      </c>
      <c r="Q5" s="64" t="inlineStr">
        <is>
          <t>2026-10-05</t>
        </is>
      </c>
    </row>
    <row r="6">
      <c r="A6" s="53" t="n"/>
      <c r="B6" s="53" t="n"/>
      <c r="C6" s="53" t="n"/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67">
        <f>IF(OR(L6="",L6="در انتظار"),"",IF(Q6="",TODAY(),Q6))</f>
        <v/>
      </c>
    </row>
    <row r="7">
      <c r="A7" s="53" t="n"/>
      <c r="B7" s="53" t="n"/>
      <c r="C7" s="53" t="n"/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67">
        <f>IF(OR(L7="",L7="در انتظار"),"",IF(Q7="",TODAY(),Q7))</f>
        <v/>
      </c>
    </row>
    <row r="8">
      <c r="A8" s="53" t="n"/>
      <c r="B8" s="53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67">
        <f>IF(OR(L8="",L8="در انتظار"),"",IF(Q8="",TODAY(),Q8))</f>
        <v/>
      </c>
    </row>
    <row r="9">
      <c r="A9" s="53" t="n"/>
      <c r="B9" s="53" t="n"/>
      <c r="C9" s="53" t="n"/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67">
        <f>IF(OR(L9="",L9="در انتظار"),"",IF(Q9="",TODAY(),Q9))</f>
        <v/>
      </c>
    </row>
    <row r="10">
      <c r="A10" s="53" t="n"/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67">
        <f>IF(OR(L10="",L10="در انتظار"),"",IF(Q10="",TODAY(),Q10))</f>
        <v/>
      </c>
    </row>
    <row r="11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67">
        <f>IF(OR(L11="",L11="در انتظار"),"",IF(Q11="",TODAY(),Q11))</f>
        <v/>
      </c>
    </row>
    <row r="12">
      <c r="A12" s="53" t="n"/>
      <c r="B12" s="53" t="n"/>
      <c r="C12" s="53" t="n"/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67">
        <f>IF(OR(L12="",L12="در انتظار"),"",IF(Q12="",TODAY(),Q12))</f>
        <v/>
      </c>
    </row>
    <row r="13">
      <c r="A13" s="53" t="n"/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67">
        <f>IF(OR(L13="",L13="در انتظار"),"",IF(Q13="",TODAY(),Q13))</f>
        <v/>
      </c>
    </row>
    <row r="14">
      <c r="A14" s="53" t="n"/>
      <c r="B14" s="53" t="n"/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67">
        <f>IF(OR(L14="",L14="در انتظار"),"",IF(Q14="",TODAY(),Q14))</f>
        <v/>
      </c>
    </row>
    <row r="15">
      <c r="A15" s="53" t="n"/>
      <c r="B15" s="53" t="n"/>
      <c r="C15" s="53" t="n"/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67">
        <f>IF(OR(L15="",L15="در انتظار"),"",IF(Q15="",TODAY(),Q15))</f>
        <v/>
      </c>
    </row>
    <row r="16">
      <c r="A16" s="53" t="n"/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67">
        <f>IF(OR(L16="",L16="در انتظار"),"",IF(Q16="",TODAY(),Q16))</f>
        <v/>
      </c>
    </row>
    <row r="17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67">
        <f>IF(OR(L17="",L17="در انتظار"),"",IF(Q17="",TODAY(),Q17))</f>
        <v/>
      </c>
    </row>
    <row r="18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67">
        <f>IF(OR(L18="",L18="در انتظار"),"",IF(Q18="",TODAY(),Q18))</f>
        <v/>
      </c>
    </row>
    <row r="19">
      <c r="A19" s="53" t="n"/>
      <c r="B19" s="53" t="n"/>
      <c r="C19" s="53" t="n"/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67">
        <f>IF(OR(L19="",L19="در انتظار"),"",IF(Q19="",TODAY(),Q19))</f>
        <v/>
      </c>
    </row>
    <row r="20">
      <c r="A20" s="53" t="n"/>
      <c r="B20" s="53" t="n"/>
      <c r="C20" s="53" t="n"/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67">
        <f>IF(OR(L20="",L20="در انتظار"),"",IF(Q20="",TODAY(),Q20))</f>
        <v/>
      </c>
    </row>
    <row r="21">
      <c r="A21" s="53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67">
        <f>IF(OR(L21="",L21="در انتظار"),"",IF(Q21="",TODAY(),Q21))</f>
        <v/>
      </c>
    </row>
    <row r="22">
      <c r="A22" s="53" t="n"/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67">
        <f>IF(OR(L22="",L22="در انتظار"),"",IF(Q22="",TODAY(),Q22))</f>
        <v/>
      </c>
    </row>
    <row r="23">
      <c r="A23" s="53" t="n"/>
      <c r="B23" s="53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67">
        <f>IF(OR(L23="",L23="در انتظار"),"",IF(Q23="",TODAY(),Q23))</f>
        <v/>
      </c>
    </row>
    <row r="24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67">
        <f>IF(OR(L24="",L24="در انتظار"),"",IF(Q24="",TODAY(),Q24))</f>
        <v/>
      </c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67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hyperlinks>
    <hyperlink ref="E5" location="'برنامه تست'!A1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2" t="inlineStr">
        <is>
          <t>تست‌های برنامه‌نویسی و هاست (جدا از ولیدیشن عملی برد)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42" customHeight="1">
      <c r="A2" s="53" t="n"/>
      <c r="B2" s="68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</row>
    <row r="3">
      <c r="A3" s="53" t="n"/>
      <c r="B3" s="53" t="n"/>
      <c r="C3" s="53" t="n"/>
      <c r="D3" s="53" t="n"/>
      <c r="E3" s="53" t="n"/>
      <c r="F3" s="53" t="n"/>
      <c r="G3" s="53" t="n"/>
      <c r="H3" s="5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</row>
    <row r="4" ht="30" customHeight="1">
      <c r="A4" s="48" t="inlineStr">
        <is>
          <t>شناسه</t>
        </is>
      </c>
      <c r="B4" s="48" t="inlineStr">
        <is>
          <t>دسته</t>
        </is>
      </c>
      <c r="C4" s="48" t="inlineStr">
        <is>
          <t>اولویت</t>
        </is>
      </c>
      <c r="D4" s="48" t="inlineStr">
        <is>
          <t>پیش‌شرط</t>
        </is>
      </c>
      <c r="E4" s="48" t="inlineStr">
        <is>
          <t>روش اجرای دقیق</t>
        </is>
      </c>
      <c r="F4" s="48" t="inlineStr">
        <is>
          <t>ورودی‌ها / شرایط</t>
        </is>
      </c>
      <c r="G4" s="48" t="inlineStr">
        <is>
          <t>مدت مشاهده</t>
        </is>
      </c>
      <c r="H4" s="48" t="inlineStr">
        <is>
          <t>رفتار مورد انتظار</t>
        </is>
      </c>
      <c r="I4" s="48" t="inlineStr">
        <is>
          <t>وضعیت حفظ / latch</t>
        </is>
      </c>
      <c r="J4" s="48" t="inlineStr">
        <is>
          <t>معیار قبولی</t>
        </is>
      </c>
      <c r="K4" s="48" t="inlineStr">
        <is>
          <t>نتیجهٔ واقعی / اندازه‌گیری</t>
        </is>
      </c>
      <c r="L4" s="48" t="inlineStr">
        <is>
          <t>وضعیت</t>
        </is>
      </c>
      <c r="M4" s="48" t="inlineStr">
        <is>
          <t>شرح ایراد / تفاوت</t>
        </is>
      </c>
      <c r="N4" s="48" t="inlineStr">
        <is>
          <t>مدرک تست / scope</t>
        </is>
      </c>
      <c r="O4" s="48" t="inlineStr">
        <is>
          <t>commit</t>
        </is>
      </c>
      <c r="P4" s="48" t="inlineStr">
        <is>
          <t>نام تست‌کننده</t>
        </is>
      </c>
      <c r="Q4" s="48" t="inlineStr">
        <is>
          <t>تاریخ</t>
        </is>
      </c>
    </row>
    <row r="5" ht="40.5" customHeight="1">
      <c r="A5" s="55" t="inlineStr">
        <is>
          <t>IM-020</t>
        </is>
      </c>
      <c r="B5" s="61" t="inlineStr">
        <is>
          <t>snapshot zeroing</t>
        </is>
      </c>
      <c r="C5" s="62" t="inlineStr">
        <is>
          <t>بالا</t>
        </is>
      </c>
      <c r="D5" s="61" t="inlineStr">
        <is>
          <t>valid=false</t>
        </is>
      </c>
      <c r="E5" s="61" t="inlineStr">
        <is>
          <t>گام ۱: یک snapshot نامعتبر بساز: valid=false و ولتاژهای بالا/پایین (vHigh/vLow) را عمداً زباله بگذار.
گام ۲: آن را 3 ثانیه به Imbalance_Evaluate بده (ورودی‌ها را task_control از قبل صفر می‌کند).
گام ۳: شمارنده و وضعیت اپیزود را نگاه کن: ماژول باید روی valid گیت بزند و هیچ اپیزود کاذبی نباید ساخته شود.</t>
        </is>
      </c>
      <c r="F5" s="63" t="inlineStr">
        <is>
          <t>valid=false</t>
        </is>
      </c>
      <c r="G5" s="63" t="inlineStr">
        <is>
          <t>3s</t>
        </is>
      </c>
      <c r="H5" s="61" t="inlineStr">
        <is>
          <t>ماژول باید روی valid گیت بزند و بدون episode کاذب بماند؛ ورودی‌ها از task_control صفر شده</t>
        </is>
      </c>
      <c r="I5" s="61" t="inlineStr">
        <is>
          <t>—</t>
        </is>
      </c>
      <c r="J5" s="61" t="inlineStr">
        <is>
          <t>بدون episode کاذب</t>
        </is>
      </c>
      <c r="K5" s="61" t="n"/>
      <c r="L5" s="69" t="inlineStr">
        <is>
          <t>نیاز به تکرار</t>
        </is>
      </c>
      <c r="M5" s="61" t="n"/>
      <c r="N5" s="61" t="n"/>
      <c r="O5" s="63" t="inlineStr">
        <is>
          <t>62f3782</t>
        </is>
      </c>
      <c r="P5" s="63" t="n"/>
      <c r="Q5" s="64" t="inlineStr">
        <is>
          <t>2026-10-12</t>
        </is>
      </c>
    </row>
    <row r="6">
      <c r="A6" s="53" t="n"/>
      <c r="B6" s="53" t="n"/>
      <c r="C6" s="53" t="n"/>
      <c r="D6" s="53" t="n"/>
      <c r="E6" s="53" t="n"/>
      <c r="F6" s="53" t="n"/>
      <c r="G6" s="53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67">
        <f>IF(OR(L6="",L6="در انتظار"),"",IF(Q6="",TODAY(),Q6))</f>
        <v/>
      </c>
    </row>
    <row r="7">
      <c r="A7" s="53" t="n"/>
      <c r="B7" s="53" t="n"/>
      <c r="C7" s="53" t="n"/>
      <c r="D7" s="53" t="n"/>
      <c r="E7" s="53" t="n"/>
      <c r="F7" s="53" t="n"/>
      <c r="G7" s="53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67">
        <f>IF(OR(L7="",L7="در انتظار"),"",IF(Q7="",TODAY(),Q7))</f>
        <v/>
      </c>
    </row>
    <row r="8">
      <c r="A8" s="53" t="n"/>
      <c r="B8" s="53" t="n"/>
      <c r="C8" s="53" t="n"/>
      <c r="D8" s="53" t="n"/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67">
        <f>IF(OR(L8="",L8="در انتظار"),"",IF(Q8="",TODAY(),Q8))</f>
        <v/>
      </c>
    </row>
    <row r="9">
      <c r="A9" s="53" t="n"/>
      <c r="B9" s="53" t="n"/>
      <c r="C9" s="53" t="n"/>
      <c r="D9" s="53" t="n"/>
      <c r="E9" s="53" t="n"/>
      <c r="F9" s="53" t="n"/>
      <c r="G9" s="53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67">
        <f>IF(OR(L9="",L9="در انتظار"),"",IF(Q9="",TODAY(),Q9))</f>
        <v/>
      </c>
    </row>
    <row r="10">
      <c r="A10" s="53" t="n"/>
      <c r="B10" s="53" t="n"/>
      <c r="C10" s="53" t="n"/>
      <c r="D10" s="53" t="n"/>
      <c r="E10" s="53" t="n"/>
      <c r="F10" s="53" t="n"/>
      <c r="G10" s="53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67">
        <f>IF(OR(L10="",L10="در انتظار"),"",IF(Q10="",TODAY(),Q10))</f>
        <v/>
      </c>
    </row>
    <row r="11">
      <c r="A11" s="53" t="n"/>
      <c r="B11" s="53" t="n"/>
      <c r="C11" s="53" t="n"/>
      <c r="D11" s="53" t="n"/>
      <c r="E11" s="53" t="n"/>
      <c r="F11" s="53" t="n"/>
      <c r="G11" s="53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67">
        <f>IF(OR(L11="",L11="در انتظار"),"",IF(Q11="",TODAY(),Q11))</f>
        <v/>
      </c>
    </row>
    <row r="12">
      <c r="A12" s="53" t="n"/>
      <c r="B12" s="53" t="n"/>
      <c r="C12" s="53" t="n"/>
      <c r="D12" s="53" t="n"/>
      <c r="E12" s="53" t="n"/>
      <c r="F12" s="53" t="n"/>
      <c r="G12" s="53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67">
        <f>IF(OR(L12="",L12="در انتظار"),"",IF(Q12="",TODAY(),Q12))</f>
        <v/>
      </c>
    </row>
    <row r="13">
      <c r="A13" s="53" t="n"/>
      <c r="B13" s="53" t="n"/>
      <c r="C13" s="53" t="n"/>
      <c r="D13" s="53" t="n"/>
      <c r="E13" s="53" t="n"/>
      <c r="F13" s="53" t="n"/>
      <c r="G13" s="53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67">
        <f>IF(OR(L13="",L13="در انتظار"),"",IF(Q13="",TODAY(),Q13))</f>
        <v/>
      </c>
    </row>
    <row r="14">
      <c r="A14" s="53" t="n"/>
      <c r="B14" s="53" t="n"/>
      <c r="C14" s="53" t="n"/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67">
        <f>IF(OR(L14="",L14="در انتظار"),"",IF(Q14="",TODAY(),Q14))</f>
        <v/>
      </c>
    </row>
    <row r="15">
      <c r="A15" s="53" t="n"/>
      <c r="B15" s="53" t="n"/>
      <c r="C15" s="53" t="n"/>
      <c r="D15" s="53" t="n"/>
      <c r="E15" s="53" t="n"/>
      <c r="F15" s="53" t="n"/>
      <c r="G15" s="53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67">
        <f>IF(OR(L15="",L15="در انتظار"),"",IF(Q15="",TODAY(),Q15))</f>
        <v/>
      </c>
    </row>
    <row r="16">
      <c r="A16" s="53" t="n"/>
      <c r="B16" s="53" t="n"/>
      <c r="C16" s="53" t="n"/>
      <c r="D16" s="53" t="n"/>
      <c r="E16" s="53" t="n"/>
      <c r="F16" s="53" t="n"/>
      <c r="G16" s="53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67">
        <f>IF(OR(L16="",L16="در انتظار"),"",IF(Q16="",TODAY(),Q16))</f>
        <v/>
      </c>
    </row>
    <row r="17">
      <c r="A17" s="53" t="n"/>
      <c r="B17" s="53" t="n"/>
      <c r="C17" s="53" t="n"/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67">
        <f>IF(OR(L17="",L17="در انتظار"),"",IF(Q17="",TODAY(),Q17))</f>
        <v/>
      </c>
    </row>
    <row r="18">
      <c r="A18" s="53" t="n"/>
      <c r="B18" s="53" t="n"/>
      <c r="C18" s="53" t="n"/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67">
        <f>IF(OR(L18="",L18="در انتظار"),"",IF(Q18="",TODAY(),Q18))</f>
        <v/>
      </c>
    </row>
    <row r="19">
      <c r="A19" s="53" t="n"/>
      <c r="B19" s="53" t="n"/>
      <c r="C19" s="53" t="n"/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67">
        <f>IF(OR(L19="",L19="در انتظار"),"",IF(Q19="",TODAY(),Q19))</f>
        <v/>
      </c>
    </row>
    <row r="20">
      <c r="A20" s="53" t="n"/>
      <c r="B20" s="53" t="n"/>
      <c r="C20" s="53" t="n"/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67">
        <f>IF(OR(L20="",L20="در انتظار"),"",IF(Q20="",TODAY(),Q20))</f>
        <v/>
      </c>
    </row>
    <row r="21">
      <c r="A21" s="53" t="n"/>
      <c r="B21" s="53" t="n"/>
      <c r="C21" s="53" t="n"/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67">
        <f>IF(OR(L21="",L21="در انتظار"),"",IF(Q21="",TODAY(),Q21))</f>
        <v/>
      </c>
    </row>
    <row r="22">
      <c r="A22" s="53" t="n"/>
      <c r="B22" s="53" t="n"/>
      <c r="C22" s="53" t="n"/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67">
        <f>IF(OR(L22="",L22="در انتظار"),"",IF(Q22="",TODAY(),Q22))</f>
        <v/>
      </c>
    </row>
    <row r="23">
      <c r="A23" s="53" t="n"/>
      <c r="B23" s="53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67">
        <f>IF(OR(L23="",L23="در انتظار"),"",IF(Q23="",TODAY(),Q23))</f>
        <v/>
      </c>
    </row>
    <row r="24">
      <c r="A24" s="53" t="n"/>
      <c r="B24" s="53" t="n"/>
      <c r="C24" s="53" t="n"/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67">
        <f>IF(OR(L24="",L24="در انتظار"),"",IF(Q24="",TODAY(),Q24))</f>
        <v/>
      </c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67">
        <f>IF(OR(L25="",L25="در انتظار"),"",IF(Q25="",TODAY(),Q25))</f>
        <v/>
      </c>
    </row>
  </sheetData>
  <autoFilter ref="A4:Q5"/>
  <dataValidations count="1">
    <dataValidation sqref="L5 L6 L7 L8 L9 L10 L11 L12 L13 L14 L15 L16 L17 L18 L19 L20 L21 L22 L23 L24 L25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 ht="30" customHeight="1">
      <c r="A1" s="48" t="inlineStr">
        <is>
          <t>مرجع سریع سناریوها و ثابت‌های ماژول Imbalance</t>
        </is>
      </c>
      <c r="B1" s="48" t="n"/>
      <c r="C1" s="48" t="n"/>
      <c r="D1" s="48" t="n"/>
      <c r="E1" s="48" t="n"/>
    </row>
    <row r="2">
      <c r="A2" s="53" t="n"/>
      <c r="B2" s="53" t="n"/>
      <c r="C2" s="53" t="n"/>
      <c r="D2" s="53" t="n"/>
      <c r="E2" s="53" t="n"/>
    </row>
    <row r="3">
      <c r="A3" s="70" t="inlineStr">
        <is>
          <t>موضوع</t>
        </is>
      </c>
      <c r="B3" s="70" t="inlineStr">
        <is>
          <t>شرط / مقدار</t>
        </is>
      </c>
      <c r="C3" s="70" t="inlineStr">
        <is>
          <t>رفتار مورد انتظار</t>
        </is>
      </c>
      <c r="D3" s="70" t="inlineStr">
        <is>
          <t>ثابت / محل کد</t>
        </is>
      </c>
      <c r="E3" s="70" t="inlineStr">
        <is>
          <t>توضیح</t>
        </is>
      </c>
    </row>
    <row r="4">
      <c r="A4" s="71" t="inlineStr">
        <is>
          <t>حد استراحت</t>
        </is>
      </c>
      <c r="B4" s="71" t="inlineStr">
        <is>
          <t>۳۰۰mV (پیش‌فرض)</t>
        </is>
      </c>
      <c r="C4" s="71" t="inlineStr">
        <is>
          <t>شمارش رویداد پس از پایداری</t>
        </is>
      </c>
      <c r="D4" s="71" t="inlineStr">
        <is>
          <t>IMBAL_PARAM_REST_LIMIT_MV (۱۰۸) / IMBAL_DEF_REST_LIMIT_MV</t>
        </is>
      </c>
      <c r="E4" s="71" t="inlineStr">
        <is>
          <t>فقط با گیت زمانی</t>
        </is>
      </c>
    </row>
    <row r="5">
      <c r="A5" s="71" t="inlineStr">
        <is>
          <t>حد دشارژ</t>
        </is>
      </c>
      <c r="B5" s="71" t="inlineStr">
        <is>
          <t>۵۰۰mV (پیش‌فرض)</t>
        </is>
      </c>
      <c r="C5" s="71" t="inlineStr">
        <is>
          <t>اعمال بلافاصله روی باتری</t>
        </is>
      </c>
      <c r="D5" s="71" t="inlineStr">
        <is>
          <t>IMBAL_PARAM_DISCHARGE_LIMIT_MV (۱۰۹)</t>
        </is>
      </c>
      <c r="E5" s="71" t="inlineStr">
        <is>
          <t>بدون گیت زمانی</t>
        </is>
      </c>
    </row>
    <row r="6">
      <c r="A6" s="71" t="inlineStr">
        <is>
          <t>گیت پس از شارژ</t>
        </is>
      </c>
      <c r="B6" s="71" t="inlineStr">
        <is>
          <t>۱۰ دقیقه</t>
        </is>
      </c>
      <c r="C6" s="71" t="inlineStr">
        <is>
          <t>پیش از آن بدون قضاوت</t>
        </is>
      </c>
      <c r="D6" s="71" t="inlineStr">
        <is>
          <t>IMBAL_PARAM_POST_CHARGE_WAIT_MS (۱۱۰)</t>
        </is>
      </c>
      <c r="E6" s="71" t="inlineStr">
        <is>
          <t>لنگر بوت اگر شارژی تمام نشده</t>
        </is>
      </c>
    </row>
    <row r="7">
      <c r="A7" s="71" t="inlineStr">
        <is>
          <t>گیت حین شارژ</t>
        </is>
      </c>
      <c r="B7" s="71" t="inlineStr">
        <is>
          <t>۱۰ دقیقه</t>
        </is>
      </c>
      <c r="C7" s="71" t="inlineStr">
        <is>
          <t>صفر یعنی خاموش</t>
        </is>
      </c>
      <c r="D7" s="71" t="inlineStr">
        <is>
          <t>IMBAL_PARAM_IN_CHARGE_WAIT_MS (۱۱۱)</t>
        </is>
      </c>
      <c r="E7" s="71" t="inlineStr">
        <is>
          <t>با همان حد استراحت</t>
        </is>
      </c>
    </row>
    <row r="8">
      <c r="A8" s="71" t="inlineStr">
        <is>
          <t>پایداری</t>
        </is>
      </c>
      <c r="B8" s="71" t="inlineStr">
        <is>
          <t>۳۰ ثانیه پیوسته</t>
        </is>
      </c>
      <c r="C8" s="71" t="inlineStr">
        <is>
          <t>یک رویداد</t>
        </is>
      </c>
      <c r="D8" s="71" t="inlineStr">
        <is>
          <t>IMBAL_PARAM_STABILITY_MS (۱۱۲)</t>
        </is>
      </c>
      <c r="E8" s="71" t="inlineStr">
        <is>
          <t>هر اپیزود یک‌بار</t>
        </is>
      </c>
    </row>
    <row r="9">
      <c r="A9" s="71" t="inlineStr">
        <is>
          <t>هیسترزیس</t>
        </is>
      </c>
      <c r="B9" s="71" t="inlineStr">
        <is>
          <t>۱۰۰mV</t>
        </is>
      </c>
      <c r="C9" s="71" t="inlineStr">
        <is>
          <t>پایان اپیزود</t>
        </is>
      </c>
      <c r="D9" s="71" t="inlineStr">
        <is>
          <t>IMBAL_PARAM_HYSTERESIS_MV (۱۱۳)</t>
        </is>
      </c>
      <c r="E9" s="71" t="inlineStr">
        <is>
          <t>ضد نوسان</t>
        </is>
      </c>
    </row>
    <row r="10">
      <c r="A10" s="71" t="inlineStr">
        <is>
          <t>آستانهٔ قفل</t>
        </is>
      </c>
      <c r="B10" s="71" t="inlineStr">
        <is>
          <t>۱۰ رویداد</t>
        </is>
      </c>
      <c r="C10" s="71" t="inlineStr">
        <is>
          <t>قرمز چشمک‌زن + بوق + وتو</t>
        </is>
      </c>
      <c r="D10" s="71" t="inlineStr">
        <is>
          <t>IMBAL_PARAM_MAX_EVENTS (۱۱۴)</t>
        </is>
      </c>
      <c r="E10" s="71" t="inlineStr">
        <is>
          <t>شمارش ماندگار</t>
        </is>
      </c>
    </row>
    <row r="11">
      <c r="A11" s="71" t="inlineStr">
        <is>
          <t>بودجهٔ سیکل</t>
        </is>
      </c>
      <c r="B11" s="71" t="inlineStr">
        <is>
          <t>۲۰ سیکل در قفل</t>
        </is>
      </c>
      <c r="C11" s="71" t="inlineStr">
        <is>
          <t>مسدودی شارژ همان پک</t>
        </is>
      </c>
      <c r="D11" s="71" t="inlineStr">
        <is>
          <t>IMBAL_PARAM_MAX_LATCHED_CYCLES (۱۱۸)</t>
        </is>
      </c>
      <c r="E11" s="71" t="inlineStr">
        <is>
          <t>شارژ در قفل آزاد است</t>
        </is>
      </c>
    </row>
    <row r="12">
      <c r="A12" s="71" t="inlineStr">
        <is>
          <t>ریست تعویض</t>
        </is>
      </c>
      <c r="B12" s="71" t="inlineStr">
        <is>
          <t>نبود باتری ۳ ثانیه</t>
        </is>
      </c>
      <c r="C12" s="71" t="inlineStr">
        <is>
          <t>ریست شمارنده‌ها و قفل</t>
        </is>
      </c>
      <c r="D12" s="71" t="inlineStr">
        <is>
          <t>IMBAL_ABSENT_RESET_MS</t>
        </is>
      </c>
      <c r="E12" s="71" t="inlineStr">
        <is>
          <t>تعویض واقعی باتری</t>
        </is>
      </c>
    </row>
    <row r="13">
      <c r="A13" s="71" t="inlineStr">
        <is>
          <t>اسلات‌های ماندگار</t>
        </is>
      </c>
      <c r="B13" s="71" t="inlineStr">
        <is>
          <t>۲۰۰ رویداد، ۲۰۱ سیکل، ۲۰۲ قفل</t>
        </is>
      </c>
      <c r="C13" s="71" t="inlineStr">
        <is>
          <t>بقا پس از قطع برق</t>
        </is>
      </c>
      <c r="D13" s="71" t="inlineStr">
        <is>
          <t>IMBAL_SLOT_*_ID</t>
        </is>
      </c>
      <c r="E13" s="71" t="inlineStr">
        <is>
          <t>فقط پخش NVM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72" t="inlineStr">
        <is>
          <t>ثبت ایرادهای مشاهده‌شده — ماژول Imbalance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</row>
    <row r="2" ht="30" customHeight="1">
      <c r="A2" s="48" t="inlineStr">
        <is>
          <t>برای هر وضعیت «رد» یا تفاوت مهم، یک ردیف با شناسهٔ یکتا ثبت و پس از اصلاح دوباره تست شود.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  <c r="J2" s="48" t="n"/>
      <c r="K2" s="48" t="n"/>
      <c r="L2" s="48" t="n"/>
      <c r="M2" s="48" t="n"/>
    </row>
    <row r="3">
      <c r="A3" s="70" t="inlineStr">
        <is>
          <t>شماره ایراد</t>
        </is>
      </c>
      <c r="B3" s="70" t="inlineStr">
        <is>
          <t>شناسه تست</t>
        </is>
      </c>
      <c r="C3" s="70" t="inlineStr">
        <is>
          <t>تاریخ کشف</t>
        </is>
      </c>
      <c r="D3" s="70" t="inlineStr">
        <is>
          <t>شدت</t>
        </is>
      </c>
      <c r="E3" s="70" t="inlineStr">
        <is>
          <t>شرح کوتاه ایراد</t>
        </is>
      </c>
      <c r="F3" s="70" t="inlineStr">
        <is>
          <t>مراحل بازتولید</t>
        </is>
      </c>
      <c r="G3" s="70" t="inlineStr">
        <is>
          <t>انتظار</t>
        </is>
      </c>
      <c r="H3" s="70" t="inlineStr">
        <is>
          <t>واقعیت</t>
        </is>
      </c>
      <c r="I3" s="70" t="inlineStr">
        <is>
          <t>مدرک/مسیر عکس یا scope</t>
        </is>
      </c>
      <c r="J3" s="70" t="inlineStr">
        <is>
          <t>commit firmware</t>
        </is>
      </c>
      <c r="K3" s="70" t="inlineStr">
        <is>
          <t>محل احتمالی</t>
        </is>
      </c>
      <c r="L3" s="70" t="inlineStr">
        <is>
          <t>وضعیت ایراد</t>
        </is>
      </c>
      <c r="M3" s="70" t="inlineStr">
        <is>
          <t>تأیید رفع / توضیحات</t>
        </is>
      </c>
    </row>
    <row r="4">
      <c r="A4" s="73" t="inlineStr">
        <is>
          <t>DEF-IM-001</t>
        </is>
      </c>
      <c r="B4" s="73" t="inlineStr">
        <is>
          <t>IM-016</t>
        </is>
      </c>
      <c r="C4" s="70" t="inlineStr">
        <is>
          <t>2026-10-06</t>
        </is>
      </c>
      <c r="D4" s="70" t="inlineStr">
        <is>
          <t>بالا</t>
        </is>
      </c>
      <c r="E4" s="70" t="inlineStr">
        <is>
          <t>تنظیم‌های ذخیره‌شدهٔ سناریو ۵ با هر بار روشن‌شدن به پیش‌فرض کامپایل برمی‌گشت</t>
        </is>
      </c>
      <c r="F4" s="70" t="inlineStr">
        <is>
          <t>یک پارامتر ۱۰۸..۱۱۸ را از پنل تغییر و ذخیره کن؛ تغذیه را قطع و وصل کن؛ همان پارامتر را بخوان</t>
        </is>
      </c>
      <c r="G4" s="70" t="inlineStr">
        <is>
          <t>مقدار ذخیره‌شده باقی بماند</t>
        </is>
      </c>
      <c r="H4" s="70" t="inlineStr">
        <is>
          <t>مقدار پیش‌فرض کامپایل خوانده می‌شد</t>
        </is>
      </c>
      <c r="I4" s="73" t="inlineStr">
        <is>
          <t>تست هاست host_test_imbalance.c (بلوک رگرسیون v1.81)</t>
        </is>
      </c>
      <c r="J4" s="70" t="inlineStr">
        <is>
          <t>ممیزی ۲۰۲۶-۱۰-۰۶</t>
        </is>
      </c>
      <c r="K4" s="73" t="inlineStr">
        <is>
          <t>func__Imbalance_Init() در imbalance.c کل جدول پارامتر را بی‌قید به پیش‌فرض برمی‌گرداند، در حالی که بازپخش NVM پیش از آن اجرا می‌شود</t>
        </is>
      </c>
      <c r="L4" s="70" t="inlineStr">
        <is>
          <t>اصلاح شد</t>
        </is>
      </c>
      <c r="M4" s="70" t="inlineStr">
        <is>
          <t>با func__Imbalance_SeedDefaultsOnce() پیش‌فرض‌ها فقط یک‌بار نوشته می‌شوند؛ تست هاست با ۵۰۴۱ بررسی و ۰ خطا قبول شد — تأیید نهایی منوط به تست روی برد</t>
        </is>
      </c>
    </row>
  </sheetData>
  <hyperlinks>
    <hyperlink ref="A4" location="'برنامه تست'!A5"/>
    <hyperlink ref="B4" location="'برنامه تست'!A19"/>
    <hyperlink xmlns:r="http://schemas.openxmlformats.org/officeDocument/2006/relationships" ref="I4" r:id="rId1"/>
    <hyperlink xmlns:r="http://schemas.openxmlformats.org/officeDocument/2006/relationships" ref="K4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7" t="inlineStr">
        <is>
          <t>تأیید نهایی اعتبارسنجی — ماژول Imbalance</t>
        </is>
      </c>
      <c r="B1" s="53" t="n"/>
      <c r="C1" s="53" t="n"/>
    </row>
    <row r="2">
      <c r="A2" s="50" t="inlineStr">
        <is>
          <t>این صفحه فقط پس از تکمیل تست‌ها و بسته‌شدن ایرادها پر می‌شود.</t>
        </is>
      </c>
      <c r="B2" s="53" t="n"/>
      <c r="C2" s="53" t="n"/>
    </row>
    <row r="3">
      <c r="A3" s="74" t="inlineStr">
        <is>
          <t>مشخصات تست</t>
        </is>
      </c>
      <c r="B3" s="53" t="n"/>
      <c r="C3" s="53" t="n"/>
    </row>
    <row r="4">
      <c r="A4" s="50" t="inlineStr">
        <is>
          <t>پروژه</t>
        </is>
      </c>
      <c r="B4" s="50" t="inlineStr">
        <is>
          <t>ChangeOver</t>
        </is>
      </c>
      <c r="C4" s="53" t="n"/>
    </row>
    <row r="5">
      <c r="A5" s="50" t="inlineStr">
        <is>
          <t>ماژول</t>
        </is>
      </c>
      <c r="B5" s="50" t="inlineStr">
        <is>
          <t>Imbalance — سناریوی ۵ عدم‌توازن دو نیم‌باتری</t>
        </is>
      </c>
      <c r="C5" s="53" t="n"/>
    </row>
    <row r="6">
      <c r="A6" s="50" t="inlineStr">
        <is>
          <t>تاریخ ساخت فرم</t>
        </is>
      </c>
      <c r="B6" s="50" t="inlineStr">
        <is>
          <t>2026-10-05 (1.0 — ساخته‌شده در ممیزی کل برنامه)</t>
        </is>
      </c>
      <c r="C6" s="53" t="n"/>
    </row>
    <row r="7">
      <c r="A7" s="50" t="inlineStr">
        <is>
          <t>نسخه فرم</t>
        </is>
      </c>
      <c r="B7" s="50" t="inlineStr">
        <is>
          <t>1.0</t>
        </is>
      </c>
      <c r="C7" s="53" t="n"/>
    </row>
    <row r="8">
      <c r="A8" s="50" t="inlineStr">
        <is>
          <t>commit firmware</t>
        </is>
      </c>
      <c r="B8" s="50" t="inlineStr">
        <is>
          <t>TESTER: fill</t>
        </is>
      </c>
      <c r="C8" s="53" t="n"/>
    </row>
    <row r="9">
      <c r="A9" s="50" t="inlineStr">
        <is>
          <t>ابزار</t>
        </is>
      </c>
      <c r="B9" s="50" t="inlineStr">
        <is>
          <t>پنل ESP + مولتی‌متر + بار نامتقارن قابل تنظیم + کرنومتر</t>
        </is>
      </c>
      <c r="C9" s="53" t="n"/>
    </row>
    <row r="10">
      <c r="A10" s="53" t="n"/>
      <c r="B10" s="53" t="n"/>
      <c r="C10" s="53" t="n"/>
    </row>
    <row r="11">
      <c r="A11" s="74" t="inlineStr">
        <is>
          <t>خلاصهٔ خودکار وضعیت تست‌ها</t>
        </is>
      </c>
      <c r="B11" s="53" t="n"/>
      <c r="C11" s="53" t="n"/>
    </row>
    <row r="12">
      <c r="A12" s="74" t="inlineStr">
        <is>
          <t>شاخص</t>
        </is>
      </c>
      <c r="B12" s="74" t="inlineStr">
        <is>
          <t>مقدار</t>
        </is>
      </c>
      <c r="C12" s="74" t="inlineStr">
        <is>
          <t>توضیح</t>
        </is>
      </c>
    </row>
    <row r="13">
      <c r="A13" s="50" t="inlineStr">
        <is>
          <t>کل تست‌ها</t>
        </is>
      </c>
      <c r="B13" s="50" t="n">
        <v>15</v>
      </c>
      <c r="C13" s="50" t="inlineStr">
        <is>
          <t>همهٔ ردیف‌های برنامه تست</t>
        </is>
      </c>
    </row>
    <row r="14">
      <c r="A14" s="50" t="inlineStr">
        <is>
          <t>قبول</t>
        </is>
      </c>
      <c r="B14" s="50">
        <f>COUNTIF('برنامه تست'!L:L,"قبول")</f>
        <v/>
      </c>
      <c r="C14" s="50" t="inlineStr">
        <is>
          <t>COUNTIF برنامه تست</t>
        </is>
      </c>
    </row>
    <row r="15">
      <c r="A15" s="50" t="inlineStr">
        <is>
          <t>رد</t>
        </is>
      </c>
      <c r="B15" s="50">
        <f>COUNTIF('برنامه تست'!L:L,"رد")</f>
        <v/>
      </c>
      <c r="C15" s="50" t="inlineStr">
        <is>
          <t>COUNTIF رد</t>
        </is>
      </c>
    </row>
    <row r="16">
      <c r="A16" s="50" t="inlineStr">
        <is>
          <t>در انتظار</t>
        </is>
      </c>
      <c r="B16" s="50">
        <f>COUNTIF('برنامه تست'!L:L,"در انتظار")</f>
        <v/>
      </c>
      <c r="C16" s="50" t="inlineStr">
        <is>
          <t>پیش از تست برد</t>
        </is>
      </c>
    </row>
    <row r="17">
      <c r="A17" s="50" t="inlineStr">
        <is>
          <t>نرخ قبولی</t>
        </is>
      </c>
      <c r="B17" s="50">
        <f>IF(15=0,0,COUNTIF('برنامه تست'!L:L,"قبول")/15)</f>
        <v/>
      </c>
      <c r="C17" s="50" t="inlineStr">
        <is>
          <t>قبول/کل</t>
        </is>
      </c>
    </row>
    <row r="18">
      <c r="A18" s="53" t="n"/>
      <c r="B18" s="53" t="n"/>
      <c r="C18" s="53" t="n"/>
    </row>
    <row r="19">
      <c r="A19" s="50" t="inlineStr">
        <is>
          <t>امضا و تأیید: تست‌کننده ______  بازبین ______  تاریخ ______</t>
        </is>
      </c>
      <c r="B19" s="53" t="n"/>
      <c r="C19" s="5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5" t="inlineStr">
        <is>
          <t>وضعیت</t>
        </is>
      </c>
      <c r="B1" s="53" t="n"/>
    </row>
    <row r="2">
      <c r="A2" s="54" t="inlineStr">
        <is>
          <t>در انتظار</t>
        </is>
      </c>
      <c r="B2" s="53" t="n"/>
    </row>
    <row r="3">
      <c r="A3" s="54" t="inlineStr">
        <is>
          <t>انجام شد</t>
        </is>
      </c>
      <c r="B3" s="53" t="n"/>
    </row>
    <row r="4">
      <c r="A4" s="54" t="inlineStr">
        <is>
          <t>قبول</t>
        </is>
      </c>
      <c r="B4" s="53" t="n"/>
    </row>
    <row r="5">
      <c r="A5" s="54" t="inlineStr">
        <is>
          <t>رد</t>
        </is>
      </c>
      <c r="B5" s="53" t="n"/>
    </row>
    <row r="6">
      <c r="A6" s="54" t="inlineStr">
        <is>
          <t>مسدود</t>
        </is>
      </c>
      <c r="B6" s="53" t="n"/>
    </row>
    <row r="7">
      <c r="A7" s="53" t="inlineStr">
        <is>
          <t>نیاز به تکرار</t>
        </is>
      </c>
      <c r="B7" s="53" t="n"/>
    </row>
    <row r="8">
      <c r="A8" s="75" t="inlineStr">
        <is>
          <t>اولویت</t>
        </is>
      </c>
      <c r="B8" s="53" t="n"/>
    </row>
    <row r="9">
      <c r="A9" s="53" t="n"/>
      <c r="B9" s="54" t="inlineStr">
        <is>
          <t>بالا</t>
        </is>
      </c>
    </row>
    <row r="10">
      <c r="A10" s="53" t="n"/>
      <c r="B10" s="54" t="inlineStr">
        <is>
          <t>متوسط</t>
        </is>
      </c>
    </row>
    <row r="11">
      <c r="A11" s="53" t="n"/>
      <c r="B11" s="54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عدم‌توازن (سناریوی ۵)</t>
        </is>
      </c>
      <c r="B1" s="53" t="n"/>
      <c r="C1" s="53" t="n"/>
    </row>
    <row r="2">
      <c r="A2" s="53" t="n"/>
      <c r="B2" s="53" t="n"/>
      <c r="C2" s="53" t="n"/>
    </row>
    <row r="3" ht="24" customHeight="1">
      <c r="A3" s="11" t="inlineStr">
        <is>
          <t>حالت‌ها و گذارهای همین ماژول</t>
        </is>
      </c>
      <c r="B3" s="12" t="inlineStr">
        <is>
          <t>Imbalance_State_Machine.xlsx</t>
        </is>
      </c>
      <c r="C3" s="53" t="n"/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  <c r="C4" s="53" t="n"/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3" t="n"/>
    </row>
    <row r="6" ht="24" customHeight="1">
      <c r="A6" s="11" t="inlineStr">
        <is>
          <t>بازتولید</t>
        </is>
      </c>
      <c r="B6" s="12" t="inlineStr">
        <is>
          <t>python3 tools/make_module_state_machines.py</t>
        </is>
      </c>
      <c r="C6" s="53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2026-10-16T18:57:05Z</dcterms:modified>
</cp:coreProperties>
</file>