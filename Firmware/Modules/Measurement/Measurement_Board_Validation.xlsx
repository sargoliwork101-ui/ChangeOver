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4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4" t="inlineStr">
        <is>
          <t>برگه تست و اعتبارسنجی عملی ماژول Measurement — ADC و کالیبراسیون</t>
        </is>
      </c>
    </row>
    <row r="2" ht="40" customHeight="1">
      <c r="A2" s="86" t="inlineStr">
        <is>
          <t>ChangeOver | ADC1 5ch + DMA + bsp_measurement | نسخه 1.0 — دوره 10ms، warmup 3 فریم، فرمول‌های BSP واقعی</t>
        </is>
      </c>
    </row>
    <row r="3" ht="30" customHeight="1">
      <c r="A3" s="87"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مستقل فقط Measurement را اعتبارسنجی می‌کند؛ هر تست valid، فریم ADC، فرمول mV/mA، ورودی‌ها و snapshot اتمیک را چک می‌کند.</t>
        </is>
      </c>
    </row>
    <row r="5" ht="13" customHeight="1">
      <c r="A5" s="90" t="inlineStr">
        <is>
          <t>هیچ ردیفی بدون «روش اجرا» و «نتیجه مورد انتظار» نیست؛ هر PASS/FAIL با مقدار عددی و tolerance از کالیبراسیون BSP تعریف شده است.</t>
        </is>
      </c>
    </row>
    <row r="6" ht="13" customHeight="1">
      <c r="A6" s="90" t="inlineStr">
        <is>
          <t>قبل از تست برد، «نتیجه واقعی» خالی و «وضعیت» = در انتظار بماند؛ ادعای PASS برای تست انجام‌نشده ممنوع است.</t>
        </is>
      </c>
    </row>
    <row r="7" ht="18" customHeight="1">
      <c r="A7" s="91" t="inlineStr">
        <is>
          <t>دامنه</t>
        </is>
      </c>
    </row>
    <row r="8" ht="13" customHeight="1">
      <c r="A8" s="90" t="inlineStr">
        <is>
          <t>پس از Init، valid=false؛ تا 3 فریم کامل و پایدار، valid همچنان false؛ پس از فریم سوم، valid=true و همه mV/mA/input_present به‌روز می‌شوند.</t>
        </is>
      </c>
    </row>
    <row r="9" ht="13" customHeight="1">
      <c r="A9" s="90" t="inlineStr">
        <is>
          <t>فریم ناقص/ناپایدار → valid=false و warmup از نو (counter reset). قطع ورودی 24V نباید به تنهایی ADC را invalid کند.</t>
        </is>
      </c>
    </row>
    <row r="10" ht="13" customHeight="1">
      <c r="A10" s="92" t="inlineStr">
        <is>
          <t>کالیبراسیون از bsp_measurement.c: Vref=3300mV، ADC=4095، Div24 69200+6800/6800 (≈11.176)، Div12 34200+6800/6800 (≈6.029)، شانت 10mΩ و گین 101.</t>
        </is>
      </c>
    </row>
    <row r="11" ht="13" customHeight="1">
      <c r="A11" s="90" t="inlineStr">
        <is>
          <t>فرمول‌ها: CountsToMv = counts*3300/4095؛ V24 = adcPinMv*(76000)/6800؛ V12 = adcPinMv*(41000)/6800؛ Current = counts*3300*1000/(4095*101*10).</t>
        </is>
      </c>
    </row>
    <row r="12" ht="13" customHeight="1">
      <c r="A12" s="90" t="inlineStr">
        <is>
          <t>زمان واقعی از کد: MEASUREMENT_PERIOD_MS=10ms، MEASUREMENT_WARMUP_FRAME_COUNT=3، DMA دو فریمی 2×5، CNDTR بررسی قبل/بعد، osKernelLock برای snapshot اتمیک.</t>
        </is>
      </c>
    </row>
    <row r="13" ht="18" customHeight="1">
      <c r="A13" s="91" t="inlineStr">
        <is>
          <t>روش اجرای تست</t>
        </is>
      </c>
    </row>
    <row r="14" ht="13" customHeight="1">
      <c r="A14" s="90" t="inlineStr">
        <is>
          <t>۱) برد را با منبع آزمایشگاهی تغذیه کن، هر 5 کانال ADC (PA1/2/3/5/7) را با ولتاژ دقیق و منبع جریان کالیبره اعمال کن؛ PB4 را برای input_present کنترل کن.</t>
        </is>
      </c>
    </row>
    <row r="15" ht="13" customHeight="1">
      <c r="A15" s="90" t="inlineStr">
        <is>
          <t>۲) firmware commit c6b084f را پروگرام کن، در «تأیید نهایی» commit/برد/ابزار (DMM، اسکوپ، منبع دقیق) را ثبت کن.</t>
        </is>
      </c>
    </row>
    <row r="16" ht="13" customHeight="1">
      <c r="A16" s="90" t="inlineStr">
        <is>
          <t>۳) تست warmup: پس از Init، فریم‌ها را با func__BspAdc_GetRaw یا Live Watch بشمار؛ valid را چک کن.</t>
        </is>
      </c>
    </row>
    <row r="17" ht="13" customHeight="1">
      <c r="A17" s="90" t="inlineStr">
        <is>
          <t>۴) تست ولتاژ/جریان: هر کانال را با counts معلوم اعمال کن، مقدار mV/mA را با فرمول BSP محاسبه و با خوانش globals/snapshot مقایسه کن (tolerance ±1 LSB ≈ ±0.8mV pin، برای V24 ≈±9mV، برای V12 ≈±4.8mV، برای جریان ≈±0.8mA).</t>
        </is>
      </c>
    </row>
    <row r="18" ht="13" customHeight="1">
      <c r="A18" s="90" t="inlineStr">
        <is>
          <t>۵) تست DMA: دو فریم متوالی را چک کن که CNDTR پایدار باشد و frame 5 نمونه بدون پارگی کپی شود (irq disable و counter قبل/بعد).</t>
        </is>
      </c>
    </row>
    <row r="19" ht="13" customHeight="1">
      <c r="A19" s="90" t="inlineStr">
        <is>
          <t>۶) تست snapshot اتمیک: حین Run، از دو تسک snapshot را هم‌زمان بخوان و چک کن نیمه‌به‌روزشده نباشد (osKernelLock).</t>
        </is>
      </c>
    </row>
    <row r="20">
      <c r="A20" s="93" t="inlineStr">
        <is>
          <t>تاریخچه نسخه</t>
        </is>
      </c>
    </row>
    <row r="21">
      <c r="A21" s="94" t="inlineStr">
        <is>
          <t>تاریخ</t>
        </is>
      </c>
      <c r="B21" s="94" t="inlineStr">
        <is>
          <t>نسخه</t>
        </is>
      </c>
      <c r="C21" s="94" t="inlineStr">
        <is>
          <t>شرح تغییر</t>
        </is>
      </c>
      <c r="D21" s="94" t="inlineStr">
        <is>
          <t>commit</t>
        </is>
      </c>
      <c r="E21" s="95"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ایجاد مستقل Measurement_Board_Validation با ۲۱ تست، فرمول‌ها و tolerance از bsp_measurement.c، دوره 10ms و warmup 3</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5">
      <c r="A25" s="135"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100" t="inlineStr">
        <is>
          <t>برنامه تست عملی — ماژول Measurement</t>
        </is>
      </c>
      <c r="Q1" s="85" t="n"/>
    </row>
    <row r="2" ht="30" customHeight="1">
      <c r="A2" s="101" t="inlineStr">
        <is>
          <t>هر ردیف را با DMM/اسکوپ و محاسبه از فرمول BSP اندازه بگیر؛ مقدار حدسی ننویس. valid باید دقیقاً پس از ۳ فریم true شود.</t>
        </is>
      </c>
      <c r="Q2" s="85" t="n"/>
    </row>
    <row r="3" ht="32" customHeight="1">
      <c r="A3" s="102" t="inlineStr">
        <is>
          <t>فرمول‌ها و tolerance از bsp_measurement.c واقعی است؛ PASS/FAIL با tolerance ±1 LSB + 1% مقاومت تعریف شده است.</t>
        </is>
      </c>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چه چیزی باید ببینید تا بگویید درست است</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54" customHeight="1">
      <c r="A5" s="103" t="inlineStr">
        <is>
          <t>MS-001</t>
        </is>
      </c>
      <c r="B5" s="104" t="inlineStr">
        <is>
          <t>Init</t>
        </is>
      </c>
      <c r="C5" s="105" t="inlineStr">
        <is>
          <t>بالا</t>
        </is>
      </c>
      <c r="D5" s="104" t="inlineStr">
        <is>
          <t>دستگاه خاموش؛ باتری و برق شهر وصل؛ مولتی‌متر دستی آماده</t>
        </is>
      </c>
      <c r="E5" s="104" t="inlineStr">
        <is>
          <t>گام ۱: دستگاه را روشن کن.
گام ۲: عدد ولتاژ باتری و ورودی را در پنل بخوان.
گام ۳: همان لحظه با مولتی‌متر روی ترمینال‌ها اندازه بگیر.</t>
        </is>
      </c>
      <c r="F5" s="106" t="inlineStr">
        <is>
          <t>روشن‌کردن ساده</t>
        </is>
      </c>
      <c r="G5" s="106" t="inlineStr">
        <is>
          <t>دو دقیقه</t>
        </is>
      </c>
      <c r="H5" s="104" t="inlineStr">
        <is>
          <t>عددهای پنل زنده‌اند و با مولتی‌متر دستی می‌خوانند (اختلاف در حد چند صدم ولت)</t>
        </is>
      </c>
      <c r="I5" s="104" t="inlineStr">
        <is>
          <t>باید ببینید: عددهای پنل زنده‌اند و با مولتی‌متر دستی می‌خوانند (اختلاف در حد چند صدم ولت). اگر عدد ثابت بود یا اختلاف زیاد داشت، قبول نیست.</t>
        </is>
      </c>
      <c r="J5" s="107" t="n"/>
      <c r="K5" s="108" t="inlineStr">
        <is>
          <t>در انتظار</t>
        </is>
      </c>
      <c r="L5" s="109" t="n"/>
      <c r="M5" s="104" t="n"/>
      <c r="N5" s="104" t="inlineStr">
        <is>
          <t>c6b084f28f2c507cfd342e5dbd0dbd8e45686772</t>
        </is>
      </c>
      <c r="O5" s="106" t="n"/>
      <c r="P5" s="106">
        <f>IF(OR(K5="",K5="در انتظار"),"",IF(P5="",TODAY(),P5))</f>
        <v/>
      </c>
      <c r="Q5" s="110" t="n"/>
    </row>
    <row r="6" ht="54" customHeight="1">
      <c r="A6" s="103" t="inlineStr">
        <is>
          <t>MS-013</t>
        </is>
      </c>
      <c r="B6" s="104" t="inlineStr">
        <is>
          <t>بررسی input_present / High</t>
        </is>
      </c>
      <c r="C6" s="105" t="inlineStr">
        <is>
          <t>بالا</t>
        </is>
      </c>
      <c r="D6" s="104" t="inlineStr">
        <is>
          <t>دستگاه روی باتری روشن است و برق شهر قطع است</t>
        </is>
      </c>
      <c r="E6" s="104" t="inlineStr">
        <is>
          <t>گام ۱: برق شهر را وصل کن.
گام ۲: در پنل ببین ورودی «حاضر» می‌شود و عددش را با مولتی‌متر چک کن.</t>
        </is>
      </c>
      <c r="F6" s="106" t="inlineStr">
        <is>
          <t>وصل‌کردن برق شهر</t>
        </is>
      </c>
      <c r="G6" s="106" t="inlineStr">
        <is>
          <t>دو دقیقه</t>
        </is>
      </c>
      <c r="H6" s="104" t="inlineStr">
        <is>
          <t>پنل ورودی را حاضر و با ولتاژ درست نشان می‌دهد</t>
        </is>
      </c>
      <c r="I6" s="104" t="inlineStr">
        <is>
          <t>باید ببینید: پنل ورودی را حاضر و با ولتاژ درست نشان می‌دهد. اگر هنوز قطع نشان داد، قبول نیست.</t>
        </is>
      </c>
      <c r="J6" s="107" t="n"/>
      <c r="K6" s="108" t="inlineStr">
        <is>
          <t>در انتظار</t>
        </is>
      </c>
      <c r="L6" s="109" t="n"/>
      <c r="M6" s="104" t="n"/>
      <c r="N6" s="104" t="inlineStr">
        <is>
          <t>c6b084f28f2c507cfd342e5dbd0dbd8e45686772</t>
        </is>
      </c>
      <c r="O6" s="106" t="n"/>
      <c r="P6" s="106">
        <f>IF(OR(K6="",K6="در انتظار"),"",IF(P6="",TODAY(),P6))</f>
        <v/>
      </c>
      <c r="Q6" s="110" t="n"/>
    </row>
    <row r="7" ht="54" customHeight="1">
      <c r="A7" s="103" t="inlineStr">
        <is>
          <t>MS-014</t>
        </is>
      </c>
      <c r="B7" s="111" t="inlineStr">
        <is>
          <t>بررسی input_present / Low</t>
        </is>
      </c>
      <c r="C7" s="112" t="inlineStr">
        <is>
          <t>بالا</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row>
    <row r="8" ht="54" customHeight="1">
      <c r="A8" s="103" t="inlineStr">
        <is>
          <t>MS-023</t>
        </is>
      </c>
      <c r="B8" s="104" t="inlineStr">
        <is>
          <t>عملکرد واقعی اندازه‌گیری</t>
        </is>
      </c>
      <c r="C8" s="106" t="inlineStr">
        <is>
          <t>بالا</t>
        </is>
      </c>
      <c r="D8" s="104" t="inlineStr">
        <is>
          <t>منبع دقیق آزمایشگاهی و مولتی‌متر</t>
        </is>
      </c>
      <c r="E8" s="104"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04" t="inlineStr">
        <is>
          <t>ورودی و باتری 24 ولت</t>
        </is>
      </c>
      <c r="G8" s="106" t="inlineStr">
        <is>
          <t>یک دقیقه</t>
        </is>
      </c>
      <c r="H8" s="104" t="inlineStr">
        <is>
          <t>عددهای پنل نزدیک مقدار واقعی مولتی‌متر</t>
        </is>
      </c>
      <c r="I8" s="104" t="inlineStr">
        <is>
          <t>باید ببینید: عددهای پنل نزدیک مقدار واقعی مولتی‌مترند. اگر دور بودند، قبول نیست.</t>
        </is>
      </c>
      <c r="J8" s="104" t="inlineStr">
        <is>
          <t>اختلاف پنل با مولتی‌متر کم و منطقی باشد</t>
        </is>
      </c>
      <c r="K8" s="104" t="n"/>
      <c r="L8" s="117" t="inlineStr">
        <is>
          <t>در انتظار</t>
        </is>
      </c>
      <c r="M8" s="104" t="n"/>
      <c r="N8" s="104" t="n"/>
      <c r="O8" s="106" t="n"/>
      <c r="P8" s="106">
        <f>IF(OR(K8="",K8="در انتظار"),"",IF(P8="",TODAY(),P8))</f>
        <v/>
      </c>
      <c r="Q8" s="110" t="n"/>
    </row>
    <row r="9" ht="54" customHeight="1">
      <c r="A9" s="103" t="inlineStr">
        <is>
          <t>MS-021</t>
        </is>
      </c>
      <c r="B9" s="104" t="inlineStr">
        <is>
          <t>کالیبراسیون برد / tolerance</t>
        </is>
      </c>
      <c r="C9" s="106" t="inlineStr">
        <is>
          <t>متوسط</t>
        </is>
      </c>
      <c r="D9" s="104" t="inlineStr">
        <is>
          <t>مولتی‌متر مرجع مطمئن و پنل در حالت کالیبراسیون</t>
        </is>
      </c>
      <c r="E9" s="104" t="inlineStr">
        <is>
          <t>گام ۱: طبق راهنمای پنل، در یک ولتاژ پایین و یک ولتاژ بالا عدد دستگاه را با مولتی‌متر یکی کن.
گام ۲: در یک ولتاژ میانی هر دو را مقایسه کن.</t>
        </is>
      </c>
      <c r="F9" s="106" t="inlineStr">
        <is>
          <t>کالیبراسیون دو نقطه و چک میانی</t>
        </is>
      </c>
      <c r="G9" s="106" t="inlineStr">
        <is>
          <t>ربع ساعت</t>
        </is>
      </c>
      <c r="H9" s="104" t="inlineStr">
        <is>
          <t>بعد از کالیبراسیون، عدد پنل در نقطهٔ میانی هم با مولتی‌متر می‌خواند</t>
        </is>
      </c>
      <c r="I9" s="104" t="inlineStr">
        <is>
          <t>باید ببینید: بعد از کالیبراسیون عدد پنل در نقطهٔ میانی هم با مولتی‌متر می‌خواند. اگر اختلاف محسوس داشت، قبول نیست.</t>
        </is>
      </c>
      <c r="J9" s="107" t="n"/>
      <c r="K9" s="108" t="inlineStr">
        <is>
          <t>در انتظار</t>
        </is>
      </c>
      <c r="L9" s="109" t="n"/>
      <c r="M9" s="104" t="n"/>
      <c r="N9" s="104" t="inlineStr">
        <is>
          <t>c6b084f28f2c507cfd342e5dbd0dbd8e45686772</t>
        </is>
      </c>
      <c r="O9" s="106" t="n"/>
      <c r="P9" s="106">
        <f>IF(OR(K9="",K9="در انتظار"),"",IF(P9="",TODAY(),P9))</f>
        <v/>
      </c>
      <c r="Q9" s="110" t="n"/>
    </row>
    <row r="10" ht="54" customHeight="1">
      <c r="A10" s="103" t="inlineStr">
        <is>
          <t>MS-024</t>
        </is>
      </c>
      <c r="B10" s="111" t="inlineStr">
        <is>
          <t>عملکرد واقعی اندازه‌گیری</t>
        </is>
      </c>
      <c r="C10" s="113" t="inlineStr">
        <is>
          <t>متوسط</t>
        </is>
      </c>
      <c r="D10" s="111" t="inlineStr">
        <is>
          <t>دستگاه روشن و پنل عددها را نشان می‌دهد</t>
        </is>
      </c>
      <c r="E10" s="111"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11" t="inlineStr">
        <is>
          <t>قطع کامل ورودی</t>
        </is>
      </c>
      <c r="G10" s="113" t="inlineStr">
        <is>
          <t>چند ثانیه</t>
        </is>
      </c>
      <c r="H10" s="111" t="inlineStr">
        <is>
          <t>ورودی صفر، بقیهٔ اندازه‌گیری‌ها سالم</t>
        </is>
      </c>
      <c r="I10" s="111" t="inlineStr">
        <is>
          <t>باید ببینید: با ورودی صفر، بقیهٔ اندازه‌گیری‌ها سالم و عادی‌اند. اگر بقیه هم خراب شدند، قبول نیست.</t>
        </is>
      </c>
      <c r="J10" s="111" t="inlineStr">
        <is>
          <t>فقط ورودی صفر شود و دستگاه عادی بماند</t>
        </is>
      </c>
      <c r="K10" s="111" t="n"/>
      <c r="L10" s="117" t="inlineStr">
        <is>
          <t>در انتظار</t>
        </is>
      </c>
      <c r="M10" s="111" t="n"/>
      <c r="N10" s="111" t="n"/>
      <c r="O10" s="113" t="n"/>
      <c r="P10" s="113">
        <f>IF(OR(K10="",K10="در انتظار"),"",IF(P10="",TODAY(),P10))</f>
        <v/>
      </c>
      <c r="Q10" s="115" t="n"/>
    </row>
    <row r="11" ht="54" customHeight="1">
      <c r="A11" s="103" t="inlineStr">
        <is>
          <t>MS-025</t>
        </is>
      </c>
      <c r="B11" s="104" t="inlineStr">
        <is>
          <t>عملکرد واقعی اندازه‌گیری</t>
        </is>
      </c>
      <c r="C11" s="106" t="inlineStr">
        <is>
          <t>متوسط</t>
        </is>
      </c>
      <c r="D11" s="104" t="inlineStr">
        <is>
          <t>بار معلوم و مولتی‌متر سری</t>
        </is>
      </c>
      <c r="E11" s="104"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04" t="inlineStr">
        <is>
          <t>بار حدود 500 میلی‌آمپر</t>
        </is>
      </c>
      <c r="G11" s="106" t="inlineStr">
        <is>
          <t>یک دقیقه</t>
        </is>
      </c>
      <c r="H11" s="104" t="inlineStr">
        <is>
          <t>جریان پنل نزدیک جریان واقعی</t>
        </is>
      </c>
      <c r="I11" s="104" t="inlineStr">
        <is>
          <t>باید ببینید: جریان پنل نزدیک جریان واقعی است. اگر دور بود، قبول نیست.</t>
        </is>
      </c>
      <c r="J11" s="104" t="inlineStr">
        <is>
          <t>اختلاف جریان پنل با مولتی‌متر کم باشد</t>
        </is>
      </c>
      <c r="K11" s="104" t="n"/>
      <c r="L11" s="117" t="inlineStr">
        <is>
          <t>در انتظار</t>
        </is>
      </c>
      <c r="M11" s="104" t="n"/>
      <c r="N11" s="104" t="n"/>
      <c r="O11" s="106" t="n"/>
      <c r="P11" s="106">
        <f>IF(OR(K11="",K11="در انتظار"),"",IF(P11="",TODAY(),P11))</f>
        <v/>
      </c>
      <c r="Q11" s="110" t="n"/>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3">
    <mergeCell ref="A1:P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04" t="inlineStr">
        <is>
          <t>Warmup / فریم دوم</t>
        </is>
      </c>
      <c r="C6" s="105" t="inlineStr">
        <is>
          <t>بالا</t>
        </is>
      </c>
      <c r="D6" s="121" t="inlineStr">
        <is>
          <t>پس از MS-002</t>
        </is>
      </c>
      <c r="E6" s="121"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06" t="inlineStr">
        <is>
          <t>فریم 2 کامل, counts 2482</t>
        </is>
      </c>
      <c r="G6" s="106" t="inlineStr">
        <is>
          <t>10ms</t>
        </is>
      </c>
      <c r="H6" s="104" t="inlineStr">
        <is>
          <t>valid همچنان false، counter=2. PASS: still false. FAIL: true.</t>
        </is>
      </c>
      <c r="I6" s="104" t="inlineStr">
        <is>
          <t>PASS: فریم2 still false. FAIL: true.</t>
        </is>
      </c>
      <c r="J6" s="107" t="n"/>
      <c r="K6" s="108" t="inlineStr">
        <is>
          <t>در انتظار</t>
        </is>
      </c>
      <c r="L6" s="109" t="n"/>
      <c r="M6" s="104" t="n"/>
      <c r="N6" s="104" t="inlineStr">
        <is>
          <t>c6b084f28f2c507cfd342e5dbd0dbd8e45686772</t>
        </is>
      </c>
      <c r="O6" s="106" t="n"/>
      <c r="P6" s="106" t="n"/>
      <c r="Q6" s="110">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(دو فریم داده‌ای و warmup=2).
گام ۲: فریم سوم کامل را اعمال کن: کانال‌های ولتاژ counts 2482 (2 ولت روی پایه) و کانال‌های جریان counts 610 (0.49 ولت روی پایه).
گام ۳: یک Run بزن.
گام ۴: حالا باید valid=true شود و همهٔ globals به‌روز باشند: V24 حدود 22352 میلی‌ولت، V12 حدود 12058 میلی‌ولت، جریان حدود 486 میلی‌آمپر و input_present مطابق وضعیت PB4.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04" t="inlineStr">
        <is>
          <t>Warmup / فریم ناقص</t>
        </is>
      </c>
      <c r="C8" s="105" t="inlineStr">
        <is>
          <t>بالا</t>
        </is>
      </c>
      <c r="D8" s="104" t="inlineStr">
        <is>
          <t>پس از valid=true</t>
        </is>
      </c>
      <c r="E8" s="121"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06" t="inlineStr">
        <is>
          <t>فریم ناقص/ناپایدار (GetRaw false)</t>
        </is>
      </c>
      <c r="G8" s="106" t="inlineStr">
        <is>
          <t>10ms</t>
        </is>
      </c>
      <c r="H8" s="104" t="inlineStr">
        <is>
          <t>valid=false فوری، warmupCounter reset به 0، snapshot.valid false. PASS: invalid و reset. FAIL: همچنان true.</t>
        </is>
      </c>
      <c r="I8" s="104" t="inlineStr">
        <is>
          <t>PASS: unstable → invalid+reset. FAIL: remains true.</t>
        </is>
      </c>
      <c r="J8" s="107" t="n"/>
      <c r="K8" s="108" t="inlineStr">
        <is>
          <t>در انتظار</t>
        </is>
      </c>
      <c r="L8" s="109" t="n"/>
      <c r="M8" s="104" t="n"/>
      <c r="N8" s="104" t="inlineStr">
        <is>
          <t>c6b084f28f2c507cfd342e5dbd0dbd8e45686772</t>
        </is>
      </c>
      <c r="O8" s="106" t="n"/>
      <c r="P8" s="106" t="n"/>
      <c r="Q8" s="110">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04" t="inlineStr">
        <is>
          <t>ورودی 24V قطع</t>
        </is>
      </c>
      <c r="C10" s="106" t="inlineStr">
        <is>
          <t>متوسط</t>
        </is>
      </c>
      <c r="D10" s="104" t="inlineStr">
        <is>
          <t>valid=true با Vin=0</t>
        </is>
      </c>
      <c r="E10" s="104"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06" t="inlineStr">
        <is>
          <t>v_in 0V (counts 0), سایر 2V</t>
        </is>
      </c>
      <c r="G10" s="106" t="inlineStr">
        <is>
          <t>10ms</t>
        </is>
      </c>
      <c r="H10" s="104" t="inlineStr">
        <is>
          <t>valid همچنان true (قطع ورودی ADC را invalid نمی‌کند)، v_in_mv≈0، سایر مقادیر به‌روز. PASS: valid true با Vin صفر. FAIL: valid false.</t>
        </is>
      </c>
      <c r="I10" s="104" t="inlineStr">
        <is>
          <t>PASS: Vin zero still valid. FAIL: invalid.</t>
        </is>
      </c>
      <c r="J10" s="107" t="n"/>
      <c r="K10" s="108" t="inlineStr">
        <is>
          <t>در انتظار</t>
        </is>
      </c>
      <c r="L10" s="109" t="n"/>
      <c r="M10" s="104" t="n"/>
      <c r="N10" s="104" t="inlineStr">
        <is>
          <t>c6b084f28f2c507cfd342e5dbd0dbd8e45686772</t>
        </is>
      </c>
      <c r="O10" s="106" t="n"/>
      <c r="P10" s="106" t="n"/>
      <c r="Q10" s="110">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04" t="inlineStr">
        <is>
          <t>بررسی v_bat24_mv</t>
        </is>
      </c>
      <c r="C12" s="105" t="inlineStr">
        <is>
          <t>بالا</t>
        </is>
      </c>
      <c r="D12" s="104" t="inlineStr">
        <is>
          <t>valid=true</t>
        </is>
      </c>
      <c r="E12" s="104"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06" t="inlineStr">
        <is>
          <t>counts 2482</t>
        </is>
      </c>
      <c r="G12" s="106" t="inlineStr">
        <is>
          <t>10ms</t>
        </is>
      </c>
      <c r="H12" s="104" t="inlineStr">
        <is>
          <t>v_bat24_mv≈22352mV ±9mV. PASS. FAIL: خطا.</t>
        </is>
      </c>
      <c r="I12" s="104" t="inlineStr">
        <is>
          <t>PASS: مطابق فرمول V24. FAIL: خطا.</t>
        </is>
      </c>
      <c r="J12" s="107" t="n"/>
      <c r="K12" s="108" t="inlineStr">
        <is>
          <t>در انتظار</t>
        </is>
      </c>
      <c r="L12" s="109" t="n"/>
      <c r="M12" s="104" t="n"/>
      <c r="N12" s="104" t="inlineStr">
        <is>
          <t>c6b084f28f2c507cfd342e5dbd0dbd8e45686772</t>
        </is>
      </c>
      <c r="O12" s="106" t="n"/>
      <c r="P12" s="106" t="n"/>
      <c r="Q12" s="110">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04" t="inlineStr">
        <is>
          <t>بررسی current1</t>
        </is>
      </c>
      <c r="C14" s="105" t="inlineStr">
        <is>
          <t>بالا</t>
        </is>
      </c>
      <c r="D14" s="104" t="inlineStr">
        <is>
          <t>valid=true</t>
        </is>
      </c>
      <c r="E14" s="104"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06" t="inlineStr">
        <is>
          <t>counts 610 (0.49V)</t>
        </is>
      </c>
      <c r="G14" s="106" t="inlineStr">
        <is>
          <t>10ms</t>
        </is>
      </c>
      <c r="H14" s="104" t="inlineStr">
        <is>
          <t>i_ch1≈ counts*3300*1000/(4095*101*10) ≈ 486mA ±1mA. PASS. FAIL: خطا.</t>
        </is>
      </c>
      <c r="I14" s="104" t="inlineStr">
        <is>
          <t>PASS: مطابق فرمول جریان. FAIL: خطا.</t>
        </is>
      </c>
      <c r="J14" s="107" t="n"/>
      <c r="K14" s="108" t="inlineStr">
        <is>
          <t>در انتظار</t>
        </is>
      </c>
      <c r="L14" s="109" t="n"/>
      <c r="M14" s="104" t="n"/>
      <c r="N14" s="104" t="inlineStr">
        <is>
          <t>c6b084f28f2c507cfd342e5dbd0dbd8e45686772</t>
        </is>
      </c>
      <c r="O14" s="106" t="n"/>
      <c r="P14" s="106" t="n"/>
      <c r="Q14" s="110">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04" t="inlineStr">
        <is>
          <t>دوره 10ms تسک Measurement</t>
        </is>
      </c>
      <c r="C16" s="105" t="inlineStr">
        <is>
          <t>بالا</t>
        </is>
      </c>
      <c r="D16" s="104" t="inlineStr">
        <is>
          <t>valid=true</t>
        </is>
      </c>
      <c r="E16" s="104"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06" t="inlineStr">
        <is>
          <t>—</t>
        </is>
      </c>
      <c r="G16" s="106" t="inlineStr">
        <is>
          <t>1s</t>
        </is>
      </c>
      <c r="H16" s="104" t="inlineStr">
        <is>
          <t>فاصله بین Runها باید 10ms ±1ms (MEASUREMENT_PERIOD_MS) با osDelayUntil. PASS: 10ms period. FAIL: 5ms یا 20ms.</t>
        </is>
      </c>
      <c r="I16" s="104" t="inlineStr">
        <is>
          <t>PASS: 10ms period. FAIL: otherwise.</t>
        </is>
      </c>
      <c r="J16" s="107" t="n"/>
      <c r="K16" s="108" t="inlineStr">
        <is>
          <t>در انتظار</t>
        </is>
      </c>
      <c r="L16" s="109" t="n"/>
      <c r="M16" s="104" t="n"/>
      <c r="N16" s="104" t="inlineStr">
        <is>
          <t>c6b084f28f2c507cfd342e5dbd0dbd8e45686772</t>
        </is>
      </c>
      <c r="O16" s="106" t="n"/>
      <c r="P16" s="106" t="n"/>
      <c r="Q16" s="110">
        <f>IF(OR(L16="",L16="در انتظار"),"",IF(Q16="",TODAY(),Q16))</f>
        <v/>
      </c>
    </row>
    <row r="17" ht="54" customHeight="1">
      <c r="A17" s="103" t="inlineStr">
        <is>
          <t>MS-019</t>
        </is>
      </c>
      <c r="B17" s="104" t="inlineStr">
        <is>
          <t>تطبیق فرمول و کالیبراسیون / صفر</t>
        </is>
      </c>
      <c r="C17" s="105" t="inlineStr">
        <is>
          <t>بالا</t>
        </is>
      </c>
      <c r="D17" s="104" t="inlineStr">
        <is>
          <t>valid=true</t>
        </is>
      </c>
      <c r="E17" s="104"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06" t="inlineStr">
        <is>
          <t>counts 0</t>
        </is>
      </c>
      <c r="G17" s="106" t="inlineStr">
        <is>
          <t>10ms</t>
        </is>
      </c>
      <c r="H17" s="104" t="inlineStr">
        <is>
          <t>همه 0mV/mA. PASS: 0. FAIL: non-zero.</t>
        </is>
      </c>
      <c r="I17" s="104" t="inlineStr">
        <is>
          <t>PASS: zero. FAIL: non-zero.</t>
        </is>
      </c>
      <c r="J17" s="107" t="n"/>
      <c r="K17" s="108" t="inlineStr">
        <is>
          <t>در انتظار</t>
        </is>
      </c>
      <c r="L17" s="109" t="n"/>
      <c r="M17" s="104" t="n"/>
      <c r="N17" s="104" t="inlineStr">
        <is>
          <t>c6b084f28f2c507cfd342e5dbd0dbd8e45686772</t>
        </is>
      </c>
      <c r="O17" s="106" t="n"/>
      <c r="P17" s="106" t="n"/>
      <c r="Q17" s="110">
        <f>IF(OR(L17="",L17="در انتظار"),"",IF(Q17="",TODAY(),Q17))</f>
        <v/>
      </c>
    </row>
    <row r="18" ht="54" customHeight="1">
      <c r="A18" s="103" t="inlineStr">
        <is>
          <t>MS-020</t>
        </is>
      </c>
      <c r="B18" s="111" t="inlineStr">
        <is>
          <t>تطبیق فرمول / فول</t>
        </is>
      </c>
      <c r="C18" s="112" t="inlineStr">
        <is>
          <t>بالا</t>
        </is>
      </c>
      <c r="D18" s="111" t="inlineStr">
        <is>
          <t>valid=true</t>
        </is>
      </c>
      <c r="E18" s="111" t="inlineStr">
        <is>
          <t>گام ۱: از valid=true شروع کن.
گام ۲: روی همهٔ کانال‌ها counts=4095 بده (فول‌اسکیل).
گام ۳: با دست حساب کن: ولتاژ پایه 3300 میلی‌ولت، V24 می‌شود 3300 ضربدر 76000 تقسیم بر 6800 یعنی حدود 36882 میلی‌ولت، V12 حدود 19897 میلی‌ولت و جریان 3300 ضربدر 1000 تقسیم بر (101 ضربدر 10) یعنی حدود 3267 میلی‌آمپر.
گام ۴: هر سه مقدار خوانده‌شده را با همین حساب مقایسه کن؛ باید در تلرانس مجاز همان‌ها باشند.</t>
        </is>
      </c>
      <c r="F18" s="113" t="inlineStr">
        <is>
          <t>counts 4095 (فول)</t>
        </is>
      </c>
      <c r="G18" s="113" t="inlineStr">
        <is>
          <t>10ms</t>
        </is>
      </c>
      <c r="H18" s="111" t="inlineStr">
        <is>
          <t>V24≈36882mV، V12≈19897mV، Current≈3267mA ±tolerance (V12 با 41000/6800). PASS: فول مطابق فرمول. FAIL: خطا.</t>
        </is>
      </c>
      <c r="I18" s="111" t="inlineStr">
        <is>
          <t>PASS: فول 36882/19897/3267. FAIL: خطا.</t>
        </is>
      </c>
      <c r="J18" s="111" t="n"/>
      <c r="K18" s="111" t="inlineStr">
        <is>
          <t>در انتظار</t>
        </is>
      </c>
      <c r="L18" s="114" t="n"/>
      <c r="M18" s="111" t="n"/>
      <c r="N18" s="111" t="inlineStr">
        <is>
          <t>c6b084f28f2c507cfd342e5dbd0dbd8e45686772</t>
        </is>
      </c>
      <c r="O18" s="113" t="n"/>
      <c r="P18" s="113" t="n"/>
      <c r="Q18" s="115">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40.5" customHeight="1">
      <c r="A5" s="103" t="inlineStr">
        <is>
          <t>MS-015</t>
        </is>
      </c>
      <c r="B5" s="104" t="inlineStr">
        <is>
          <t>NULL در GetSnapshot</t>
        </is>
      </c>
      <c r="C5" s="105" t="inlineStr">
        <is>
          <t>بالا</t>
        </is>
      </c>
      <c r="D5" s="104" t="inlineStr">
        <is>
          <t>هر زمان</t>
        </is>
      </c>
      <c r="E5" s="104"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کرش یا true برگشتن یعنی رد تست.</t>
        </is>
      </c>
      <c r="F5" s="106" t="inlineStr">
        <is>
          <t>NULL pointer</t>
        </is>
      </c>
      <c r="G5" s="106" t="inlineStr">
        <is>
          <t>100ms</t>
        </is>
      </c>
      <c r="H5" s="104" t="inlineStr">
        <is>
          <t>return false، بدون کرش، snapshot تغییر نکند. PASS: false. FAIL: کرش یا true.</t>
        </is>
      </c>
      <c r="I5" s="104" t="inlineStr">
        <is>
          <t>PASS: NULL → false. FAIL: true/crash.</t>
        </is>
      </c>
      <c r="J5" s="107" t="n"/>
      <c r="K5" s="108" t="inlineStr">
        <is>
          <t>در انتظار</t>
        </is>
      </c>
      <c r="L5" s="109" t="n"/>
      <c r="M5" s="104" t="n"/>
      <c r="N5" s="104" t="inlineStr">
        <is>
          <t>c6b084f28f2c507cfd342e5dbd0dbd8e45686772</t>
        </is>
      </c>
      <c r="O5" s="106" t="n"/>
      <c r="P5" s="106" t="n"/>
      <c r="Q5" s="110">
        <f>IF(OR(L5="",L5="در انتظار"),"",IF(Q5="",TODAY(),Q5))</f>
        <v/>
      </c>
    </row>
    <row r="6" ht="54" customHeight="1">
      <c r="A6" s="103" t="inlineStr">
        <is>
          <t>MS-016</t>
        </is>
      </c>
      <c r="B6" s="111" t="inlineStr">
        <is>
          <t>Snapshot چندفیلدی اتمیک</t>
        </is>
      </c>
      <c r="C6" s="112" t="inlineStr">
        <is>
          <t>بالا</t>
        </is>
      </c>
      <c r="D6" s="111" t="inlineStr">
        <is>
          <t>valid=true</t>
        </is>
      </c>
      <c r="E6" s="111" t="inlineStr">
        <is>
          <t>گام ۱: از valid=true شروع کن و مقادیر را در حال تغییر نگه دار.
گام ۲: درست حین اجرای func__Measurement_Run، از دو تسک مختلف هم‌زمان GetSnapshot بخوان.
گام ۳: 20 میلی‌ثانیه این خواندن هم‌زمان را تکرار کن.
گام ۴: هر snapshot کپی‌شده باید یا کاملاً نسخهٔ قدیم باشد یا کاملاً نسخهٔ جدید، نه مخلوطی از هر دو (این اتمیک بودن با osKernelLock تضمین می‌شود)؛ خواندن پاره‌پاره (torn) یعنی رد تست.</t>
        </is>
      </c>
      <c r="F6" s="113" t="inlineStr">
        <is>
          <t>concurrent read</t>
        </is>
      </c>
      <c r="G6" s="113" t="inlineStr">
        <is>
          <t>20ms</t>
        </is>
      </c>
      <c r="H6" s="111" t="inlineStr">
        <is>
          <t>هر دو snapshot کپی‌شده باید یا کامل قدیمی یا کامل جدید باشد، نه ترکیبی. با osKernelLock تضمین. PASS: atomic. FAIL: torn read.</t>
        </is>
      </c>
      <c r="I6" s="111" t="inlineStr">
        <is>
          <t>PASS: no torn data. FAIL: partial.</t>
        </is>
      </c>
      <c r="J6" s="111" t="n"/>
      <c r="K6" s="111" t="inlineStr">
        <is>
          <t>در انتظار</t>
        </is>
      </c>
      <c r="L6" s="114" t="n"/>
      <c r="M6" s="111" t="n"/>
      <c r="N6" s="111" t="inlineStr">
        <is>
          <t>c6b084f28f2c507cfd342e5dbd0dbd8e45686772</t>
        </is>
      </c>
      <c r="O6" s="113" t="n"/>
      <c r="P6" s="113" t="n"/>
      <c r="Q6" s="115">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11" t="inlineStr">
        <is>
          <t>snapshot zeroing مصرف‌کننده</t>
        </is>
      </c>
      <c r="C8" s="112" t="inlineStr">
        <is>
          <t>بالا</t>
        </is>
      </c>
      <c r="D8" s="111" t="inlineStr">
        <is>
          <t>Measurement خاموش</t>
        </is>
      </c>
      <c r="E8" s="111"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13" t="inlineStr">
        <is>
          <t>valid=false</t>
        </is>
      </c>
      <c r="G8" s="113" t="inlineStr">
        <is>
          <t>3s</t>
        </is>
      </c>
      <c r="H8" s="111" t="inlineStr">
        <is>
          <t>مصرف‌کننده‌ها (Changeover/Charger/Fault/Imbalance) بدون خواندن زباله safe-idle بمانند</t>
        </is>
      </c>
      <c r="I8" s="111" t="inlineStr">
        <is>
          <t>—</t>
        </is>
      </c>
      <c r="J8" s="111" t="inlineStr">
        <is>
          <t>بدون indeterminate struct</t>
        </is>
      </c>
      <c r="K8" s="111" t="n"/>
      <c r="L8" s="122" t="inlineStr">
        <is>
          <t>نیاز به تکرار</t>
        </is>
      </c>
      <c r="M8" s="111" t="n"/>
      <c r="N8" s="111" t="n"/>
      <c r="O8" s="113" t="inlineStr">
        <is>
          <t>62f3782</t>
        </is>
      </c>
      <c r="P8" s="113" t="n"/>
      <c r="Q8" s="115"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23"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94" t="inlineStr">
        <is>
          <t>موضوع</t>
        </is>
      </c>
      <c r="B3" s="94" t="inlineStr">
        <is>
          <t>شرط / مقدار (از کد)</t>
        </is>
      </c>
      <c r="C3" s="94" t="inlineStr">
        <is>
          <t>رفتار مورد انتظار</t>
        </is>
      </c>
      <c r="D3" s="94" t="inlineStr">
        <is>
          <t>ثابت / محل کد</t>
        </is>
      </c>
      <c r="E3" s="94" t="inlineStr">
        <is>
          <t>توضیح تکمیلی</t>
        </is>
      </c>
      <c r="F3" s="94"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3" t="inlineStr">
        <is>
          <t>ثبت ایرادهای مشاهده‌شده روی برد</t>
        </is>
      </c>
    </row>
    <row r="2" ht="30" customHeight="1">
      <c r="A2" s="87"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4" t="inlineStr">
        <is>
          <t>شماره ایراد</t>
        </is>
      </c>
      <c r="B3" s="94" t="inlineStr">
        <is>
          <t>شناسه تست</t>
        </is>
      </c>
      <c r="C3" s="94" t="inlineStr">
        <is>
          <t>تاریخ کشف</t>
        </is>
      </c>
      <c r="D3" s="94" t="inlineStr">
        <is>
          <t>شدت</t>
        </is>
      </c>
      <c r="E3" s="94" t="inlineStr">
        <is>
          <t>شرح کوتاه ایراد</t>
        </is>
      </c>
      <c r="F3" s="94" t="inlineStr">
        <is>
          <t>مراحل بازتولید</t>
        </is>
      </c>
      <c r="G3" s="94" t="inlineStr">
        <is>
          <t>انتظار</t>
        </is>
      </c>
      <c r="H3" s="94" t="inlineStr">
        <is>
          <t>واقعیت</t>
        </is>
      </c>
      <c r="I3" s="94" t="inlineStr">
        <is>
          <t>مدرک / مسیر عکس یا scope</t>
        </is>
      </c>
      <c r="J3" s="94" t="inlineStr">
        <is>
          <t>commit firmware</t>
        </is>
      </c>
      <c r="K3" s="94" t="inlineStr">
        <is>
          <t>محل احتمالی</t>
        </is>
      </c>
      <c r="L3" s="94" t="inlineStr">
        <is>
          <t>وضعیت ایراد</t>
        </is>
      </c>
      <c r="M3" s="94" t="inlineStr">
        <is>
          <t>تأیید رفع / توضیحات</t>
        </is>
      </c>
    </row>
    <row r="4" ht="14" customHeight="1">
      <c r="A4" s="127" t="inlineStr"/>
      <c r="B4" s="127" t="inlineStr"/>
      <c r="C4" s="127" t="inlineStr"/>
      <c r="D4" s="127" t="inlineStr"/>
      <c r="E4" s="127" t="inlineStr"/>
      <c r="F4" s="127" t="inlineStr"/>
      <c r="G4" s="127" t="inlineStr"/>
      <c r="H4" s="127" t="inlineStr"/>
      <c r="I4" s="127" t="inlineStr"/>
      <c r="J4" s="127" t="inlineStr"/>
      <c r="K4" s="127" t="inlineStr"/>
      <c r="L4" s="127" t="inlineStr"/>
      <c r="M4" s="127"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27" t="inlineStr"/>
      <c r="B6" s="127" t="inlineStr"/>
      <c r="C6" s="127" t="inlineStr"/>
      <c r="D6" s="127" t="inlineStr"/>
      <c r="E6" s="127" t="inlineStr"/>
      <c r="F6" s="127" t="inlineStr"/>
      <c r="G6" s="127" t="inlineStr"/>
      <c r="H6" s="127" t="inlineStr"/>
      <c r="I6" s="127" t="inlineStr"/>
      <c r="J6" s="127" t="inlineStr"/>
      <c r="K6" s="127" t="inlineStr"/>
      <c r="L6" s="127" t="inlineStr"/>
      <c r="M6" s="127"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27" t="inlineStr"/>
      <c r="B8" s="127" t="inlineStr"/>
      <c r="C8" s="127" t="inlineStr"/>
      <c r="D8" s="127" t="inlineStr"/>
      <c r="E8" s="127" t="inlineStr"/>
      <c r="F8" s="127" t="inlineStr"/>
      <c r="G8" s="127" t="inlineStr"/>
      <c r="H8" s="127" t="inlineStr"/>
      <c r="I8" s="127" t="inlineStr"/>
      <c r="J8" s="127" t="inlineStr"/>
      <c r="K8" s="127" t="inlineStr"/>
      <c r="L8" s="127" t="inlineStr"/>
      <c r="M8" s="127"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27" t="inlineStr"/>
      <c r="B10" s="127" t="inlineStr"/>
      <c r="C10" s="127" t="inlineStr"/>
      <c r="D10" s="127" t="inlineStr"/>
      <c r="E10" s="127" t="inlineStr"/>
      <c r="F10" s="127" t="inlineStr"/>
      <c r="G10" s="127" t="inlineStr"/>
      <c r="H10" s="127" t="inlineStr"/>
      <c r="I10" s="127" t="inlineStr"/>
      <c r="J10" s="127" t="inlineStr"/>
      <c r="K10" s="127" t="inlineStr"/>
      <c r="L10" s="127" t="inlineStr"/>
      <c r="M10" s="127"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27" t="inlineStr"/>
      <c r="B12" s="127" t="inlineStr"/>
      <c r="C12" s="127" t="inlineStr"/>
      <c r="D12" s="127" t="inlineStr"/>
      <c r="E12" s="127" t="inlineStr"/>
      <c r="F12" s="127" t="inlineStr"/>
      <c r="G12" s="127" t="inlineStr"/>
      <c r="H12" s="127" t="inlineStr"/>
      <c r="I12" s="127" t="inlineStr"/>
      <c r="J12" s="127" t="inlineStr"/>
      <c r="K12" s="127" t="inlineStr"/>
      <c r="L12" s="127" t="inlineStr"/>
      <c r="M12" s="127"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9"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93" t="inlineStr">
        <is>
          <t>مشخصات تست</t>
        </is>
      </c>
    </row>
    <row r="4" ht="14" customHeight="1">
      <c r="A4" s="131" t="inlineStr">
        <is>
          <t>پروژه</t>
        </is>
      </c>
      <c r="B4" s="96" t="inlineStr">
        <is>
          <t>ChangeOver</t>
        </is>
      </c>
      <c r="C4" s="131" t="inlineStr">
        <is>
          <t>ماژول</t>
        </is>
      </c>
      <c r="D4" s="96" t="inlineStr">
        <is>
          <t>Measurement — ADC/ کالیبراسیون</t>
        </is>
      </c>
      <c r="E4" s="98" t="n"/>
      <c r="F4" s="9" t="n"/>
    </row>
    <row r="5" ht="14" customHeight="1">
      <c r="A5" s="131" t="inlineStr">
        <is>
          <t>تاریخ ساخت فرم</t>
        </is>
      </c>
      <c r="B5" s="96" t="inlineStr">
        <is>
          <t>2026-09-16 (1.0)</t>
        </is>
      </c>
      <c r="C5" s="131" t="inlineStr">
        <is>
          <t>نسخه فرم</t>
        </is>
      </c>
      <c r="D5" s="96" t="inlineStr">
        <is>
          <t>1.0</t>
        </is>
      </c>
      <c r="E5" s="98" t="n"/>
      <c r="F5" s="9" t="n"/>
    </row>
    <row r="6" ht="14" customHeight="1">
      <c r="A6" s="131" t="inlineStr">
        <is>
          <t>commit firmware</t>
        </is>
      </c>
      <c r="B6" s="96" t="inlineStr">
        <is>
          <t>TESTER: fill flashed firmware commit</t>
        </is>
      </c>
      <c r="C6" s="131" t="inlineStr">
        <is>
          <t>شناسه برد</t>
        </is>
      </c>
      <c r="D6" s="132" t="inlineStr"/>
      <c r="E6" s="98" t="n"/>
      <c r="F6" s="9" t="n"/>
    </row>
    <row r="7" ht="14" customHeight="1">
      <c r="A7" s="131" t="inlineStr">
        <is>
          <t>تست‌کننده اصلی</t>
        </is>
      </c>
      <c r="B7" s="132" t="inlineStr"/>
      <c r="C7" s="131" t="inlineStr">
        <is>
          <t>تاریخ شروع</t>
        </is>
      </c>
      <c r="D7" s="132" t="inlineStr"/>
      <c r="E7" s="98" t="n"/>
      <c r="F7" s="9" t="n"/>
    </row>
    <row r="8" ht="14" customHeight="1">
      <c r="A8" s="131" t="inlineStr">
        <is>
          <t>تاریخ پایان</t>
        </is>
      </c>
      <c r="B8" s="132" t="inlineStr"/>
      <c r="C8" s="131" t="inlineStr">
        <is>
          <t>ابزار اندازه‌گیری</t>
        </is>
      </c>
      <c r="D8" s="96" t="inlineStr">
        <is>
          <t>منبع آزمایشگاهی + DMM + اسیلوسکوپ + تایمر RTOS</t>
        </is>
      </c>
      <c r="E8" s="98" t="n"/>
      <c r="F8" s="9" t="n"/>
    </row>
    <row r="9" ht="14" customHeight="1">
      <c r="A9" s="131" t="inlineStr">
        <is>
          <t>فرکانس تیک</t>
        </is>
      </c>
      <c r="B9" s="96" t="inlineStr">
        <is>
          <t>از osKernelGetTickFreq (قابل‌حمل)</t>
        </is>
      </c>
      <c r="C9" s="131" t="inlineStr"/>
      <c r="D9" s="132" t="inlineStr"/>
      <c r="E9" s="98" t="n"/>
      <c r="F9" s="9" t="n"/>
    </row>
    <row r="10" ht="14" customHeight="1">
      <c r="A10" s="131" t="inlineStr">
        <is>
          <t>دامنه</t>
        </is>
      </c>
      <c r="B10" s="96" t="inlineStr">
        <is>
          <t>ADC 5ch + DMA + کالیبراسیون</t>
        </is>
      </c>
      <c r="C10" s="131" t="inlineStr"/>
      <c r="D10" s="132" t="inlineStr"/>
      <c r="E10" s="98" t="n"/>
      <c r="F10" s="98" t="n"/>
    </row>
    <row r="11" ht="14" customHeight="1">
      <c r="A11" s="131" t="inlineStr">
        <is>
          <t>آستانه warmup</t>
        </is>
      </c>
      <c r="B11" s="96" t="inlineStr">
        <is>
          <t>3 فریم</t>
        </is>
      </c>
      <c r="C11" s="131" t="inlineStr"/>
      <c r="D11" s="132" t="inlineStr"/>
      <c r="E11" s="98" t="n"/>
      <c r="F11" s="98" t="n"/>
    </row>
    <row r="12" ht="14" customHeight="1">
      <c r="A12" s="131" t="inlineStr">
        <is>
          <t>دوره</t>
        </is>
      </c>
      <c r="B12" s="96" t="inlineStr">
        <is>
          <t>10ms</t>
        </is>
      </c>
      <c r="C12" s="131" t="inlineStr"/>
      <c r="D12" s="132" t="inlineStr"/>
      <c r="E12" s="98" t="n"/>
      <c r="F12" s="98" t="n"/>
    </row>
    <row r="13" ht="14" customHeight="1">
      <c r="A13" s="131" t="inlineStr">
        <is>
          <t>کالیبراسیون</t>
        </is>
      </c>
      <c r="B13" s="96" t="inlineStr">
        <is>
          <t>Vref3300/4095 Div24/Div12 Shunt10 Gain101</t>
        </is>
      </c>
      <c r="C13" s="131" t="inlineStr"/>
      <c r="D13" s="132" t="inlineStr"/>
      <c r="E13" s="98" t="n"/>
      <c r="F13" s="98" t="n"/>
    </row>
    <row r="14">
      <c r="A14" s="93" t="inlineStr">
        <is>
          <t>خلاصه خودکار وضعیت تست‌ها (پس از تست برد پر شود)</t>
        </is>
      </c>
    </row>
    <row r="15">
      <c r="A15" s="94" t="inlineStr">
        <is>
          <t>شاخص</t>
        </is>
      </c>
      <c r="B15" s="94" t="inlineStr">
        <is>
          <t>مقدار</t>
        </is>
      </c>
      <c r="C15" s="94" t="inlineStr">
        <is>
          <t>توضیح</t>
        </is>
      </c>
      <c r="D15" s="94" t="inlineStr">
        <is>
          <t>فرمول پیشنهادی</t>
        </is>
      </c>
      <c r="E15" s="8" t="n"/>
      <c r="F15" s="9" t="n"/>
    </row>
    <row r="16" ht="13" customHeight="1">
      <c r="A16" s="96" t="inlineStr">
        <is>
          <t>تعداد کل تست‌ها</t>
        </is>
      </c>
      <c r="B16" s="133">
        <f>COUNTA('برنامه تست'!A5:A200)</f>
        <v/>
      </c>
      <c r="C16" s="96" t="inlineStr">
        <is>
          <t>کل ردیف‌های برنامه تست</t>
        </is>
      </c>
      <c r="D16" s="96" t="inlineStr"/>
      <c r="E16" s="8" t="n"/>
      <c r="F16" s="9" t="n"/>
    </row>
    <row r="17" ht="13" customHeight="1">
      <c r="A17" s="96" t="inlineStr">
        <is>
          <t>تعداد قبول (PASS)</t>
        </is>
      </c>
      <c r="B17" s="133">
        <f>COUNTIF('برنامه تست'!K5:K200,"قبول")</f>
        <v/>
      </c>
      <c r="C17" s="96" t="inlineStr">
        <is>
          <t>تعداد ردیف با وضعیت = قبول</t>
        </is>
      </c>
      <c r="D17" s="96" t="inlineStr">
        <is>
          <t>COUNTIF('برنامه تست'!K5:K200,"قبول")</t>
        </is>
      </c>
      <c r="E17" s="8" t="n"/>
      <c r="F17" s="9" t="n"/>
    </row>
    <row r="18" ht="13" customHeight="1">
      <c r="A18" s="96" t="inlineStr">
        <is>
          <t>تعداد رد (FAIL)</t>
        </is>
      </c>
      <c r="B18" s="133">
        <f>COUNTIF('برنامه تست'!K5:K200,"رد")</f>
        <v/>
      </c>
      <c r="C18" s="96" t="inlineStr">
        <is>
          <t>تعداد ردیف با وضعیت = رد</t>
        </is>
      </c>
      <c r="D18" s="96" t="inlineStr">
        <is>
          <t>COUNTIF('برنامه تست'!K5:K200,"رد")</t>
        </is>
      </c>
      <c r="E18" s="8" t="n"/>
      <c r="F18" s="9" t="n"/>
    </row>
    <row r="19" ht="13" customHeight="1">
      <c r="A19" s="96" t="inlineStr">
        <is>
          <t>تعداد در انتظار</t>
        </is>
      </c>
      <c r="B19" s="133">
        <f>COUNTIF('برنامه تست'!K5:K200,"در انتظار")</f>
        <v/>
      </c>
      <c r="C19" s="96" t="inlineStr">
        <is>
          <t>تعداد ردیف با وضعیت = در انتظار</t>
        </is>
      </c>
      <c r="D19" s="96" t="inlineStr">
        <is>
          <t>COUNTIF('برنامه تست'!K5:K200,"در انتظار")</t>
        </is>
      </c>
      <c r="E19" s="8" t="n"/>
      <c r="F19" s="9" t="n"/>
    </row>
    <row r="20" ht="13" customHeight="1">
      <c r="A20" s="96" t="inlineStr">
        <is>
          <t>تعداد مسدود</t>
        </is>
      </c>
      <c r="B20" s="133">
        <f>COUNTIF('برنامه تست'!K5:K200,"مسدود")</f>
        <v/>
      </c>
      <c r="C20" s="96" t="inlineStr">
        <is>
          <t>تعداد ردیف با وضعیت = مسدود</t>
        </is>
      </c>
      <c r="D20" s="96" t="inlineStr"/>
      <c r="E20" s="8" t="n"/>
      <c r="F20" s="9" t="n"/>
    </row>
    <row r="21" ht="13" customHeight="1">
      <c r="A21" s="96" t="inlineStr">
        <is>
          <t>نرخ قبولی</t>
        </is>
      </c>
      <c r="B21" s="133">
        <f>IF(B16=0,"",TEXT(B17/B16,"0%"))</f>
        <v/>
      </c>
      <c r="C21" s="96" t="inlineStr">
        <is>
          <t>PASS / TOTAL</t>
        </is>
      </c>
      <c r="D21" s="96" t="inlineStr"/>
      <c r="E21" s="8" t="n"/>
      <c r="F21" s="9" t="n"/>
    </row>
    <row r="22">
      <c r="A22" s="93" t="inlineStr">
        <is>
          <t>امضاها</t>
        </is>
      </c>
    </row>
    <row r="23" ht="18" customHeight="1">
      <c r="A23" s="94" t="inlineStr">
        <is>
          <t>نقش</t>
        </is>
      </c>
      <c r="B23" s="94" t="inlineStr">
        <is>
          <t>نام و نام خانوادگی</t>
        </is>
      </c>
      <c r="C23" s="94" t="inlineStr">
        <is>
          <t>تاریخ</t>
        </is>
      </c>
      <c r="D23" s="94" t="inlineStr">
        <is>
          <t>امضا</t>
        </is>
      </c>
      <c r="E23" s="94" t="inlineStr">
        <is>
          <t>توضیحات</t>
        </is>
      </c>
      <c r="F23" s="9" t="n"/>
    </row>
    <row r="24" ht="22" customHeight="1">
      <c r="A24" s="96" t="inlineStr">
        <is>
          <t>تست‌کننده</t>
        </is>
      </c>
      <c r="B24" s="96" t="inlineStr"/>
      <c r="C24" s="96" t="inlineStr"/>
      <c r="D24" s="96" t="inlineStr"/>
      <c r="E24" s="96" t="inlineStr"/>
      <c r="F24" s="9" t="n"/>
    </row>
    <row r="25" ht="22" customHeight="1">
      <c r="A25" s="96" t="inlineStr">
        <is>
          <t>بازبین فنی</t>
        </is>
      </c>
      <c r="B25" s="96" t="inlineStr"/>
      <c r="C25" s="96" t="inlineStr"/>
      <c r="D25" s="96" t="inlineStr"/>
      <c r="E25" s="96" t="inlineStr"/>
      <c r="F25" s="9" t="n"/>
    </row>
    <row r="26" ht="22" customHeight="1">
      <c r="A26" s="96" t="inlineStr">
        <is>
          <t>تأیید نهایی</t>
        </is>
      </c>
      <c r="B26" s="96" t="inlineStr"/>
      <c r="C26" s="96" t="inlineStr"/>
      <c r="D26" s="96" t="inlineStr"/>
      <c r="E26" s="96" t="inlineStr"/>
      <c r="F26" s="9" t="n"/>
    </row>
    <row r="27">
      <c r="A27" s="130"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93"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93"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93"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93"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2">
      <c r="A2" s="85" t="n"/>
      <c r="B2" s="85" t="n"/>
      <c r="C2" s="85" t="n"/>
    </row>
    <row r="3" ht="24" customHeight="1">
      <c r="A3" s="32" t="inlineStr">
        <is>
          <t>حالت‌ها و گذارهای همین ماژول</t>
        </is>
      </c>
      <c r="B3" s="33" t="inlineStr">
        <is>
          <t>Measurement_State_Machine.xlsx</t>
        </is>
      </c>
      <c r="C3" s="85" t="n"/>
    </row>
    <row r="4" ht="24" customHeight="1">
      <c r="A4" s="32" t="inlineStr">
        <is>
          <t>ماشین حالت کل برنامه (نمای سیستمی)</t>
        </is>
      </c>
      <c r="B4" s="33" t="inlineStr">
        <is>
          <t>../../../Documentation/System_State_Machine.xlsx</t>
        </is>
      </c>
      <c r="C4" s="85"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5" t="n"/>
    </row>
    <row r="6" ht="24" customHeight="1">
      <c r="A6" s="32" t="inlineStr">
        <is>
          <t>بازتولید</t>
        </is>
      </c>
      <c r="B6" s="33" t="inlineStr">
        <is>
          <t>python3 tools/make_module_state_machines.py</t>
        </is>
      </c>
      <c r="C6" s="85"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2026-10-17T12:14:14Z</dcterms:modified>
</cp:coreProperties>
</file>