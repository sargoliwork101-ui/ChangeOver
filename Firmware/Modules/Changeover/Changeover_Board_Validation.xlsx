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راهنما" sheetId="1" state="visible" r:id="rId1"/>
    <sheet xmlns:r="http://schemas.openxmlformats.org/officeDocument/2006/relationships" name="برنامه تست" sheetId="2" state="visible" r:id="rId2"/>
    <sheet xmlns:r="http://schemas.openxmlformats.org/officeDocument/2006/relationships" name="تست‌های آزمایشگاهی" sheetId="3" state="visible" r:id="rId3"/>
    <sheet xmlns:r="http://schemas.openxmlformats.org/officeDocument/2006/relationships" name="تست‌های برنامه‌نویسی" sheetId="4" state="visible" r:id="rId4"/>
    <sheet xmlns:r="http://schemas.openxmlformats.org/officeDocument/2006/relationships" name="مراجع سناریو" sheetId="5" state="visible" r:id="rId5"/>
    <sheet xmlns:r="http://schemas.openxmlformats.org/officeDocument/2006/relationships" name="ثبت ایراد" sheetId="6" state="visible" r:id="rId6"/>
    <sheet xmlns:r="http://schemas.openxmlformats.org/officeDocument/2006/relationships" name="تأیید نهایی" sheetId="7" state="visible" r:id="rId7"/>
    <sheet xmlns:r="http://schemas.openxmlformats.org/officeDocument/2006/relationships" name="فهرست‌ها" sheetId="8" state="hidden" r:id="rId8"/>
    <sheet xmlns:r="http://schemas.openxmlformats.org/officeDocument/2006/relationships" name="ماشین حالت" sheetId="9" state="visible" r:id="rId9"/>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آزمایشگاهی'!$A$4:$Q$24</definedName>
    <definedName name="_xlnm.Print_Titles" localSheetId="2">'تست‌های آزمایشگاهی'!$4:$4</definedName>
    <definedName name="_xlnm._FilterDatabase" localSheetId="3" hidden="1">'تست‌های برنامه‌نویسی'!$A$4:$Q$8</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3">
    <font>
      <name val="Calibri"/>
      <family val="2"/>
      <color theme="1"/>
      <sz val="11"/>
      <scheme val="minor"/>
    </font>
    <font>
      <name val="Calibri"/>
      <b val="1"/>
      <color rgb="00203764"/>
      <sz val="13"/>
    </font>
    <font>
      <name val="Calibri"/>
      <i val="1"/>
      <color rgb="00404040"/>
      <sz val="9"/>
    </font>
    <font>
      <name val="Calibri"/>
      <b val="1"/>
      <color rgb="00FFFFFF"/>
      <sz val="10"/>
    </font>
    <font>
      <name val="Calibri"/>
      <sz val="8"/>
    </font>
    <font>
      <name val="Calibri"/>
      <b val="1"/>
      <color rgb="00FFFFFF"/>
      <sz val="9"/>
    </font>
    <font>
      <name val="Calibri"/>
      <b val="1"/>
      <color rgb="00203764"/>
      <sz val="12"/>
    </font>
    <font>
      <name val="Calibri"/>
      <i val="1"/>
      <color rgb="00404040"/>
      <sz val="8"/>
    </font>
    <font>
      <name val="Calibri"/>
      <color rgb="00C00000"/>
      <sz val="7"/>
    </font>
    <font>
      <name val="Calibri"/>
      <sz val="7"/>
    </font>
    <font>
      <name val="Calibri"/>
      <color rgb="00808080"/>
      <sz val="7"/>
    </font>
    <font>
      <name val="Calibri"/>
      <b val="1"/>
      <color rgb="00203764"/>
      <sz val="11"/>
    </font>
    <font>
      <name val="Calibri"/>
      <i val="1"/>
      <sz val="7"/>
    </font>
    <font>
      <name val="Calibri"/>
      <i val="1"/>
      <color rgb="00C00000"/>
      <sz val="7"/>
    </font>
    <font>
      <name val="Calibri"/>
      <b val="1"/>
      <sz val="8"/>
    </font>
    <font>
      <b val="1"/>
      <color rgb="00FFFFFF"/>
    </font>
    <font>
      <sz val="8"/>
    </font>
    <font>
      <name val="Vazirmatn"/>
      <b val="1"/>
      <color rgb="00FFFFFF"/>
      <sz val="14"/>
    </font>
    <font>
      <name val="Vazirmatn"/>
      <b val="1"/>
      <sz val="10"/>
    </font>
    <font>
      <name val="Vazirmatn"/>
      <color rgb="000563C1"/>
      <sz val="10"/>
      <u val="single"/>
    </font>
    <font>
      <name val="Vazirmatn"/>
      <sz val="10"/>
    </font>
    <font>
      <name val="Tahoma"/>
      <b val="1"/>
      <color rgb="00203764"/>
      <sz val="13"/>
    </font>
    <font>
      <name val="Tahoma"/>
      <color rgb="00404040"/>
      <sz val="9"/>
    </font>
    <font>
      <name val="Tahoma"/>
      <b val="1"/>
      <color rgb="00FFFFFF"/>
      <sz val="10"/>
    </font>
    <font>
      <name val="Tahoma"/>
      <sz val="8"/>
    </font>
    <font>
      <name val="Tahoma"/>
      <b val="1"/>
      <color rgb="00FFFFFF"/>
      <sz val="9"/>
    </font>
    <font>
      <name val="Tahoma"/>
      <color theme="1"/>
      <sz val="11"/>
    </font>
    <font>
      <name val="Tahoma"/>
      <b val="1"/>
      <color rgb="00203764"/>
      <sz val="12"/>
    </font>
    <font>
      <name val="Tahoma"/>
      <color rgb="00404040"/>
      <sz val="8"/>
    </font>
    <font>
      <name val="Tahoma"/>
      <color rgb="00C00000"/>
      <sz val="7"/>
    </font>
    <font>
      <name val="Tahoma"/>
      <sz val="7"/>
    </font>
    <font>
      <name val="Tahoma"/>
      <color rgb="00808080"/>
      <sz val="7"/>
    </font>
    <font>
      <name val="Tahoma"/>
      <b val="1"/>
      <color rgb="00203764"/>
      <sz val="11"/>
    </font>
    <font>
      <name val="Tahoma"/>
      <b val="1"/>
      <sz val="8"/>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7"/>
      <u val="single"/>
    </font>
    <font>
      <name val="Tahoma"/>
      <b val="1"/>
      <color rgb="000563C1"/>
      <sz val="10"/>
      <u val="single"/>
    </font>
    <font>
      <name val="Vazirmatn"/>
      <b val="1"/>
      <color rgb="00203764"/>
      <sz val="13"/>
    </font>
    <font>
      <name val="Vazirmatn"/>
      <family val="2"/>
      <color theme="1"/>
      <sz val="11"/>
      <scheme val="minor"/>
    </font>
    <font>
      <name val="Vazirmatn"/>
      <color rgb="00404040"/>
      <sz val="9"/>
    </font>
    <font>
      <name val="Vazirmatn"/>
      <b val="1"/>
      <color rgb="00FFFFFF"/>
      <sz val="11"/>
    </font>
    <font>
      <name val="Vazirmatn"/>
      <sz val="8"/>
    </font>
    <font>
      <name val="Vazirmatn"/>
      <b val="1"/>
      <color rgb="00FFFFFF"/>
      <sz val="10"/>
    </font>
    <font>
      <name val="Vazirmatn"/>
      <b val="1"/>
      <color rgb="00FFFFFF"/>
      <sz val="9"/>
    </font>
    <font>
      <name val="Vazirmatn"/>
      <color theme="1"/>
      <sz val="11"/>
    </font>
    <font>
      <name val="Vazirmatn"/>
      <b val="1"/>
      <color rgb="001F3864"/>
      <sz val="13"/>
    </font>
    <font>
      <name val="Vazirmatn"/>
      <color rgb="00404040"/>
      <sz val="8"/>
    </font>
    <font>
      <name val="Vazirmatn"/>
      <color rgb="00C00000"/>
      <sz val="7"/>
    </font>
    <font>
      <name val="Vazirmatn"/>
      <b val="1"/>
      <color rgb="00C00000"/>
      <sz val="10"/>
    </font>
    <font>
      <name val="Vazirmatn"/>
      <sz val="7"/>
    </font>
    <font>
      <name val="Vazirmatn"/>
      <color rgb="000563C1"/>
      <sz val="7"/>
      <u val="single"/>
    </font>
    <font>
      <name val="Vazirmatn"/>
      <b val="1"/>
      <color rgb="00203764"/>
      <sz val="11"/>
    </font>
    <font>
      <name val="Vazirmatn"/>
      <b val="1"/>
      <color rgb="00203764"/>
      <sz val="12"/>
    </font>
    <font>
      <name val="Vazirmatn"/>
      <b val="1"/>
      <sz val="8"/>
    </font>
    <font>
      <name val="Vazirmatn"/>
      <sz val="11"/>
    </font>
    <font>
      <name val="Vazirmatn"/>
      <b val="1"/>
      <sz val="11"/>
    </font>
    <font>
      <name val="Vazirmatn"/>
      <i val="1"/>
      <color rgb="00404040"/>
      <sz val="10"/>
    </font>
  </fonts>
  <fills count="16">
    <fill>
      <patternFill/>
    </fill>
    <fill>
      <patternFill patternType="gray125"/>
    </fill>
    <fill>
      <patternFill patternType="solid">
        <fgColor rgb="00D9E1F2"/>
        <bgColor rgb="00D9E1F2"/>
      </patternFill>
    </fill>
    <fill>
      <patternFill patternType="solid">
        <fgColor rgb="004472C4"/>
        <bgColor rgb="004472C4"/>
      </patternFill>
    </fill>
    <fill>
      <patternFill patternType="solid">
        <fgColor rgb="00FFF2CC"/>
        <bgColor rgb="00FFF2CC"/>
      </patternFill>
    </fill>
    <fill>
      <patternFill patternType="solid">
        <fgColor rgb="00F2F2F2"/>
        <bgColor rgb="00F2F2F2"/>
      </patternFill>
    </fill>
    <fill>
      <patternFill patternType="solid">
        <fgColor rgb="00F8FAFF"/>
        <bgColor rgb="00F8FAFF"/>
      </patternFill>
    </fill>
    <fill>
      <patternFill patternType="solid">
        <fgColor rgb="00E9EDF4"/>
        <bgColor rgb="00E9EDF4"/>
      </patternFill>
    </fill>
    <fill>
      <patternFill patternType="solid">
        <fgColor rgb="001F3864"/>
      </patternFill>
    </fill>
    <fill>
      <patternFill patternType="solid">
        <fgColor rgb="00D9E2F3"/>
      </patternFill>
    </fill>
    <fill>
      <patternFill patternType="solid">
        <fgColor rgb="00F2F6FC"/>
      </patternFill>
    </fill>
    <fill>
      <patternFill patternType="solid">
        <fgColor rgb="00FCE4D6"/>
      </patternFill>
    </fill>
    <fill>
      <patternFill patternType="solid">
        <fgColor rgb="00FFE699"/>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left style="thin">
        <color rgb="009DB7E8"/>
      </left>
      <right style="thin">
        <color rgb="009DB7E8"/>
      </right>
      <top style="thin">
        <color rgb="009DB7E8"/>
      </top>
      <bottom style="thin">
        <color rgb="009DB7E8"/>
      </bottom>
    </border>
    <border/>
  </borders>
  <cellStyleXfs count="1">
    <xf numFmtId="0" fontId="0" fillId="0" borderId="0"/>
  </cellStyleXfs>
  <cellXfs count="163">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3" borderId="0" applyAlignment="1" pivotButton="0" quotePrefix="0" xfId="0">
      <alignment horizontal="right" vertical="center" wrapText="1"/>
    </xf>
    <xf numFmtId="0" fontId="4" fillId="0" borderId="0" applyAlignment="1" pivotButton="0" quotePrefix="0" xfId="0">
      <alignment horizontal="right" vertical="center" wrapText="1" readingOrder="2"/>
    </xf>
    <xf numFmtId="0" fontId="3" fillId="3" borderId="0" applyAlignment="1" pivotButton="0" quotePrefix="0" xfId="0">
      <alignment horizontal="center" vertical="center" wrapText="1"/>
    </xf>
    <xf numFmtId="0" fontId="5" fillId="3" borderId="1" applyAlignment="1" pivotButton="0" quotePrefix="0" xfId="0">
      <alignment horizontal="center" vertical="center" wrapText="1"/>
    </xf>
    <xf numFmtId="0" fontId="0" fillId="3" borderId="1" pivotButton="0" quotePrefix="0" xfId="0"/>
    <xf numFmtId="0" fontId="0" fillId="0" borderId="4" pivotButton="0" quotePrefix="0" xfId="0"/>
    <xf numFmtId="0" fontId="0" fillId="0" borderId="5" pivotButton="0" quotePrefix="0" xfId="0"/>
    <xf numFmtId="0" fontId="4" fillId="0" borderId="1" applyAlignment="1" pivotButton="0" quotePrefix="0" xfId="0">
      <alignment horizontal="center" vertical="center" wrapText="1"/>
    </xf>
    <xf numFmtId="0" fontId="0" fillId="0" borderId="1" pivotButton="0" quotePrefix="0" xfId="0"/>
    <xf numFmtId="0" fontId="6" fillId="2"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4" borderId="0" applyAlignment="1" pivotButton="0" quotePrefix="0" xfId="0">
      <alignment horizontal="center" vertical="center" wrapText="1"/>
    </xf>
    <xf numFmtId="0" fontId="9" fillId="0" borderId="1" applyAlignment="1" pivotButton="0" quotePrefix="0" xfId="0">
      <alignment horizontal="center" vertical="center" wrapText="1" readingOrder="2"/>
    </xf>
    <xf numFmtId="0" fontId="10" fillId="5"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9" fillId="6" borderId="1" applyAlignment="1" pivotButton="0" quotePrefix="0" xfId="0">
      <alignment horizontal="center" vertical="center" wrapText="1" readingOrder="2"/>
    </xf>
    <xf numFmtId="0" fontId="10" fillId="6" borderId="1" applyAlignment="1" pivotButton="0" quotePrefix="0" xfId="0">
      <alignment horizontal="center" vertical="center" wrapText="1"/>
    </xf>
    <xf numFmtId="0" fontId="11" fillId="2" borderId="0" applyAlignment="1" pivotButton="0" quotePrefix="0" xfId="0">
      <alignment horizontal="center" vertical="center" wrapText="1"/>
    </xf>
    <xf numFmtId="0" fontId="12" fillId="0" borderId="0" applyAlignment="1" pivotButton="0" quotePrefix="0" xfId="0">
      <alignment horizontal="center" vertical="center" wrapText="1"/>
    </xf>
    <xf numFmtId="0" fontId="9"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14" fillId="7" borderId="1" applyAlignment="1" pivotButton="0" quotePrefix="0" xfId="0">
      <alignment horizontal="center" vertical="center" wrapText="1"/>
    </xf>
    <xf numFmtId="0" fontId="4" fillId="4" borderId="1" applyAlignment="1" pivotButton="0" quotePrefix="0" xfId="0">
      <alignment horizontal="center" vertical="center" wrapText="1"/>
    </xf>
    <xf numFmtId="0" fontId="14" fillId="4" borderId="1" applyAlignment="1" pivotButton="0" quotePrefix="0" xfId="0">
      <alignment horizontal="center" vertical="center" wrapText="1"/>
    </xf>
    <xf numFmtId="0" fontId="15" fillId="3"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8"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0" borderId="0" applyAlignment="1" pivotButton="0" quotePrefix="0" xfId="0">
      <alignment horizontal="center" vertical="center" wrapText="1"/>
    </xf>
    <xf numFmtId="0" fontId="38" fillId="8" borderId="1" applyAlignment="1" pivotButton="0" quotePrefix="0" xfId="0">
      <alignment horizontal="center" vertical="center" wrapText="1"/>
    </xf>
    <xf numFmtId="0" fontId="24" fillId="0" borderId="0" applyAlignment="1" pivotButton="0" quotePrefix="0" xfId="0">
      <alignment horizontal="right" vertical="center" wrapText="1" readingOrder="2"/>
    </xf>
    <xf numFmtId="0" fontId="23" fillId="3" borderId="0" applyAlignment="1" pivotButton="0" quotePrefix="0" xfId="0">
      <alignment horizontal="right" vertical="center" wrapText="1"/>
    </xf>
    <xf numFmtId="0" fontId="23" fillId="3" borderId="0" applyAlignment="1" pivotButton="0" quotePrefix="0" xfId="0">
      <alignment horizontal="center" vertical="center" wrapText="1"/>
    </xf>
    <xf numFmtId="0" fontId="25" fillId="3"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0" pivotButton="0" quotePrefix="0" xfId="0"/>
    <xf numFmtId="0" fontId="39" fillId="2"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4" borderId="0" applyAlignment="1" pivotButton="0" quotePrefix="0" xfId="0">
      <alignment horizontal="center" vertical="center" wrapText="1"/>
    </xf>
    <xf numFmtId="0" fontId="35" fillId="9" borderId="1" applyAlignment="1" pivotButton="0" quotePrefix="0" xfId="0">
      <alignment horizontal="center" vertical="center"/>
    </xf>
    <xf numFmtId="0" fontId="37" fillId="0" borderId="1" applyAlignment="1" pivotButton="0" quotePrefix="0" xfId="0">
      <alignment horizontal="right" vertical="center" wrapText="1"/>
    </xf>
    <xf numFmtId="0" fontId="40"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7" fillId="5" borderId="1" applyAlignment="1" pivotButton="0" quotePrefix="0" xfId="0">
      <alignment horizontal="right" vertical="center" wrapText="1"/>
    </xf>
    <xf numFmtId="0" fontId="37" fillId="4" borderId="1" applyAlignment="1" pivotButton="0" quotePrefix="0" xfId="0">
      <alignment horizontal="right" vertical="center" wrapText="1"/>
    </xf>
    <xf numFmtId="0" fontId="35" fillId="0" borderId="1" applyAlignment="1" pivotButton="0" quotePrefix="0" xfId="0">
      <alignment horizontal="center" vertical="center" wrapText="1"/>
    </xf>
    <xf numFmtId="164" fontId="37" fillId="0" borderId="1" applyAlignment="1" pivotButton="0" quotePrefix="0" xfId="0">
      <alignment horizontal="center" vertical="center" wrapText="1"/>
    </xf>
    <xf numFmtId="0" fontId="37" fillId="10" borderId="1" applyAlignment="1" pivotButton="0" quotePrefix="0" xfId="0">
      <alignment horizontal="right" vertical="center" wrapText="1"/>
    </xf>
    <xf numFmtId="0" fontId="40" fillId="10" borderId="1" applyAlignment="1" pivotButton="0" quotePrefix="0" xfId="0">
      <alignment horizontal="center" vertical="center" wrapText="1"/>
    </xf>
    <xf numFmtId="0" fontId="37" fillId="10" borderId="1" applyAlignment="1" pivotButton="0" quotePrefix="0" xfId="0">
      <alignment horizontal="center" vertical="center" wrapText="1"/>
    </xf>
    <xf numFmtId="0" fontId="35" fillId="10" borderId="1" applyAlignment="1" pivotButton="0" quotePrefix="0" xfId="0">
      <alignment horizontal="center" vertical="center" wrapText="1"/>
    </xf>
    <xf numFmtId="164" fontId="37" fillId="10" borderId="1" applyAlignment="1" pivotButton="0" quotePrefix="0" xfId="0">
      <alignment horizontal="center" vertical="center" wrapText="1"/>
    </xf>
    <xf numFmtId="0" fontId="36" fillId="0" borderId="1" applyAlignment="1" pivotButton="0" quotePrefix="0" xfId="0">
      <alignment horizontal="right" vertical="center" wrapText="1"/>
    </xf>
    <xf numFmtId="0" fontId="36" fillId="10" borderId="1" applyAlignment="1" pivotButton="0" quotePrefix="0" xfId="0">
      <alignment horizontal="right" vertical="center" wrapText="1"/>
    </xf>
    <xf numFmtId="0" fontId="35" fillId="11" borderId="1" applyAlignment="1" pivotButton="0" quotePrefix="0" xfId="0">
      <alignment horizontal="center" vertical="center" wrapText="1"/>
    </xf>
    <xf numFmtId="164" fontId="0" fillId="0" borderId="0" pivotButton="0" quotePrefix="0" xfId="0"/>
    <xf numFmtId="0" fontId="30" fillId="0" borderId="0" applyAlignment="1" pivotButton="0" quotePrefix="0" xfId="0">
      <alignment horizontal="center" vertical="center" wrapText="1"/>
    </xf>
    <xf numFmtId="0" fontId="30" fillId="0" borderId="1" applyAlignment="1" pivotButton="0" quotePrefix="0" xfId="0">
      <alignment horizontal="center" vertical="center" wrapText="1" readingOrder="2"/>
    </xf>
    <xf numFmtId="0" fontId="41" fillId="0" borderId="1" applyAlignment="1" pivotButton="0" quotePrefix="0" xfId="0">
      <alignment horizontal="center" vertical="center" wrapText="1" readingOrder="2"/>
    </xf>
    <xf numFmtId="0" fontId="32" fillId="2" borderId="0" applyAlignment="1" pivotButton="0" quotePrefix="0" xfId="0">
      <alignment horizontal="center" vertical="center" wrapText="1"/>
    </xf>
    <xf numFmtId="0" fontId="27" fillId="2" borderId="0" applyAlignment="1" pivotButton="0" quotePrefix="0" xfId="0">
      <alignment horizontal="center" vertical="center" wrapText="1"/>
    </xf>
    <xf numFmtId="0" fontId="29" fillId="0" borderId="0" applyAlignment="1" pivotButton="0" quotePrefix="0" xfId="0">
      <alignment horizontal="center" vertical="center" wrapText="1"/>
    </xf>
    <xf numFmtId="0" fontId="33" fillId="7" borderId="1" applyAlignment="1" pivotButton="0" quotePrefix="0" xfId="0">
      <alignment horizontal="center" vertical="center" wrapText="1"/>
    </xf>
    <xf numFmtId="0" fontId="33" fillId="4" borderId="1" applyAlignment="1" pivotButton="0" quotePrefix="0" xfId="0">
      <alignment horizontal="center" vertical="center" wrapText="1"/>
    </xf>
    <xf numFmtId="0" fontId="24" fillId="0" borderId="0" applyAlignment="1" pivotButton="0" quotePrefix="0" xfId="0">
      <alignment horizontal="center" vertical="center" wrapText="1"/>
    </xf>
    <xf numFmtId="0" fontId="34" fillId="8" borderId="0" applyAlignment="1" pivotButton="0" quotePrefix="0" xfId="0">
      <alignment horizontal="center" vertical="center"/>
    </xf>
    <xf numFmtId="0" fontId="35" fillId="0" borderId="6" applyAlignment="1" pivotButton="0" quotePrefix="0" xfId="0">
      <alignment horizontal="right" vertical="center" wrapText="1"/>
    </xf>
    <xf numFmtId="0" fontId="36" fillId="0" borderId="6" applyAlignment="1" pivotButton="0" quotePrefix="0" xfId="0">
      <alignment horizontal="right" vertical="center" wrapText="1"/>
    </xf>
    <xf numFmtId="0" fontId="37" fillId="0" borderId="6" applyAlignment="1" pivotButton="0" quotePrefix="0" xfId="0">
      <alignment horizontal="right" vertical="center" wrapText="1"/>
    </xf>
    <xf numFmtId="0" fontId="39" fillId="0" borderId="0" pivotButton="0" quotePrefix="0" xfId="0"/>
    <xf numFmtId="0" fontId="37" fillId="0" borderId="0" applyAlignment="1" pivotButton="0" quotePrefix="0" xfId="0">
      <alignment vertical="center" wrapText="1"/>
    </xf>
    <xf numFmtId="0" fontId="42" fillId="9" borderId="1" applyAlignment="1" pivotButton="0" quotePrefix="0" xfId="0">
      <alignment horizontal="center" vertical="center"/>
    </xf>
    <xf numFmtId="0" fontId="35" fillId="12" borderId="1" applyAlignment="1" pivotButton="0" quotePrefix="0" xfId="0">
      <alignment horizontal="center" vertical="center" wrapText="1"/>
    </xf>
    <xf numFmtId="0" fontId="43" fillId="2" borderId="0" applyAlignment="1" pivotButton="0" quotePrefix="0" xfId="0">
      <alignment horizontal="center" vertical="center" wrapText="1"/>
    </xf>
    <xf numFmtId="0" fontId="44" fillId="0" borderId="0" pivotButton="0" quotePrefix="0" xfId="0"/>
    <xf numFmtId="0" fontId="45" fillId="0" borderId="0" applyAlignment="1" pivotButton="0" quotePrefix="0" xfId="0">
      <alignment horizontal="center" vertical="center" wrapText="1"/>
    </xf>
    <xf numFmtId="0" fontId="46" fillId="8" borderId="1" applyAlignment="1" pivotButton="0" quotePrefix="0" xfId="0">
      <alignment horizontal="center" vertical="center" wrapText="1"/>
    </xf>
    <xf numFmtId="0" fontId="44" fillId="0" borderId="4" pivotButton="0" quotePrefix="0" xfId="0"/>
    <xf numFmtId="0" fontId="44" fillId="0" borderId="5" pivotButton="0" quotePrefix="0" xfId="0"/>
    <xf numFmtId="0" fontId="47" fillId="0" borderId="0" applyAlignment="1" pivotButton="0" quotePrefix="0" xfId="0">
      <alignment horizontal="right" vertical="center" wrapText="1" readingOrder="2"/>
    </xf>
    <xf numFmtId="0" fontId="48" fillId="3" borderId="0" applyAlignment="1" pivotButton="0" quotePrefix="0" xfId="0">
      <alignment horizontal="right" vertical="center" wrapText="1"/>
    </xf>
    <xf numFmtId="0" fontId="48" fillId="3" borderId="0" applyAlignment="1" pivotButton="0" quotePrefix="0" xfId="0">
      <alignment horizontal="center" vertical="center" wrapText="1"/>
    </xf>
    <xf numFmtId="0" fontId="49" fillId="3" borderId="1" applyAlignment="1" pivotButton="0" quotePrefix="0" xfId="0">
      <alignment horizontal="center" vertical="center" wrapText="1"/>
    </xf>
    <xf numFmtId="0" fontId="44" fillId="3" borderId="1" pivotButton="0" quotePrefix="0" xfId="0"/>
    <xf numFmtId="0" fontId="47" fillId="0" borderId="1" applyAlignment="1" pivotButton="0" quotePrefix="0" xfId="0">
      <alignment horizontal="center" vertical="center" wrapText="1"/>
    </xf>
    <xf numFmtId="0" fontId="44" fillId="0" borderId="1" pivotButton="0" quotePrefix="0" xfId="0"/>
    <xf numFmtId="0" fontId="50" fillId="0" borderId="0" pivotButton="0" quotePrefix="0" xfId="0"/>
    <xf numFmtId="0" fontId="51" fillId="2" borderId="0" applyAlignment="1" pivotButton="0" quotePrefix="0" xfId="0">
      <alignment horizontal="center" vertical="center" wrapText="1"/>
    </xf>
    <xf numFmtId="0" fontId="52" fillId="0" borderId="0" applyAlignment="1" pivotButton="0" quotePrefix="0" xfId="0">
      <alignment horizontal="center" vertical="center" wrapText="1"/>
    </xf>
    <xf numFmtId="0" fontId="53" fillId="4" borderId="0" applyAlignment="1" pivotButton="0" quotePrefix="0" xfId="0">
      <alignment horizontal="center" vertical="center" wrapText="1"/>
    </xf>
    <xf numFmtId="164" fontId="44" fillId="0" borderId="0" pivotButton="0" quotePrefix="0" xfId="0"/>
    <xf numFmtId="0" fontId="18" fillId="9" borderId="1" applyAlignment="1" pivotButton="0" quotePrefix="0" xfId="0">
      <alignment horizontal="center" vertical="center"/>
    </xf>
    <xf numFmtId="0" fontId="20" fillId="0" borderId="1" applyAlignment="1" pivotButton="0" quotePrefix="0" xfId="0">
      <alignment horizontal="right" vertical="center" wrapText="1"/>
    </xf>
    <xf numFmtId="0" fontId="20" fillId="0" borderId="1" applyAlignment="1" pivotButton="0" quotePrefix="0" xfId="0">
      <alignment horizontal="center" vertical="center" wrapText="1"/>
    </xf>
    <xf numFmtId="0" fontId="18" fillId="12" borderId="1" applyAlignment="1" pivotButton="0" quotePrefix="0" xfId="0">
      <alignment horizontal="center" vertical="center" wrapText="1"/>
    </xf>
    <xf numFmtId="164" fontId="20" fillId="0" borderId="1" applyAlignment="1" pivotButton="0" quotePrefix="0" xfId="0">
      <alignment horizontal="center" vertical="center" wrapText="1"/>
    </xf>
    <xf numFmtId="0" fontId="20" fillId="10" borderId="1" applyAlignment="1" pivotButton="0" quotePrefix="0" xfId="0">
      <alignment horizontal="right" vertical="center" wrapText="1"/>
    </xf>
    <xf numFmtId="0" fontId="20" fillId="10" borderId="1" applyAlignment="1" pivotButton="0" quotePrefix="0" xfId="0">
      <alignment horizontal="center" vertical="center" wrapText="1"/>
    </xf>
    <xf numFmtId="0" fontId="19" fillId="10" borderId="1" applyAlignment="1" pivotButton="0" quotePrefix="0" xfId="0">
      <alignment horizontal="right" vertical="center" wrapText="1"/>
    </xf>
    <xf numFmtId="164" fontId="20" fillId="10" borderId="1" applyAlignment="1" pivotButton="0" quotePrefix="0" xfId="0">
      <alignment horizontal="center" vertical="center" wrapText="1"/>
    </xf>
    <xf numFmtId="0" fontId="51" fillId="0" borderId="0" pivotButton="0" quotePrefix="0" xfId="0"/>
    <xf numFmtId="0" fontId="20" fillId="0" borderId="0" applyAlignment="1" pivotButton="0" quotePrefix="0" xfId="0">
      <alignment vertical="center" wrapText="1"/>
    </xf>
    <xf numFmtId="0" fontId="54" fillId="0" borderId="1" applyAlignment="1" pivotButton="0" quotePrefix="0" xfId="0">
      <alignment horizontal="center" vertical="center" wrapText="1"/>
    </xf>
    <xf numFmtId="0" fontId="20" fillId="5" borderId="1" applyAlignment="1" pivotButton="0" quotePrefix="0" xfId="0">
      <alignment horizontal="right" vertical="center" wrapText="1"/>
    </xf>
    <xf numFmtId="0" fontId="20" fillId="4" borderId="1" applyAlignment="1" pivotButton="0" quotePrefix="0" xfId="0">
      <alignment horizontal="right" vertical="center" wrapText="1"/>
    </xf>
    <xf numFmtId="0" fontId="18" fillId="0" borderId="1" applyAlignment="1" pivotButton="0" quotePrefix="0" xfId="0">
      <alignment horizontal="center" vertical="center" wrapText="1"/>
    </xf>
    <xf numFmtId="0" fontId="54" fillId="10" borderId="1" applyAlignment="1" pivotButton="0" quotePrefix="0" xfId="0">
      <alignment horizontal="center" vertical="center" wrapText="1"/>
    </xf>
    <xf numFmtId="0" fontId="18" fillId="10" borderId="1" applyAlignment="1" pivotButton="0" quotePrefix="0" xfId="0">
      <alignment horizontal="center" vertical="center" wrapText="1"/>
    </xf>
    <xf numFmtId="0" fontId="19" fillId="0" borderId="1" applyAlignment="1" pivotButton="0" quotePrefix="0" xfId="0">
      <alignment horizontal="right" vertical="center" wrapText="1"/>
    </xf>
    <xf numFmtId="0" fontId="18" fillId="11" borderId="1" applyAlignment="1" pivotButton="0" quotePrefix="0" xfId="0">
      <alignment horizontal="center" vertical="center" wrapText="1"/>
    </xf>
    <xf numFmtId="0" fontId="55" fillId="0" borderId="0" applyAlignment="1" pivotButton="0" quotePrefix="0" xfId="0">
      <alignment horizontal="center" vertical="center" wrapText="1"/>
    </xf>
    <xf numFmtId="0" fontId="55" fillId="0" borderId="1" applyAlignment="1" pivotButton="0" quotePrefix="0" xfId="0">
      <alignment horizontal="center" vertical="center" wrapText="1" readingOrder="2"/>
    </xf>
    <xf numFmtId="0" fontId="56" fillId="0" borderId="1" applyAlignment="1" pivotButton="0" quotePrefix="0" xfId="0">
      <alignment horizontal="center" vertical="center" wrapText="1" readingOrder="2"/>
    </xf>
    <xf numFmtId="0" fontId="57" fillId="2" borderId="0" applyAlignment="1" pivotButton="0" quotePrefix="0" xfId="0">
      <alignment horizontal="center" vertical="center" wrapText="1"/>
    </xf>
    <xf numFmtId="0" fontId="55" fillId="5" borderId="1" applyAlignment="1" pivotButton="0" quotePrefix="0" xfId="0">
      <alignment horizontal="center" vertical="center" wrapText="1"/>
    </xf>
    <xf numFmtId="0" fontId="55" fillId="0" borderId="1" applyAlignment="1" pivotButton="0" quotePrefix="0" xfId="0">
      <alignment horizontal="center" vertical="center" wrapText="1"/>
    </xf>
    <xf numFmtId="0" fontId="58" fillId="2" borderId="0" applyAlignment="1" pivotButton="0" quotePrefix="0" xfId="0">
      <alignment horizontal="center" vertical="center" wrapText="1"/>
    </xf>
    <xf numFmtId="0" fontId="53" fillId="0" borderId="0" applyAlignment="1" pivotButton="0" quotePrefix="0" xfId="0">
      <alignment horizontal="center" vertical="center" wrapText="1"/>
    </xf>
    <xf numFmtId="0" fontId="59" fillId="7" borderId="1" applyAlignment="1" pivotButton="0" quotePrefix="0" xfId="0">
      <alignment horizontal="center" vertical="center" wrapText="1"/>
    </xf>
    <xf numFmtId="0" fontId="47" fillId="4" borderId="1" applyAlignment="1" pivotButton="0" quotePrefix="0" xfId="0">
      <alignment horizontal="center" vertical="center" wrapText="1"/>
    </xf>
    <xf numFmtId="0" fontId="59" fillId="4" borderId="1" applyAlignment="1" pivotButton="0" quotePrefix="0" xfId="0">
      <alignment horizontal="center" vertical="center" wrapText="1"/>
    </xf>
    <xf numFmtId="0" fontId="47" fillId="0" borderId="0" applyAlignment="1" pivotButton="0" quotePrefix="0" xfId="0">
      <alignment horizontal="center" vertical="center" wrapText="1"/>
    </xf>
    <xf numFmtId="0" fontId="60" fillId="0" borderId="0" pivotButton="0" quotePrefix="0" xfId="0"/>
    <xf numFmtId="0" fontId="60" fillId="0" borderId="7" pivotButton="0" quotePrefix="0" xfId="0"/>
    <xf numFmtId="164" fontId="60" fillId="0" borderId="7" pivotButton="0" quotePrefix="0" xfId="0"/>
    <xf numFmtId="0" fontId="60" fillId="0" borderId="7" applyAlignment="1" pivotButton="0" quotePrefix="0" xfId="0">
      <alignment horizontal="center" vertical="center"/>
    </xf>
    <xf numFmtId="0" fontId="60" fillId="0" borderId="7" applyAlignment="1" pivotButton="0" quotePrefix="0" xfId="0">
      <alignment horizontal="right" vertical="center" wrapText="1"/>
    </xf>
    <xf numFmtId="0" fontId="60" fillId="0" borderId="7" applyAlignment="1" pivotButton="0" quotePrefix="0" xfId="0">
      <alignment horizontal="center" vertical="center" wrapText="1"/>
    </xf>
    <xf numFmtId="164" fontId="60" fillId="0" borderId="7" applyAlignment="1" pivotButton="0" quotePrefix="0" xfId="0">
      <alignment horizontal="center" vertical="center" wrapText="1"/>
    </xf>
    <xf numFmtId="0" fontId="17" fillId="8" borderId="0" applyAlignment="1" pivotButton="0" quotePrefix="0" xfId="0">
      <alignment horizontal="center" vertical="center" wrapText="1"/>
    </xf>
    <xf numFmtId="0" fontId="46" fillId="13" borderId="1" applyAlignment="1" pivotButton="0" quotePrefix="0" xfId="0">
      <alignment horizontal="center" vertical="center" wrapText="1"/>
    </xf>
    <xf numFmtId="0" fontId="48" fillId="13" borderId="0" applyAlignment="1" pivotButton="0" quotePrefix="0" xfId="0">
      <alignment horizontal="right" vertical="center" wrapText="1"/>
    </xf>
    <xf numFmtId="0" fontId="48" fillId="13" borderId="0" applyAlignment="1" pivotButton="0" quotePrefix="0" xfId="0">
      <alignment horizontal="center" vertical="center" wrapText="1"/>
    </xf>
    <xf numFmtId="0" fontId="49" fillId="13" borderId="1" applyAlignment="1" pivotButton="0" quotePrefix="0" xfId="0">
      <alignment horizontal="center" vertical="center" wrapText="1"/>
    </xf>
    <xf numFmtId="0" fontId="46" fillId="13" borderId="1" pivotButton="0" quotePrefix="0" xfId="0"/>
    <xf numFmtId="0" fontId="20" fillId="14" borderId="1" applyAlignment="1" pivotButton="0" quotePrefix="0" xfId="0">
      <alignment horizontal="right" vertical="center" wrapText="1"/>
    </xf>
    <xf numFmtId="0" fontId="20" fillId="14" borderId="1" applyAlignment="1" pivotButton="0" quotePrefix="0" xfId="0">
      <alignment horizontal="center" vertical="center" wrapText="1"/>
    </xf>
    <xf numFmtId="0" fontId="19" fillId="14" borderId="1" applyAlignment="1" pivotButton="0" quotePrefix="0" xfId="0">
      <alignment horizontal="right" vertical="center" wrapText="1"/>
    </xf>
    <xf numFmtId="0" fontId="17" fillId="8" borderId="0" pivotButton="0" quotePrefix="0" xfId="0"/>
    <xf numFmtId="0" fontId="54" fillId="14" borderId="1" applyAlignment="1" pivotButton="0" quotePrefix="0" xfId="0">
      <alignment horizontal="center" vertical="center" wrapText="1"/>
    </xf>
    <xf numFmtId="164" fontId="20" fillId="14" borderId="1" applyAlignment="1" pivotButton="0" quotePrefix="0" xfId="0">
      <alignment horizontal="center" vertical="center" wrapText="1"/>
    </xf>
    <xf numFmtId="0" fontId="17" fillId="8" borderId="1" applyAlignment="1" pivotButton="0" quotePrefix="0" xfId="0">
      <alignment horizontal="center" vertical="center" wrapText="1"/>
    </xf>
    <xf numFmtId="0" fontId="55" fillId="10" borderId="1" applyAlignment="1" pivotButton="0" quotePrefix="0" xfId="0">
      <alignment horizontal="center" vertical="center" wrapText="1"/>
    </xf>
    <xf numFmtId="0" fontId="47" fillId="14" borderId="1" applyAlignment="1" pivotButton="0" quotePrefix="0" xfId="0">
      <alignment horizontal="center" vertical="center" wrapText="1"/>
    </xf>
    <xf numFmtId="0" fontId="47" fillId="10" borderId="1" applyAlignment="1" pivotButton="0" quotePrefix="0" xfId="0">
      <alignment horizontal="center" vertical="center" wrapText="1"/>
    </xf>
    <xf numFmtId="0" fontId="47" fillId="9" borderId="1" applyAlignment="1" pivotButton="0" quotePrefix="0" xfId="0">
      <alignment horizontal="center" vertical="center" wrapText="1"/>
    </xf>
    <xf numFmtId="0" fontId="53" fillId="9" borderId="0" applyAlignment="1" pivotButton="0" quotePrefix="0" xfId="0">
      <alignment horizontal="center" vertical="center" wrapText="1"/>
    </xf>
    <xf numFmtId="0" fontId="59" fillId="9" borderId="1" applyAlignment="1" pivotButton="0" quotePrefix="0" xfId="0">
      <alignment horizontal="center" vertical="center" wrapText="1"/>
    </xf>
    <xf numFmtId="0" fontId="46" fillId="13" borderId="1" applyAlignment="1" pivotButton="0" quotePrefix="0" xfId="0">
      <alignment horizontal="right" vertical="center" wrapText="1"/>
    </xf>
    <xf numFmtId="0" fontId="60" fillId="0" borderId="1" applyAlignment="1" pivotButton="0" quotePrefix="0" xfId="0">
      <alignment horizontal="right" vertical="center" wrapText="1"/>
    </xf>
    <xf numFmtId="0" fontId="46" fillId="8" borderId="0" applyAlignment="1" pivotButton="0" quotePrefix="0" xfId="0">
      <alignment horizontal="center" vertical="center" wrapText="1"/>
    </xf>
    <xf numFmtId="0" fontId="61" fillId="10" borderId="1" applyAlignment="1" pivotButton="0" quotePrefix="0" xfId="0">
      <alignment horizontal="right" vertical="center" wrapText="1"/>
    </xf>
    <xf numFmtId="0" fontId="61" fillId="15" borderId="1" applyAlignment="1" pivotButton="0" quotePrefix="0" xfId="0">
      <alignment horizontal="center" vertical="center"/>
    </xf>
    <xf numFmtId="0" fontId="62" fillId="0" borderId="0" applyAlignment="1" pivotButton="0" quotePrefix="0" xfId="0">
      <alignment horizontal="right" vertical="center" wrapText="1"/>
    </xf>
    <xf numFmtId="0" fontId="55" fillId="10" borderId="1" applyAlignment="1" pivotButton="0" quotePrefix="0" xfId="0">
      <alignment horizontal="right" vertical="center"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changeover.c" TargetMode="External" Id="rId1"/><Relationship Type="http://schemas.openxmlformats.org/officeDocument/2006/relationships/hyperlink" Target="../../Config/Inc/app_types.h" TargetMode="External" Id="rId2"/><Relationship Type="http://schemas.openxmlformats.org/officeDocument/2006/relationships/hyperlink" Target="../../Bsp/Inc/bsp_gpio.h" TargetMode="External" Id="rId3"/><Relationship Type="http://schemas.openxmlformats.org/officeDocument/2006/relationships/hyperlink" Target="changeover.c" TargetMode="External" Id="rId4"/><Relationship Type="http://schemas.openxmlformats.org/officeDocument/2006/relationships/hyperlink" Target="../../Config/Inc/app_types.h" TargetMode="External" Id="rId5"/></Relationships>
</file>

<file path=xl/worksheets/_rels/sheet9.xml.rels><Relationships xmlns="http://schemas.openxmlformats.org/package/2006/relationships"><Relationship Type="http://schemas.openxmlformats.org/officeDocument/2006/relationships/hyperlink" Target="Changeover_State_Machine.xlsx" TargetMode="External" Id="rId1"/><Relationship Type="http://schemas.openxmlformats.org/officeDocument/2006/relationships/hyperlink" Target="../../../Documentation/System_State_Machine.xlsx" TargetMode="External" Id="rId2"/></Relationships>
</file>

<file path=xl/worksheets/sheet1.xml><?xml version="1.0" encoding="utf-8"?>
<worksheet xmlns="http://schemas.openxmlformats.org/spreadsheetml/2006/main">
  <sheetPr>
    <tabColor rgb="007F7F7F"/>
    <outlinePr summaryBelow="1" summaryRight="1"/>
    <pageSetUpPr fitToPage="1"/>
  </sheetPr>
  <dimension ref="A1:P29"/>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28" customHeight="1">
      <c r="A1" s="137" t="inlineStr">
        <is>
          <t>برگه تست و اعتبارسنجی عملی ماژول Changeover — منطق قطع/وصل باتری</t>
        </is>
      </c>
    </row>
    <row r="2" ht="40" customHeight="1">
      <c r="A2" s="83" t="inlineStr">
        <is>
          <t>ChangeOver | این ماژول فقط پایهٔ PB11 را کنترل می‌کند (BSP_GPIO_PROTECT_BATTERY).
حدها: 21000 و 20800 و 21200 میلی‌ولت. زمان صبر: 3000 میلی‌ثانیه. آستانهٔ استراحت باتری: 25000 میلی‌ولت. نسخه 2.2.
پایهٔ دیگری اینجا دست نمی‌خورد؛ فقط PB11.</t>
        </is>
      </c>
    </row>
    <row r="3" ht="30" customHeight="1">
      <c r="A3" s="138" t="inlineStr">
        <is>
          <t>هدف فایل</t>
        </is>
      </c>
      <c r="B3" s="8" t="n"/>
      <c r="C3" s="8" t="n"/>
      <c r="D3" s="8" t="n"/>
      <c r="E3" s="8" t="n"/>
      <c r="F3" s="8" t="n"/>
      <c r="G3" s="8" t="n"/>
      <c r="H3" s="8" t="n"/>
      <c r="I3" s="8" t="n"/>
      <c r="J3" s="8" t="n"/>
      <c r="K3" s="8" t="n"/>
      <c r="L3" s="8" t="n"/>
      <c r="M3" s="8" t="n"/>
      <c r="N3" s="8" t="n"/>
      <c r="O3" s="8" t="n"/>
      <c r="P3" s="9" t="n"/>
    </row>
    <row r="4" ht="13" customHeight="1">
      <c r="A4" s="87" t="inlineStr">
        <is>
          <t>این فایل برای چک‌کردن منطق Changeover است.
این‌ها چک می‌شوند: معتبر بودن داده (snapshot.valid)، ماسک خطا (fault_mask)، حاضر بودن ورودی (input_present)، ولتاژ باتری (v_bat24_mv)، قفل داخلی باتری کم و تایمر 3000 میلی‌ثانیه.</t>
        </is>
      </c>
    </row>
    <row r="5" ht="13" customHeight="1">
      <c r="A5" s="87" t="inlineStr">
        <is>
          <t>در هر ردیف، روش اجرا و نتیجهٔ مورد انتظار نوشته شده است.
قبول یا رد هر تست با عدد مشخص است: ولتاژ (mV)، زمان (ms)، وضعیت و پایهٔ PB11.</t>
        </is>
      </c>
    </row>
    <row r="6" ht="13" customHeight="1">
      <c r="A6" s="87" t="inlineStr">
        <is>
          <t>قبل از تست روی برد، ستون «نتیجه واقعی» را خالی بگذار و وضعیت را «در انتظار» نگه دار.
برای تستی که انجام نشده، «قبول» ننویس.
برای Changeover فقط همین یک فایل داریم.</t>
        </is>
      </c>
    </row>
    <row r="7" ht="18" customHeight="1">
      <c r="A7" s="139" t="inlineStr">
        <is>
          <t>دامنه فقط Changeover است. دادهٔ اندازه‌گیری از Measurement می‌آید، ماسک خطا از Fault و فلگ از UI.</t>
        </is>
      </c>
    </row>
    <row r="8" ht="13" customHeight="1">
      <c r="A8" s="87" t="inlineStr">
        <is>
          <t>اول دادهٔ اندازه‌گیری چک می‌شود.
اگر داده حاضر نباشد (NULL) یا معتبر نباشد (valid=false)، هیچ تصمیمی گرفته نمی‌شود:
وضعیت همان قبلی می‌ماند. پایهٔ PB11 هم تغییر نمی‌کند. تایمر از نو شروع می‌شود.
در این حالت، خطا هم وضعیت را عوض نمی‌کند و آن زمان جزو زمان صبر حساب نمی‌شود.</t>
        </is>
      </c>
    </row>
    <row r="9" ht="13" customHeight="1">
      <c r="A9" s="87" t="inlineStr">
        <is>
          <t>فقط وقتی داده معتبر است و خطایی هست (fault!=0)، وضعیت «خطا» (FAULT) می‌شود.
در این حالت هیچ پایه‌ای تغییر نمی‌کند: نه PB11، نه PB5 و نه PB7.</t>
        </is>
      </c>
    </row>
    <row r="10" ht="13" customHeight="1">
      <c r="A10" s="87" t="inlineStr">
        <is>
          <t>قطع خروجی دو راه دارد:
راه اول: ولتاژ باتری زیر 21000 میلی‌ولت باشد و فلگ باتری کم هم فعال باشد. این وضع باید 3000 میلی‌ثانیه پشت سر هم بماند. بعد خروجی قطع می‌شود (PB11 پایین) و وضعیت «امن» (SAFE) می‌شود.
راه دوم: ولتاژ باتری زیر 20800 میلی‌ولت باشد. در این راه فلگ لازم نیست؛ همان 3000 میلی‌ثانیه صبر کافی است و بعد وضعیت «امن» می‌شود.</t>
        </is>
      </c>
    </row>
    <row r="11" ht="13" customHeight="1">
      <c r="A11" s="87" t="inlineStr">
        <is>
          <t>وصل دوباره هم شرط دارد:
ورودی حاضر باشد و ولتاژ باتری دست‌کم 21200 میلی‌ولت باشد.
این وضع باید 3000 میلی‌ثانیه پشت سر هم بماند.
بعد خروجی وصل می‌شود (PB11 بالا) و وضعیت «ورودی» (INPUT) می‌شود. وضعیت هیچ‌وقت «بیکار» (IDLE) نمی‌شود.</t>
        </is>
      </c>
    </row>
    <row r="12" ht="13" customHeight="1">
      <c r="A12" s="87" t="inlineStr">
        <is>
          <t>زمان فقط با تابع تبدیل میلی‌ثانیه به تیک حساب می‌شود (func__Rtos_MillisecondsToTicks) و ساعت سیستم خوانده می‌شود (osKernelGetTickCount).
فرض نکن هر تیک 1 میلی‌ثانیه است.
اگر مدت به تیک صفر شد (durationTicks=0)، هیچ قطع یا وصل فوری انجام نمی‌شود.</t>
        </is>
      </c>
    </row>
    <row r="13" ht="18" customHeight="1">
      <c r="A13" s="139" t="inlineStr">
        <is>
          <t>روش اجرای تست</t>
        </is>
      </c>
    </row>
    <row r="14" ht="13" customHeight="1">
      <c r="A14" s="87" t="inlineStr">
        <is>
          <t>۱) برد را با منبع آزمایشگاهی و با رعایت ایمنی روشن کن.
پایهٔ PB11 را با مولتی‌متر یا اسکوپ نسبت به زمین (GND) اندازه بگیر. این پایه فعال-پایین است: پایین یعنی قطع.
پایه‌های PB5 و PB7 را هم هم‌زمان با اسکوپ ببین. نباید هیچ تغییری بکنند.</t>
        </is>
      </c>
    </row>
    <row r="15" ht="13" customHeight="1">
      <c r="A15" s="87" t="inlineStr">
        <is>
          <t>۲) firmware موردنظر را پروگرام کن؛ commit و شناسه برد را در «تأیید نهایی» ثبت کن.</t>
        </is>
      </c>
    </row>
    <row r="16" ht="13" customHeight="1">
      <c r="A16" s="87" t="inlineStr">
        <is>
          <t>۳) دادهٔ اندازه‌گیری را تزریق کن: valid و v_bat24_mv و input_present را ست کن.
قفل باتری کم را نمی‌شود مستقیم ست کرد؛ خودش وقتی بسته می‌شود که ولتاژ زیر ۲۱۰۰۰ میلی‌ولت برود.
ماسک خطا (fault_mask) را از ماژول Fault بده.</t>
        </is>
      </c>
    </row>
    <row r="17" ht="13" customHeight="1">
      <c r="A17" s="87" t="inlineStr">
        <is>
          <t>۴) برای تست زمان 3000 میلی‌ثانیه: شرط را دست‌کم 3500 میلی‌ثانیه نگه دار. بعد PB11 و وضعیت را بخوان.
برای تست کمتر از 3000 میلی‌ثانیه: بعد از 2500 میلی‌ثانیه بخوان. هنوز نباید چیزی تغییر کرده باشد.</t>
        </is>
      </c>
    </row>
    <row r="18" ht="13" customHeight="1">
      <c r="A18" s="87" t="inlineStr">
        <is>
          <t>۵) برای دادهٔ نامعتبر: valid=false یا NULL بده.
ببین وضعیت و PB11 همان قبلی می‌مانند.
یعنی وضعیت فعلی حفظ می‌شود، نه اینکه وضعیت ثابت «بیکار» شود.</t>
        </is>
      </c>
    </row>
    <row r="19" ht="13" customHeight="1">
      <c r="A19" s="87" t="inlineStr">
        <is>
          <t>۶) نتیجه واقعی را بنویس و در صورت رد، در «ثبت ایراد» ردیف بساز.</t>
        </is>
      </c>
    </row>
    <row r="20">
      <c r="A20" s="140" t="inlineStr">
        <is>
          <t>تاریخچه نسخه</t>
        </is>
      </c>
    </row>
    <row r="21">
      <c r="A21" s="141" t="inlineStr">
        <is>
          <t>تاریخ</t>
        </is>
      </c>
      <c r="B21" s="141" t="inlineStr">
        <is>
          <t>نسخه</t>
        </is>
      </c>
      <c r="C21" s="141" t="inlineStr">
        <is>
          <t>شرح تغییر</t>
        </is>
      </c>
      <c r="D21" s="141" t="inlineStr">
        <is>
          <t>نسخهٔ برنامه</t>
        </is>
      </c>
      <c r="E21" s="142" t="n"/>
      <c r="F21" s="8" t="n"/>
      <c r="G21" s="8" t="n"/>
      <c r="H21" s="8" t="n"/>
      <c r="I21" s="8" t="n"/>
      <c r="J21" s="8" t="n"/>
      <c r="K21" s="8" t="n"/>
      <c r="L21" s="8" t="n"/>
      <c r="M21" s="8" t="n"/>
      <c r="N21" s="8" t="n"/>
      <c r="O21" s="8" t="n"/>
      <c r="P21" s="9" t="n"/>
    </row>
    <row r="22" ht="14" customHeight="1">
      <c r="A22" s="92" t="inlineStr">
        <is>
          <t>2026-09-16</t>
        </is>
      </c>
      <c r="B22" s="92" t="inlineStr">
        <is>
          <t>2.1</t>
        </is>
      </c>
      <c r="C22" s="92" t="inlineStr">
        <is>
          <t>۲۲ تست کامل شد. هر تست ۱۶ ستون دارد. برای هر تست قبول یا رد جدا نوشته می‌شود. زمان‌ها با ساعت سیستم (rtos_time) حساب می‌شوند. اگر مدت صفر شد (0)، قطع و وصل فوری نداریم.</t>
        </is>
      </c>
      <c r="D22" s="92" t="inlineStr">
        <is>
          <t>c6b084f28f2c507cfd342e5dbd0dbd8e45686772</t>
        </is>
      </c>
      <c r="E22" s="93" t="n"/>
      <c r="F22" s="8" t="n"/>
      <c r="G22" s="8" t="n"/>
      <c r="H22" s="8" t="n"/>
      <c r="I22" s="8" t="n"/>
      <c r="J22" s="8" t="n"/>
      <c r="K22" s="8" t="n"/>
      <c r="L22" s="8" t="n"/>
      <c r="M22" s="8" t="n"/>
      <c r="N22" s="8" t="n"/>
      <c r="O22" s="8" t="n"/>
      <c r="P22" s="9" t="n"/>
    </row>
    <row r="23" ht="14" customHeight="1">
      <c r="A23" s="92" t="inlineStr">
        <is>
          <t>2026-09-16</t>
        </is>
      </c>
      <c r="B23" s="92" t="inlineStr">
        <is>
          <t>2.0</t>
        </is>
      </c>
      <c r="C23" s="92" t="inlineStr">
        <is>
          <t>تصمیم فقط وقتی گرفته می‌شود که داده معتبر باشد. زمان با تبدیل میلی‌ثانیه به تیک حساب می‌شود. وضعیت‌ها: باتری، ورودی، امن و خطا. وضعیت «بیکار» (IDLE) نداریم.</t>
        </is>
      </c>
      <c r="D23" s="92" t="inlineStr">
        <is>
          <t>a4a5bf2</t>
        </is>
      </c>
      <c r="E23" s="93" t="n"/>
      <c r="F23" s="8" t="n"/>
      <c r="G23" s="8" t="n"/>
      <c r="H23" s="8" t="n"/>
      <c r="I23" s="8" t="n"/>
      <c r="J23" s="8" t="n"/>
      <c r="K23" s="8" t="n"/>
      <c r="L23" s="8" t="n"/>
      <c r="M23" s="8" t="n"/>
      <c r="N23" s="8" t="n"/>
      <c r="O23" s="8" t="n"/>
      <c r="P23" s="9" t="n"/>
    </row>
    <row r="24" ht="14" customHeight="1">
      <c r="A24" s="92" t="inlineStr">
        <is>
          <t>2026-09-16</t>
        </is>
      </c>
      <c r="B24" s="92" t="inlineStr">
        <is>
          <t>1.0</t>
        </is>
      </c>
      <c r="C24" s="92" t="inlineStr">
        <is>
          <t>در نسخهٔ اول 21 سناریو پیاده شد.</t>
        </is>
      </c>
      <c r="D24" s="92" t="inlineStr">
        <is>
          <t>d0adc6f</t>
        </is>
      </c>
      <c r="E24" s="93" t="n"/>
      <c r="F24" s="8" t="n"/>
      <c r="G24" s="8" t="n"/>
      <c r="H24" s="8" t="n"/>
      <c r="I24" s="8" t="n"/>
      <c r="J24" s="8" t="n"/>
      <c r="K24" s="8" t="n"/>
      <c r="L24" s="8" t="n"/>
      <c r="M24" s="8" t="n"/>
      <c r="N24" s="8" t="n"/>
      <c r="O24" s="8" t="n"/>
      <c r="P24" s="9" t="n"/>
    </row>
    <row r="25">
      <c r="A25" s="94" t="inlineStr">
        <is>
          <t>2026-10-12</t>
        </is>
      </c>
      <c r="B25" s="94" t="inlineStr">
        <is>
          <t>1.87</t>
        </is>
      </c>
      <c r="C25" s="94" t="inlineStr">
        <is>
          <t>دیالوگ پنل تیره و هم‌رنگ شد. صف پیام (PMQ) اضافه شد. کلیدهای Enter و Esc درست کار می‌کنند. در تسک کنترل، عکس لحظه‌ای (snapshot) اول کامل صفر می‌شود. (62f3782)</t>
        </is>
      </c>
      <c r="D25" s="94" t="inlineStr">
        <is>
          <t>62f3782</t>
        </is>
      </c>
      <c r="E25" s="82" t="n"/>
      <c r="F25" s="82" t="n"/>
      <c r="G25" s="82" t="n"/>
      <c r="H25" s="82" t="n"/>
      <c r="I25" s="82" t="n"/>
      <c r="J25" s="82" t="n"/>
      <c r="K25" s="82" t="n"/>
      <c r="L25" s="82" t="n"/>
      <c r="M25" s="82" t="n"/>
      <c r="N25" s="82" t="n"/>
      <c r="O25" s="82" t="n"/>
      <c r="P25" s="82" t="n"/>
    </row>
    <row r="26">
      <c r="A26" t="inlineStr">
        <is>
          <t>2026-10-23</t>
        </is>
      </c>
      <c r="B26" t="inlineStr">
        <is>
          <t>2.2</t>
        </is>
      </c>
      <c r="C26" t="inlineStr">
        <is>
          <t>آستانهٔ استراحت باتری (شناسهٔ ۱۶۵، پیش‌فرض ۲۵٬۰۰۰ mV): زیر آن بدون برق شهر هیچ وصل و هیچ حکمی نیست. سقف تلاش بدون برق شهر یک است. حکم باتری فرسوده فقط بدون برق شهر نمایش داده می‌شود. در حالت قطع بدون برق شهر، هر سه چراغ و بوق خاموش‌اند. قطع سیم باتری بدون برق شهر بی‌صدا است. شناسه‌های تست با شیت «تست‌های آزمایشگاهی» یکسان شد و CO-031/CO-033/CO-034 اضافه شدند.</t>
        </is>
      </c>
      <c r="D26" t="inlineStr">
        <is>
          <t>a07719c</t>
        </is>
      </c>
    </row>
    <row r="27">
      <c r="A27" s="130"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29">
      <c r="A29" s="156" t="inlineStr">
        <is>
          <t>پیش‌بینی زندهٔ برنامه</t>
        </is>
      </c>
      <c r="B29" s="157"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24">
    <mergeCell ref="A5:P5"/>
    <mergeCell ref="A14:P14"/>
    <mergeCell ref="A17:P17"/>
    <mergeCell ref="A8:P8"/>
    <mergeCell ref="A4:P4"/>
    <mergeCell ref="A20:P20"/>
    <mergeCell ref="A19:P19"/>
    <mergeCell ref="A10:P10"/>
    <mergeCell ref="A13:P13"/>
    <mergeCell ref="A9:P9"/>
    <mergeCell ref="A15:P15"/>
    <mergeCell ref="A11:P11"/>
    <mergeCell ref="A1:P1"/>
    <mergeCell ref="A6:P6"/>
    <mergeCell ref="E22:P22"/>
    <mergeCell ref="A16:P16"/>
    <mergeCell ref="A7:P7"/>
    <mergeCell ref="E21:P21"/>
    <mergeCell ref="E24:P24"/>
    <mergeCell ref="A18:P18"/>
    <mergeCell ref="E23:P23"/>
    <mergeCell ref="A12:P12"/>
    <mergeCell ref="A3:P3"/>
    <mergeCell ref="A2:P2"/>
  </mergeCells>
  <printOptions horizontalCentered="1"/>
  <pageMargins left="0.75" right="0.75" top="1" bottom="1" header="0.5" footer="0.5"/>
  <pageSetup orientation="landscape" paperSize="8" fitToHeight="0" fitToWidth="1"/>
</worksheet>
</file>

<file path=xl/worksheets/sheet2.xml><?xml version="1.0" encoding="utf-8"?>
<worksheet xmlns="http://schemas.openxmlformats.org/spreadsheetml/2006/main">
  <sheetPr>
    <tabColor rgb="001F4E79"/>
    <outlinePr summaryBelow="1" summaryRight="1"/>
    <pageSetUpPr fitToPage="1"/>
  </sheetPr>
  <dimension ref="A1:U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137" t="inlineStr">
        <is>
          <t>برنامه تست عملی — ماژول Changeover (قطع/وصل باتری با 3000ms)</t>
        </is>
      </c>
      <c r="Q1" s="82" t="n"/>
      <c r="T1" s="158" t="inlineStr">
        <is>
          <t>ورودی‌های پیش‌بینی — خانه‌های زرد را عوض کن و ستون «پیش‌بینی زنده» را ببین</t>
        </is>
      </c>
    </row>
    <row r="2" ht="30" customHeight="1">
      <c r="A2" s="96" t="inlineStr">
        <is>
          <t>ورودی‌ها بر حسب mV؛ زمان‌ها بر حسب ms. PB11 فقط از BSP_GPIO_PROTECT_BATTERY (فعال Low) — PB5/PB7 ممنوع. ورودی‌ها: valid، v_bat، input_present، flag، fault.</t>
        </is>
      </c>
      <c r="Q2" s="82" t="n"/>
      <c r="T2" s="159" t="inlineStr">
        <is>
          <t>ولتاژ باتری (میلی‌ولت)</t>
        </is>
      </c>
      <c r="U2" s="160" t="n">
        <v>24000</v>
      </c>
    </row>
    <row r="3" ht="32" customHeight="1">
      <c r="A3" s="97" t="inlineStr">
        <is>
          <t>snapshot نامعتبر → «state فعلی حفظ شود» (نه IDLE ثابت). CO-010/012 باید INPUT باشد. معیار قبولی هر ردیف توضیح می‌دهد PASS چیست و FAIL چیست.</t>
        </is>
      </c>
      <c r="Q3" s="82" t="n"/>
      <c r="T3" s="159" t="inlineStr">
        <is>
          <t>ورودی حاضر است؟ (1/0)</t>
        </is>
      </c>
      <c r="U3" s="160" t="n">
        <v>1</v>
      </c>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چه چیزی باید ببینید تا بگویید درست است</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c r="R4" s="138" t="inlineStr">
        <is>
          <t>پیش‌بینی زندهٔ برنامه (فرمول)</t>
        </is>
      </c>
      <c r="T4" s="159" t="inlineStr">
        <is>
          <t>خطا هست؟ fault (1/0)</t>
        </is>
      </c>
      <c r="U4" s="160" t="n">
        <v>0</v>
      </c>
    </row>
    <row r="5" ht="54" customHeight="1">
      <c r="A5" s="99" t="inlineStr">
        <is>
          <t>CO-008</t>
        </is>
      </c>
      <c r="B5" s="104" t="inlineStr">
        <is>
          <t>عملکرد واقعی خروجی</t>
        </is>
      </c>
      <c r="C5" s="105" t="inlineStr">
        <is>
          <t>بالا</t>
        </is>
      </c>
      <c r="D5" s="104" t="inlineStr">
        <is>
          <t>دستگاه روشن با باتری و یک بار روی خروجی</t>
        </is>
      </c>
      <c r="E5" s="104" t="inlineStr">
        <is>
          <t>گام ۱: دستگاه را فقط با باتری روشن کن و مطمئن شو بار روشن است.
گام ۲: ولتاژ باتری را آرام پایین بیاور تا زیر ۲۱ ولت برسد.
گام ۳: چند ثانیه صبر کن و بار و چراغ‌ها را نگاه کن.</t>
        </is>
      </c>
      <c r="F5" s="104" t="inlineStr">
        <is>
          <t>باتری از ۲۴ ولت تا زیر ۲۱ ولت</t>
        </is>
      </c>
      <c r="G5" s="105" t="inlineStr">
        <is>
          <t>چند ثانیه</t>
        </is>
      </c>
      <c r="H5" s="104" t="inlineStr">
        <is>
          <t>خروجی بعد از ۳ ثانیه قطع می‌شود و بار خاموش می‌ماند</t>
        </is>
      </c>
      <c r="I5" s="104" t="inlineStr">
        <is>
          <t>باید ببینید:
با افت باتری زیر حد، خروجی بعد از ۳ ثانیهٔ پیوسته قطع می‌شود و بار خاموش می‌ماند.
تا وقتی باتری بالای حد است، بار روشن می‌ماند.
اگر زود قطع کرد یا اصلاً قطع نکرد، قبول نیست.</t>
        </is>
      </c>
      <c r="J5" s="104" t="inlineStr">
        <is>
          <t>بار قطع شود؛ قطع زودهنگام وقتی باتری بالای حد است = رد</t>
        </is>
      </c>
      <c r="K5" s="100" t="n"/>
      <c r="L5" s="102" t="inlineStr">
        <is>
          <t>در انتظار</t>
        </is>
      </c>
      <c r="M5" s="100" t="n"/>
      <c r="N5" s="100" t="n"/>
      <c r="O5" s="101" t="n"/>
      <c r="P5" s="105">
        <f>IF(OR(K5="",K5="در انتظار"),"",IF(P5="",TODAY(),P5))</f>
        <v/>
      </c>
      <c r="Q5" s="103" t="n"/>
      <c r="R5"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5" s="159" t="inlineStr">
        <is>
          <t>مدت ماندن شرط (ثانیه)</t>
        </is>
      </c>
      <c r="U5" s="160" t="n">
        <v>4</v>
      </c>
    </row>
    <row r="6" ht="54" customHeight="1">
      <c r="A6" s="99" t="inlineStr">
        <is>
          <t>CO-013</t>
        </is>
      </c>
      <c r="B6" s="104" t="inlineStr">
        <is>
          <t>عملکرد واقعی خروجی</t>
        </is>
      </c>
      <c r="C6" s="105" t="inlineStr">
        <is>
          <t>بالا</t>
        </is>
      </c>
      <c r="D6" s="104" t="inlineStr">
        <is>
          <t>پایان CO-008 (خروجی قطع است)</t>
        </is>
      </c>
      <c r="E6" s="104" t="inlineStr">
        <is>
          <t>گام ۱: از پایان CO-008 شروع کن.
گام ۲: برق شهر را وصل کن و ولتاژ باتری را بالای ۲۱٫۲ ولت نگه دار.
گام ۳: ۳۵ ثانیه صبر کن و بار را نگاه کن.</t>
        </is>
      </c>
      <c r="F6" s="104" t="inlineStr">
        <is>
          <t>برگشت برق شهر + باتری بالای ۲۱٫۲ ولت</t>
        </is>
      </c>
      <c r="G6" s="105" t="inlineStr">
        <is>
          <t>حدود ۳۵ ثانیه</t>
        </is>
      </c>
      <c r="H6" s="104" t="inlineStr">
        <is>
          <t>بعد از ۳۰ ثانیه ورودیِ ثابت و ۳ ثانیه فیلتر، خروجی وصل و بار روشن می‌شود</t>
        </is>
      </c>
      <c r="I6" s="104" t="inlineStr">
        <is>
          <t>باید ببینید:
خروجی فقط بعد از ۳۰ ثانیه ورودیِ ثابت + ۳ ثانیه فیلتر وصل می‌شود.
اگر زودتر وصل شد یا اصلاً وصل نشد، قبول نیست.</t>
        </is>
      </c>
      <c r="J6" s="104" t="inlineStr">
        <is>
          <t>وصل بعد از ۳۳ ثانیه؛ وصل زودتر = رد</t>
        </is>
      </c>
      <c r="K6" s="100" t="n"/>
      <c r="L6" s="102" t="inlineStr">
        <is>
          <t>در انتظار</t>
        </is>
      </c>
      <c r="M6" s="100" t="n"/>
      <c r="N6" s="100" t="n"/>
      <c r="O6" s="101" t="n"/>
      <c r="P6" s="105">
        <f>IF(OR(K6="",K6="در انتظار"),"",IF(P6="",TODAY(),P6))</f>
        <v/>
      </c>
      <c r="Q6" s="103" t="n"/>
      <c r="R6"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6" s="159" t="inlineStr">
        <is>
          <t>داده معتبر است؟ (1/0)</t>
        </is>
      </c>
      <c r="U6" s="160" t="n">
        <v>1</v>
      </c>
    </row>
    <row r="7" ht="54" customHeight="1">
      <c r="A7" s="99" t="inlineStr">
        <is>
          <t>CO-006</t>
        </is>
      </c>
      <c r="B7" s="104" t="inlineStr">
        <is>
          <t>عملکرد واقعی خروجی</t>
        </is>
      </c>
      <c r="C7" s="105" t="inlineStr">
        <is>
          <t>متوسط</t>
        </is>
      </c>
      <c r="D7" s="104" t="inlineStr">
        <is>
          <t>دستگاه با برق شهر و باتری وصل، بار روشن</t>
        </is>
      </c>
      <c r="E7" s="104" t="inlineStr">
        <is>
          <t>گام ۱: دستگاه را با برق شهر روشن کن و بار را روشن ببین.
گام ۲: برق شهر را قطع کن؛ بار باید بی‌وقفه روی باتری بماند.
گام ۳: برق شهر را برگردان و دوباره نگاه کن.</t>
        </is>
      </c>
      <c r="F7" s="104" t="inlineStr">
        <is>
          <t>قطع و وصل برق شهر</t>
        </is>
      </c>
      <c r="G7" s="105" t="inlineStr">
        <is>
          <t>چند ثانیه</t>
        </is>
      </c>
      <c r="H7" s="104" t="inlineStr">
        <is>
          <t>بار در هر دو جابه‌جایی روشن می‌ماند و دستگاه در خطا گیر نمی‌کند</t>
        </is>
      </c>
      <c r="I7" s="104" t="inlineStr">
        <is>
          <t>باید ببینید:
با قطع و وصل برق شهر، بار هرگز خاموش نمی‌شود.
اگر بار لحظه‌ای هم خاموش شد، قبول نیست.</t>
        </is>
      </c>
      <c r="J7" s="104" t="inlineStr">
        <is>
          <t>بار بی‌وقفه روشن بماند</t>
        </is>
      </c>
      <c r="K7" s="100" t="n"/>
      <c r="L7" s="102" t="inlineStr">
        <is>
          <t>در انتظار</t>
        </is>
      </c>
      <c r="M7" s="100" t="n"/>
      <c r="N7" s="100" t="n"/>
      <c r="O7" s="101" t="n"/>
      <c r="P7" s="105">
        <f>IF(OR(K7="",K7="در انتظار"),"",IF(P7="",TODAY(),P7))</f>
        <v/>
      </c>
      <c r="Q7" s="103" t="n"/>
      <c r="R7"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7" s="161" t="inlineStr">
        <is>
          <t>پیش‌بینی برای حالت پایدار است؛ چشمک و زمان‌بندی را با چشم و کرنومتر چک کن و با برد مقایسه کن.</t>
        </is>
      </c>
    </row>
    <row r="8" ht="54" customHeight="1">
      <c r="A8" s="99" t="inlineStr">
        <is>
          <t>CO-018</t>
        </is>
      </c>
      <c r="B8" s="104" t="inlineStr">
        <is>
          <t>عملکرد واقعی خروجی</t>
        </is>
      </c>
      <c r="C8" s="105" t="inlineStr">
        <is>
          <t>متوسط</t>
        </is>
      </c>
      <c r="D8" s="104" t="inlineStr">
        <is>
          <t>دستگاه در حال کار عادی با بار روشن</t>
        </is>
      </c>
      <c r="E8" s="104" t="inlineStr">
        <is>
          <t>گام ۱: دستگاه در حال کار عادی باشد و بار روشن.
گام ۲: حین شارژ سیم باتری را قطع کن تا آلارم قطع باتری بیاید.
گام ۳: چراغ و بوق خطا و هم‌زمان بار را نگاه کن.</t>
        </is>
      </c>
      <c r="F8" s="104" t="inlineStr">
        <is>
          <t>خطای قطع باتری حین شارژ</t>
        </is>
      </c>
      <c r="G8" s="105" t="inlineStr">
        <is>
          <t>چند ثانیه</t>
        </is>
      </c>
      <c r="H8" s="104" t="inlineStr">
        <is>
          <t>آلارم خطا می‌آید ولی خروجی تکان نمی‌خورد</t>
        </is>
      </c>
      <c r="I8" s="104" t="inlineStr">
        <is>
          <t>باید ببینید:
آلارم خطا می‌آید ولی بار بدون هیچ تکانی روشن می‌ماند.
اگر خروجی تکان خورد، قبول نیست.</t>
        </is>
      </c>
      <c r="J8" s="104" t="inlineStr">
        <is>
          <t>بار بدون تکان روشن بماند</t>
        </is>
      </c>
      <c r="K8" s="100" t="n"/>
      <c r="L8" s="102" t="inlineStr">
        <is>
          <t>در انتظار</t>
        </is>
      </c>
      <c r="M8" s="100" t="n"/>
      <c r="N8" s="100" t="n"/>
      <c r="O8" s="101" t="n"/>
      <c r="P8" s="105">
        <f>IF(OR(K8="",K8="در انتظار"),"",IF(P8="",TODAY(),P8))</f>
        <v/>
      </c>
      <c r="Q8" s="103" t="n"/>
      <c r="R8"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row>
    <row r="9" ht="54" customHeight="1">
      <c r="A9" s="99" t="inlineStr">
        <is>
          <t>CO-025</t>
        </is>
      </c>
      <c r="B9" s="104" t="inlineStr">
        <is>
          <t>عملکرد واقعی خروجی</t>
        </is>
      </c>
      <c r="C9" s="105" t="inlineStr">
        <is>
          <t>بالا</t>
        </is>
      </c>
      <c r="D9" s="104" t="inlineStr">
        <is>
          <t>پایان CO-008 (خروجی قطع و برق شهر قطع است)</t>
        </is>
      </c>
      <c r="E9" s="104" t="inlineStr">
        <is>
          <t>گام ۱: از پایان CO-008 شروع کن: برق شهر قطع، خروجی قطع، بار خاموش.
گام ۲: ولتاژ باتری را به ۲۵٫۵ ولت برسان و حدود ۲۰ ثانیه صبر کن.
گام ۳: در ثانیهٔ نهم وضعیت را بخوان و در ثانیهٔ چهاردهم دوباره بخوان.
گام ۴: همین را با ۲۳٫۰ ولت تکرار کن.</t>
        </is>
      </c>
      <c r="F9" s="104" t="inlineStr">
        <is>
          <t>بدون برق شهر: ۲۵٫۵ ولت برای ۲۰ ثانیه، سپس ۲۳٫۰ ولت</t>
        </is>
      </c>
      <c r="G9" s="105" t="inlineStr">
        <is>
          <t>حدود ۲۰ ثانیه + ۳۰ ثانیه</t>
        </is>
      </c>
      <c r="H9" s="104" t="inlineStr">
        <is>
          <t>با ۲۵٫۵ ولت حدود ۱۳ ثانیه بعد وصل می‌شود؛ با ۲۳ ولت هیچ وصل نمی‌شود</t>
        </is>
      </c>
      <c r="I9" s="104" t="inlineStr">
        <is>
          <t>باید ببینید:
در گام ۲ خروجی حدود ۱۳ ثانیه بعد (۱۰ ثانیهٔ سالم + ۳ ثانیه فیلتر) وصل می‌شود و بار روشن می‌ماند.
در گام ۴ با استراحت ۲۳ ولت هیچ وصل و هیچ حکمی نمی‌شود (باتری دشارژ حساب می‌شود).
اگر وسط ۱۰ ثانیه ولتاژ یک لحظه افت کند، شمارش از صفر شروع می‌شود.</t>
        </is>
      </c>
      <c r="J9" s="104" t="inlineStr">
        <is>
          <t>وصل با ۲۵٫۵ ولت و عدم وصل با ۲۳ ولت؛ وصل با ۲۳ ولت = رد</t>
        </is>
      </c>
      <c r="K9" s="100" t="n"/>
      <c r="L9" s="102" t="inlineStr">
        <is>
          <t>در انتظار</t>
        </is>
      </c>
      <c r="M9" s="100" t="n"/>
      <c r="N9" s="100" t="n"/>
      <c r="O9" s="101" t="n"/>
      <c r="P9" s="105">
        <f>IF(OR(K9="",K9="در انتظار"),"",IF(P9="",TODAY(),P9))</f>
        <v/>
      </c>
      <c r="Q9" s="103" t="n"/>
      <c r="R9" s="157" t="inlineStr">
        <is>
          <t>بدون فرمول: آستانهٔ استراحت شناسهٔ ۱۶۵ (۲۵٬۰۰۰ mV) اجازهٔ وصل بدون برق شهر را می‌دهد.</t>
        </is>
      </c>
    </row>
    <row r="10" ht="54" customHeight="1">
      <c r="A10" s="99" t="inlineStr">
        <is>
          <t>CO-026</t>
        </is>
      </c>
      <c r="B10" s="104" t="inlineStr">
        <is>
          <t>عملکرد واقعی خروجی</t>
        </is>
      </c>
      <c r="C10" s="105" t="inlineStr">
        <is>
          <t>بالا</t>
        </is>
      </c>
      <c r="D10" s="104" t="inlineStr">
        <is>
          <t>پس از وصل CO-025</t>
        </is>
      </c>
      <c r="E10" s="104" t="inlineStr">
        <is>
          <t>گام ۱: بعد از وصل CO-025، داخل ۶۰ ثانیه ولتاژ را زیر ۲۱ ولت بیاور تا قطع شود.
گام ۲: ولتاژ را به ۲۵٫۵ ولت برگردان و ۶۰ ثانیه صبر کن.
گام ۳: مسیر باتری، چراغ‌ها و بوق را نگاه کن.</t>
        </is>
      </c>
      <c r="F10" s="104" t="inlineStr">
        <is>
          <t>قطع داخل ۶۰ ثانیه بعد از CO-025، سپس ۲۵٫۵ ولت</t>
        </is>
      </c>
      <c r="G10" s="105" t="inlineStr">
        <is>
          <t>۳۰ ثانیه + ۶۰ ثانیه</t>
        </is>
      </c>
      <c r="H10" s="104" t="inlineStr">
        <is>
          <t>حکم باتری فرسوده قفل می‌شود و مسیر باتری تا برگشت برق شهر بسته می‌ماند</t>
        </is>
      </c>
      <c r="I10" s="104" t="inlineStr">
        <is>
          <t>باید ببینید:
بعد از قطع دوباره، حکم قفل است و بدون برق شهر هیچ وصل خودکار دیگری انجام نمی‌شود (سقف یک تلاش).
با برگشت برق شهر، مسیر از راه ورودی باز می‌شود.</t>
        </is>
      </c>
      <c r="J10" s="104" t="inlineStr">
        <is>
          <t>قفل حکم؛ وصل خودکار دوباره بدون برق شهر = رد</t>
        </is>
      </c>
      <c r="K10" s="100" t="n"/>
      <c r="L10" s="102" t="inlineStr">
        <is>
          <t>در انتظار</t>
        </is>
      </c>
      <c r="M10" s="100" t="n"/>
      <c r="N10" s="100" t="n"/>
      <c r="O10" s="101" t="n"/>
      <c r="P10" s="105">
        <f>IF(OR(K10="",K10="در انتظار"),"",IF(P10="",TODAY(),P10))</f>
        <v/>
      </c>
      <c r="Q10" s="103" t="n"/>
      <c r="R10" s="157" t="inlineStr">
        <is>
          <t>بدون فرمول: سقف تلاش بدون برق شهر یک است؛ حکم با ۱۰ دقیقه سالم یا دکمهٔ کارت ۸ پاک می‌شود.</t>
        </is>
      </c>
    </row>
    <row r="11" ht="54" customHeight="1">
      <c r="A11" s="99" t="inlineStr">
        <is>
          <t>CO-027</t>
        </is>
      </c>
      <c r="B11" s="104" t="inlineStr">
        <is>
          <t>عملکرد واقعی خروجی</t>
        </is>
      </c>
      <c r="C11" s="105" t="inlineStr">
        <is>
          <t>بالا</t>
        </is>
      </c>
      <c r="D11" s="104" t="inlineStr">
        <is>
          <t>حکم قفل (پس از CO-026)</t>
        </is>
      </c>
      <c r="E11" s="104" t="inlineStr">
        <is>
          <t>گام ۱: با حکم قفل و برق شهر قطع، قرمز را ۵ ثانیه نگاه کن.
گام ۲: گوش کن و الگوی بوق را بشمار.
گام ۳: برق شهر را وصل کن و همان دو چراغ و بوق را دوباره نگاه کن.</t>
        </is>
      </c>
      <c r="F11" s="104" t="inlineStr">
        <is>
          <t>پارامترهای ۱۵۱ تا ۱۵۶ با پیش‌فرض کارخانه</t>
        </is>
      </c>
      <c r="G11" s="105" t="inlineStr">
        <is>
          <t>۵ ثانیه + ۱۰ ثانیه</t>
        </is>
      </c>
      <c r="H11" s="104" t="inlineStr">
        <is>
          <t>بدون برق شهر: قرمز چشمک‌زن + بوق، سبز و زرد خاموش؛ با برق شهر: چهرهٔ شارژ عادی</t>
        </is>
      </c>
      <c r="I11" s="104" t="inlineStr">
        <is>
          <t>باید ببینید:
بدون برق شهر قرمز با دوره و سهم خودش چشمک می‌زند و بوق الگوی خودش را دارد؛ سبز و زرد خاموش‌اند.
با برگشت برق شهر چهرهٔ شارژ (زرد چشمک‌زن یا سبز ثابت) می‌آید و بوق قطع می‌شود.</t>
        </is>
      </c>
      <c r="J11" s="104" t="inlineStr">
        <is>
          <t>همان چهرهٔ تعریف‌شده بدون برق شهر و چهرهٔ شارژ با برق شهر</t>
        </is>
      </c>
      <c r="K11" s="100" t="n"/>
      <c r="L11" s="102" t="inlineStr">
        <is>
          <t>در انتظار</t>
        </is>
      </c>
      <c r="M11" s="100" t="n"/>
      <c r="N11" s="100" t="n"/>
      <c r="O11" s="101" t="n"/>
      <c r="P11" s="105">
        <f>IF(OR(K11="",K11="در انتظار"),"",IF(P11="",TODAY(),P11))</f>
        <v/>
      </c>
      <c r="Q11" s="103" t="n"/>
      <c r="R11" s="157" t="inlineStr">
        <is>
          <t>بدون فرمول: نمایش حکم فقط بدون برق ورودی است.</t>
        </is>
      </c>
    </row>
    <row r="12" ht="54" customHeight="1">
      <c r="A12" s="99" t="inlineStr">
        <is>
          <t>CO-028</t>
        </is>
      </c>
      <c r="B12" s="104" t="inlineStr">
        <is>
          <t>عملکرد واقعی خروجی</t>
        </is>
      </c>
      <c r="C12" s="105" t="inlineStr">
        <is>
          <t>بالا</t>
        </is>
      </c>
      <c r="D12" s="104" t="inlineStr">
        <is>
          <t>حکم قفل، شناسهٔ ۱۵۷ = ۱</t>
        </is>
      </c>
      <c r="E12" s="104" t="inlineStr">
        <is>
          <t>گام ۱: با حکم قفل و برق شهر قطع، خروجی را با بار ۱ آمپر بسنج.
گام ۲: حالا شناسهٔ ۱۵۷ را صفر کن و خروجی را دوباره بسنج.
گام ۳: شناسه را به ۱ برگردان.</t>
        </is>
      </c>
      <c r="F12" s="104" t="inlineStr">
        <is>
          <t>۱۵۷ = ۱ سپس ۰ سپس ۱</t>
        </is>
      </c>
      <c r="G12" s="105" t="inlineStr">
        <is>
          <t>۳۰ ثانیه</t>
        </is>
      </c>
      <c r="H12" s="104" t="inlineStr">
        <is>
          <t>با ۱۵۷ = ۱ مسیر بسته می‌ماند؛ با ۱۵۷ = ۰ فقط هشدار می‌ماند و مسیر باز می‌شود</t>
        </is>
      </c>
      <c r="I12" s="104" t="inlineStr">
        <is>
          <t>باید ببینید:
با ۱۵۷ = ۱ خروجی صفر می‌ماند و بار روشن نمی‌شود.
با ۱۵۷ = ۰ چراغ هشدار می‌ماند ولی مسیر باتری باز می‌شود.</t>
        </is>
      </c>
      <c r="J12" s="104" t="inlineStr">
        <is>
          <t>تبعیت دقیق از ۱۵۷؛ بار روی باتری با ۱۵۷ = ۱ = رد</t>
        </is>
      </c>
      <c r="K12" s="100" t="n"/>
      <c r="L12" s="102" t="inlineStr">
        <is>
          <t>در انتظار</t>
        </is>
      </c>
      <c r="M12" s="100" t="n"/>
      <c r="N12" s="100" t="n"/>
      <c r="O12" s="101" t="n"/>
      <c r="P12" s="105">
        <f>IF(OR(K12="",K12="در انتظار"),"",IF(P12="",TODAY(),P12))</f>
        <v/>
      </c>
      <c r="Q12" s="103" t="n"/>
      <c r="R12" s="157" t="inlineStr">
        <is>
          <t>بدون فرمول: شناسهٔ ۱۵۷ تعیین می‌کند حکم مسیر را ببندد یا فقط هشدار بدهد.</t>
        </is>
      </c>
    </row>
    <row r="13" ht="54" customHeight="1">
      <c r="A13" s="99" t="inlineStr">
        <is>
          <t>CO-029</t>
        </is>
      </c>
      <c r="B13" s="104" t="inlineStr">
        <is>
          <t>عملکرد واقعی خروجی</t>
        </is>
      </c>
      <c r="C13" s="105" t="inlineStr">
        <is>
          <t>بالا</t>
        </is>
      </c>
      <c r="D13" s="104" t="inlineStr">
        <is>
          <t>حکم قفل، شناسهٔ ۱۴۸ = ۶۰۰۰۰۰</t>
        </is>
      </c>
      <c r="E13" s="104" t="inlineStr">
        <is>
          <t>گام ۱: با حکم قفل، ولتاژ باتری را روی ۲۵٫۵ ولت پیوسته نگه دار.
گام ۲: در دقیقهٔ ۹ وضعیت را بخوان.
گام ۳: در دقیقهٔ ۱۱ دوباره بخوان و چراغ‌ها را نگاه کن.</t>
        </is>
      </c>
      <c r="F13" s="104" t="inlineStr">
        <is>
          <t>۲۵٫۵ ولت پیوسته برای ۱۰ دقیقه</t>
        </is>
      </c>
      <c r="G13" s="105" t="inlineStr">
        <is>
          <t>۱۰ دقیقه</t>
        </is>
      </c>
      <c r="H13" s="104" t="inlineStr">
        <is>
          <t>حکم فقط بعد از ۱۰ دقیقهٔ سالمِ پیوسته پاک می‌شود و همان یک تلاش آزاد می‌شود</t>
        </is>
      </c>
      <c r="I13" s="104" t="inlineStr">
        <is>
          <t>باید ببینید:
تا دقیقهٔ ۹ حکم قفل است و قرمز چشمک می‌زند.
بعد از ۱۰ دقیقهٔ سالمِ پیوسته حکم پاک می‌شود و یک بار دیگر می‌تواند بدون برق شهر وصل شود.</t>
        </is>
      </c>
      <c r="J13" s="104" t="inlineStr">
        <is>
          <t>پاک‌شدن در دقیقهٔ ۱۰؛ زودتر یا هرگز = رد</t>
        </is>
      </c>
      <c r="K13" s="100" t="n"/>
      <c r="L13" s="102" t="inlineStr">
        <is>
          <t>در انتظار</t>
        </is>
      </c>
      <c r="M13" s="100" t="n"/>
      <c r="N13" s="100" t="n"/>
      <c r="O13" s="101" t="n"/>
      <c r="P13" s="105">
        <f>IF(OR(K13="",K13="در انتظار"),"",IF(P13="",TODAY(),P13))</f>
        <v/>
      </c>
      <c r="Q13" s="103" t="n"/>
      <c r="R13" s="157" t="inlineStr">
        <is>
          <t>بدون فرمول: مدت استراحت سالم شناسهٔ ۱۴۸ (پیش‌فرض ۶۰۰٬۰۰۰ ms) است.</t>
        </is>
      </c>
    </row>
    <row r="14" ht="54" customHeight="1">
      <c r="A14" s="99" t="inlineStr">
        <is>
          <t>CO-030</t>
        </is>
      </c>
      <c r="B14" s="104" t="inlineStr">
        <is>
          <t>عملکرد واقعی خروجی</t>
        </is>
      </c>
      <c r="C14" s="105" t="inlineStr">
        <is>
          <t>بالا</t>
        </is>
      </c>
      <c r="D14" s="104" t="inlineStr">
        <is>
          <t>حکم قفل</t>
        </is>
      </c>
      <c r="E14" s="104" t="inlineStr">
        <is>
          <t>گام ۱: با حکم قفل، برق شهر را وصل کن و ۳۰ ثانیه پایدار نگه دار.
گام ۲: مسیر باتری و چراغ‌ها را نگاه کن.
گام ۳: برق شهر را دوباره قطع کن.</t>
        </is>
      </c>
      <c r="F14" s="104" t="inlineStr">
        <is>
          <t>برگشت برق شهر برای ۳۰ ثانیه، سپس قطع</t>
        </is>
      </c>
      <c r="G14" s="105" t="inlineStr">
        <is>
          <t>۳۵ ثانیه + ۱۰ ثانیه</t>
        </is>
      </c>
      <c r="H14" s="104" t="inlineStr">
        <is>
          <t>برگشت برق شهر حکم را پاک نمی‌کند؛ با قطع دوباره همان چهره برمی‌گردد</t>
        </is>
      </c>
      <c r="I14" s="104" t="inlineStr">
        <is>
          <t>باید ببینید:
با برق شهر، چهرهٔ شارژ می‌آید و خروجی بعد از ۳۰ + ۳ ثانیه وصل می‌شود.
با قطع دوبارهٔ برق شهر، قرمز چشمک‌زن و بوق برمی‌گردند و مسیر باتری بسته می‌ماند.
حکم فقط با ۱۰ دقیقهٔ سالم یا دکمهٔ کارت ۸ پاک می‌شود.</t>
        </is>
      </c>
      <c r="J14" s="104" t="inlineStr">
        <is>
          <t>حکم پس از برق شهر می‌ماند؛ پاک شدن با برق شهر = رد</t>
        </is>
      </c>
      <c r="K14" s="100" t="n"/>
      <c r="L14" s="102" t="inlineStr">
        <is>
          <t>در انتظار</t>
        </is>
      </c>
      <c r="M14" s="100" t="n"/>
      <c r="N14" s="100" t="n"/>
      <c r="O14" s="101" t="n"/>
      <c r="P14" s="105">
        <f>IF(OR(K14="",K14="در انتظار"),"",IF(P14="",TODAY(),P14))</f>
        <v/>
      </c>
      <c r="Q14" s="103" t="n"/>
      <c r="R14" s="157" t="inlineStr">
        <is>
          <t>بدون فرمول: نمایش حکم فقط بدون برق ورودی است؛ خود حکم تا پایان استراحت می‌ماند.</t>
        </is>
      </c>
    </row>
    <row r="15" ht="54" customHeight="1">
      <c r="A15" s="99" t="inlineStr">
        <is>
          <t>CO-031</t>
        </is>
      </c>
      <c r="B15" s="104" t="inlineStr">
        <is>
          <t>عملکرد واقعی خروجی</t>
        </is>
      </c>
      <c r="C15" s="105" t="inlineStr">
        <is>
          <t>بالا</t>
        </is>
      </c>
      <c r="D15" s="104" t="inlineStr">
        <is>
          <t>دستگاه بدون برق شهر و مسیر باتری بسته</t>
        </is>
      </c>
      <c r="E15" s="104" t="inlineStr">
        <is>
          <t>گام ۱: بگذار باتری زیر ۲۱ ولت برود تا مسیر بسته شود.
گام ۲: ولتاژ را روی ۲۳٫۰ ولت نگه دار و ۶۰ ثانیه نگاه کن.
گام ۳: ولتاژ را به ۲۵٫۵ ولت برسان و ۲۰ ثانیه نگاه کن.
گام ۴: داخل ۶۰ ثانیه بعد از وصل، دوباره زیر ۲۱ ولت بیاور.</t>
        </is>
      </c>
      <c r="F15" s="104" t="inlineStr">
        <is>
          <t>استراحت ۲۳ ولت، سپس ۲۵٫۵ ولت، بدون برق شهر</t>
        </is>
      </c>
      <c r="G15" s="105" t="inlineStr">
        <is>
          <t>حدود دو دقیقه</t>
        </is>
      </c>
      <c r="H15" s="104" t="inlineStr">
        <is>
          <t>با ۲۳ ولت هیچ وصل و هیچ حکمی نمی‌شود؛ با ۲۵٫۵ ولت یک بار وصل و با قطع دوباره حکم قفل می‌شود</t>
        </is>
      </c>
      <c r="I15" s="104" t="inlineStr">
        <is>
          <t>باید ببینید:
در گام ۲ هیچ وصل خودکاری انجام نمی‌شود و حکمی هم زده نمی‌شود (محافظت باتری، مستقل از تیک سناریو).
در گام ۳ فقط یک بار وصل می‌شود.
در گام ۴ دوباره وصل نمی‌شود و حکم باتری فرسوده قفل می‌شود.</t>
        </is>
      </c>
      <c r="J15" s="104" t="inlineStr">
        <is>
          <t>عدم وصل با ۲۳ ولت + یک تلاش با ۲۵٫۵ ولت؛ وصل با ۲۳ ولت = رد</t>
        </is>
      </c>
      <c r="K15" s="100" t="n"/>
      <c r="L15" s="102" t="inlineStr">
        <is>
          <t>در انتظار</t>
        </is>
      </c>
      <c r="M15" s="100" t="n"/>
      <c r="N15" s="100" t="n"/>
      <c r="O15" s="101" t="n"/>
      <c r="P15" s="105">
        <f>IF(OR(K15="",K15="در انتظار"),"",IF(P15="",TODAY(),P15))</f>
        <v/>
      </c>
      <c r="Q15" s="103" t="n"/>
      <c r="R15" s="157" t="inlineStr">
        <is>
          <t>بدون فرمول: آستانهٔ استراحت شناسهٔ ۱۶۵ هم برای اجازهٔ وصل و هم برای حکم استفاده می‌شود.</t>
        </is>
      </c>
    </row>
    <row r="16" ht="54" customHeight="1">
      <c r="A16" s="99" t="inlineStr">
        <is>
          <t>CO-032</t>
        </is>
      </c>
      <c r="B16" s="104" t="inlineStr">
        <is>
          <t>عملکرد واقعی خروجی</t>
        </is>
      </c>
      <c r="C16" s="105" t="inlineStr">
        <is>
          <t>متوسط</t>
        </is>
      </c>
      <c r="D16" s="104" t="inlineStr">
        <is>
          <t>حکم قفل + پنل کالیبراسیون باز</t>
        </is>
      </c>
      <c r="E16" s="104" t="inlineStr">
        <is>
          <t>گام ۱: روی برد حکم را قفل کن.
گام ۲: در کارت ۸ دکمهٔ پاک‌کردن حکم را بزن.
گام ۳: خط وضعیت، چراغ قرمز و بوق را نگاه کن.
گام ۴: همان دکمه را دوباره بزن.</t>
        </is>
      </c>
      <c r="F16" s="104" t="inlineStr">
        <is>
          <t>حکم = ۱ → دکمهٔ پاک‌کردن حکم (شناسهٔ ۲۰۴)</t>
        </is>
      </c>
      <c r="G16" s="105" t="inlineStr">
        <is>
          <t>—</t>
        </is>
      </c>
      <c r="H16" s="104" t="inlineStr">
        <is>
          <t>حکم همان لحظه پاک می‌شود، چراغ و بوق خاموش می‌شوند و یک تلاش آزاد می‌شود</t>
        </is>
      </c>
      <c r="I16" s="104" t="inlineStr">
        <is>
          <t>باید ببینید:
خط وضعیت «در حال ارسال…» و بعد «پاک شد» نشان می‌دهد.
قرمز و بوق خاموش می‌شوند و با استراحت بالای ۲۵ ولت یک بار دیگر وصل می‌شود.
زدن دوبارهٔ دکمه خطا نمی‌دهد؛ خود ریست پین را دست نمی‌زند.</t>
        </is>
      </c>
      <c r="J16" s="104" t="inlineStr">
        <is>
          <t>حکم پاک شود و دکمهٔ دوم خطا ندهد</t>
        </is>
      </c>
      <c r="K16" s="100" t="n"/>
      <c r="L16" s="102" t="inlineStr">
        <is>
          <t>در انتظار</t>
        </is>
      </c>
      <c r="M16" s="100" t="n"/>
      <c r="N16" s="100" t="n"/>
      <c r="O16" s="101" t="n"/>
      <c r="P16" s="105">
        <f>IF(OR(K16="",K16="در انتظار"),"",IF(P16="",TODAY(),P16))</f>
        <v/>
      </c>
      <c r="Q16" s="103" t="n"/>
      <c r="R16" s="157" t="inlineStr">
        <is>
          <t>بدون فرمول: شناسهٔ ۲۰۴ دستور است، نه پارامتر؛ ذخیره نمی‌شود.</t>
        </is>
      </c>
    </row>
    <row r="17" ht="54" customHeight="1">
      <c r="A17" s="99" t="inlineStr">
        <is>
          <t>CO-033</t>
        </is>
      </c>
      <c r="B17" s="104" t="inlineStr">
        <is>
          <t>عملکرد واقعی خروجی</t>
        </is>
      </c>
      <c r="C17" s="105" t="inlineStr">
        <is>
          <t>متوسط</t>
        </is>
      </c>
      <c r="D17" s="104" t="inlineStr">
        <is>
          <t>دستگاه بدون برق شهر و مسیر باتری بسته</t>
        </is>
      </c>
      <c r="E17" s="104" t="inlineStr">
        <is>
          <t>گام ۱: بگذار باتری زیر ۲۱ ولت برود تا مسیر بسته شود.
گام ۲: هر سه چراغ و بوق را ۱۰ ثانیه نگاه کن.
گام ۳: برق شهر را برگردان و دوباره نگاه کن.</t>
        </is>
      </c>
      <c r="F17" s="104" t="inlineStr">
        <is>
          <t>قطع ولتاژ پایین، بدون برق شهر</t>
        </is>
      </c>
      <c r="G17" s="105" t="inlineStr">
        <is>
          <t>۱۰ ثانیه</t>
        </is>
      </c>
      <c r="H17" s="104" t="inlineStr">
        <is>
          <t>در حالت قطع، هر سه چراغ و بوق کاملاً خاموش‌اند؛ با برگشت برق، چهرهٔ شارژ برمی‌گردد</t>
        </is>
      </c>
      <c r="I17" s="104" t="inlineStr">
        <is>
          <t>باید ببینید:
بعد از قطع، هیچ چراغی چشمک نمی‌زند و بوق صدا نمی‌دهد.
با برگشت برق شهر، چهرهٔ شارژ عادی برمی‌گردد.</t>
        </is>
      </c>
      <c r="J17" s="104" t="inlineStr">
        <is>
          <t>خاموشی کامل چراغ‌ها و بوق؛ روشن‌ماندن هر چراغ = رد</t>
        </is>
      </c>
      <c r="K17" s="100" t="n"/>
      <c r="L17" s="102" t="inlineStr">
        <is>
          <t>در انتظار</t>
        </is>
      </c>
      <c r="M17" s="100" t="n"/>
      <c r="N17" s="100" t="n"/>
      <c r="O17" s="101" t="n"/>
      <c r="P17" s="105">
        <f>IF(OR(K17="",K17="در انتظار"),"",IF(P17="",TODAY(),P17))</f>
        <v/>
      </c>
      <c r="Q17" s="103" t="n"/>
      <c r="R17" s="157" t="inlineStr">
        <is>
          <t>بدون فرمول: خاموشی فقط وقتی است که مسیر بسته است و برق ورودی نیست.</t>
        </is>
      </c>
    </row>
    <row r="18" ht="54" customHeight="1">
      <c r="A18" s="99" t="inlineStr">
        <is>
          <t>CO-034</t>
        </is>
      </c>
      <c r="B18" s="104" t="inlineStr">
        <is>
          <t>عملکرد واقعی خروجی</t>
        </is>
      </c>
      <c r="C18" s="105" t="inlineStr">
        <is>
          <t>متوسط</t>
        </is>
      </c>
      <c r="D18" s="104" t="inlineStr">
        <is>
          <t>دستگاه بدون برق شهر و مسیر باتری وصل</t>
        </is>
      </c>
      <c r="E18" s="104" t="inlineStr">
        <is>
          <t>گام ۱: برق شهر را قطع کن و مطمئن شو بار از باتری کار می‌کند.
گام ۲: سیم باتری را جدا کن.
گام ۳: چند ثانیه چراغ‌ها و بوق را نگاه کن.</t>
        </is>
      </c>
      <c r="F18" s="104" t="inlineStr">
        <is>
          <t>قطع سیم باتری، بدون برق شهر</t>
        </is>
      </c>
      <c r="G18" s="105" t="inlineStr">
        <is>
          <t>چند ثانیه</t>
        </is>
      </c>
      <c r="H18" s="104" t="inlineStr">
        <is>
          <t>مسیر بعد از ۳ ثانیه بسته می‌شود، همه‌چیز خاموش می‌ماند و هیچ آلارمی نمی‌آید</t>
        </is>
      </c>
      <c r="I18" s="104" t="inlineStr">
        <is>
          <t>باید ببینید:
قطع سیم بدون برق شهر هیچ آلارمی نمی‌دهد و همه‌چیز خاموش است تا برگشت برق ورودی.
این تصمیم ثبت‌شدهٔ ۲۰۲۶-۱۰-۲۳ است.</t>
        </is>
      </c>
      <c r="J18" s="104" t="inlineStr">
        <is>
          <t>سکوت کامل و عدم آلارم؛ روشن‌شدن چراغ یا بوق = رد</t>
        </is>
      </c>
      <c r="K18" s="100" t="n"/>
      <c r="L18" s="102" t="inlineStr">
        <is>
          <t>در انتظار</t>
        </is>
      </c>
      <c r="M18" s="100" t="n"/>
      <c r="N18" s="100" t="n"/>
      <c r="O18" s="101" t="n"/>
      <c r="P18" s="105">
        <f>IF(OR(K18="",K18="در انتظار"),"",IF(P18="",TODAY(),P18))</f>
        <v/>
      </c>
      <c r="Q18" s="103" t="n"/>
      <c r="R18" s="157" t="inlineStr">
        <is>
          <t>بدون فرمول: آلارم قطع باتری عمداً فقط با برق ورودی کار می‌کند.</t>
        </is>
      </c>
    </row>
    <row r="19">
      <c r="A19" s="131" t="n"/>
      <c r="B19" s="131" t="n"/>
      <c r="C19" s="131" t="n"/>
      <c r="D19" s="131" t="n"/>
      <c r="E19" s="131" t="n"/>
      <c r="F19" s="131" t="n"/>
      <c r="G19" s="131" t="n"/>
      <c r="H19" s="131" t="n"/>
      <c r="I19" s="131" t="n"/>
      <c r="J19" s="131" t="n"/>
      <c r="K19" s="131" t="n"/>
      <c r="L19" s="131" t="n"/>
      <c r="M19" s="131" t="n"/>
      <c r="N19" s="131" t="n"/>
      <c r="O19" s="131" t="n"/>
      <c r="P19" s="131" t="n"/>
      <c r="Q19" s="132" t="n"/>
    </row>
    <row r="20">
      <c r="A20" s="131" t="n"/>
      <c r="B20" s="131" t="n"/>
      <c r="C20" s="131" t="n"/>
      <c r="D20" s="131" t="n"/>
      <c r="E20" s="131" t="n"/>
      <c r="F20" s="131" t="n"/>
      <c r="G20" s="131" t="n"/>
      <c r="H20" s="131" t="n"/>
      <c r="I20" s="131" t="n"/>
      <c r="J20" s="131" t="n"/>
      <c r="K20" s="131" t="n"/>
      <c r="L20" s="131" t="n"/>
      <c r="M20" s="131" t="n"/>
      <c r="N20" s="131" t="n"/>
      <c r="O20" s="131" t="n"/>
      <c r="P20" s="131" t="n"/>
      <c r="Q20" s="132" t="n"/>
    </row>
    <row r="21">
      <c r="A21" s="131" t="n"/>
      <c r="B21" s="131" t="n"/>
      <c r="C21" s="131" t="n"/>
      <c r="D21" s="131" t="n"/>
      <c r="E21" s="131" t="n"/>
      <c r="F21" s="131" t="n"/>
      <c r="G21" s="131" t="n"/>
      <c r="H21" s="131" t="n"/>
      <c r="I21" s="131" t="n"/>
      <c r="J21" s="131" t="n"/>
      <c r="K21" s="131" t="n"/>
      <c r="L21" s="131" t="n"/>
      <c r="M21" s="131" t="n"/>
      <c r="N21" s="131" t="n"/>
      <c r="O21" s="131" t="n"/>
      <c r="P21" s="131" t="n"/>
      <c r="Q21" s="132" t="n"/>
    </row>
    <row r="22">
      <c r="A22" s="131" t="n"/>
      <c r="B22" s="131" t="n"/>
      <c r="C22" s="131" t="n"/>
      <c r="D22" s="131" t="n"/>
      <c r="E22" s="131" t="n"/>
      <c r="F22" s="131" t="n"/>
      <c r="G22" s="131" t="n"/>
      <c r="H22" s="131" t="n"/>
      <c r="I22" s="131" t="n"/>
      <c r="J22" s="131" t="n"/>
      <c r="K22" s="131" t="n"/>
      <c r="L22" s="131" t="n"/>
      <c r="M22" s="131" t="n"/>
      <c r="N22" s="131" t="n"/>
      <c r="O22" s="131" t="n"/>
      <c r="P22" s="131" t="n"/>
      <c r="Q22" s="132" t="n"/>
    </row>
    <row r="23">
      <c r="A23" s="131" t="n"/>
      <c r="B23" s="131" t="n"/>
      <c r="C23" s="131" t="n"/>
      <c r="D23" s="131" t="n"/>
      <c r="E23" s="131" t="n"/>
      <c r="F23" s="131" t="n"/>
      <c r="G23" s="131" t="n"/>
      <c r="H23" s="131" t="n"/>
      <c r="I23" s="131" t="n"/>
      <c r="J23" s="131" t="n"/>
      <c r="K23" s="131" t="n"/>
      <c r="L23" s="131" t="n"/>
      <c r="M23" s="131" t="n"/>
      <c r="N23" s="131" t="n"/>
      <c r="O23" s="131" t="n"/>
      <c r="P23" s="131" t="n"/>
      <c r="Q23" s="132" t="n"/>
    </row>
    <row r="24">
      <c r="A24" s="131" t="n"/>
      <c r="B24" s="131" t="n"/>
      <c r="C24" s="131" t="n"/>
      <c r="D24" s="131" t="n"/>
      <c r="E24" s="131" t="n"/>
      <c r="F24" s="131" t="n"/>
      <c r="G24" s="131" t="n"/>
      <c r="H24" s="131" t="n"/>
      <c r="I24" s="131" t="n"/>
      <c r="J24" s="131" t="n"/>
      <c r="K24" s="131" t="n"/>
      <c r="L24" s="131" t="n"/>
      <c r="M24" s="131" t="n"/>
      <c r="N24" s="131" t="n"/>
      <c r="O24" s="131" t="n"/>
      <c r="P24" s="131" t="n"/>
      <c r="Q24" s="132" t="n"/>
    </row>
    <row r="25">
      <c r="A25" s="131" t="n"/>
      <c r="B25" s="131" t="n"/>
      <c r="C25" s="131" t="n"/>
      <c r="D25" s="131" t="n"/>
      <c r="E25" s="131" t="n"/>
      <c r="F25" s="131" t="n"/>
      <c r="G25" s="131" t="n"/>
      <c r="H25" s="131" t="n"/>
      <c r="I25" s="131" t="n"/>
      <c r="J25" s="131" t="n"/>
      <c r="K25" s="131" t="n"/>
      <c r="L25" s="131" t="n"/>
      <c r="M25" s="131" t="n"/>
      <c r="N25" s="131" t="n"/>
      <c r="O25" s="131" t="n"/>
      <c r="P25" s="131" t="n"/>
      <c r="Q25" s="132" t="n"/>
    </row>
    <row r="26">
      <c r="A26" s="131" t="n"/>
      <c r="B26" s="131" t="n"/>
      <c r="C26" s="131" t="n"/>
      <c r="D26" s="131" t="n"/>
      <c r="E26" s="131" t="n"/>
      <c r="F26" s="131" t="n"/>
      <c r="G26" s="131" t="n"/>
      <c r="H26" s="131" t="n"/>
      <c r="I26" s="131" t="n"/>
      <c r="J26" s="131" t="n"/>
      <c r="K26" s="131" t="n"/>
      <c r="L26" s="131" t="n"/>
      <c r="M26" s="131" t="n"/>
      <c r="N26" s="131" t="n"/>
      <c r="O26" s="131" t="n"/>
      <c r="P26" s="131" t="n"/>
      <c r="Q26" s="132" t="n"/>
    </row>
    <row r="27">
      <c r="A27" s="131" t="n"/>
      <c r="B27" s="131" t="n"/>
      <c r="C27" s="131" t="n"/>
      <c r="D27" s="131" t="n"/>
      <c r="E27" s="131" t="n"/>
      <c r="F27" s="131" t="n"/>
      <c r="G27" s="131" t="n"/>
      <c r="H27" s="131" t="n"/>
      <c r="I27" s="131" t="n"/>
      <c r="J27" s="131" t="n"/>
      <c r="K27" s="131" t="n"/>
      <c r="L27" s="131" t="n"/>
      <c r="M27" s="131" t="n"/>
      <c r="N27" s="131" t="n"/>
      <c r="O27" s="131" t="n"/>
      <c r="P27" s="131" t="n"/>
      <c r="Q27" s="132" t="n"/>
    </row>
    <row r="28">
      <c r="A28" s="131" t="n"/>
      <c r="B28" s="131" t="n"/>
      <c r="C28" s="131" t="n"/>
      <c r="D28" s="131" t="n"/>
      <c r="E28" s="131" t="n"/>
      <c r="F28" s="131" t="n"/>
      <c r="G28" s="131" t="n"/>
      <c r="H28" s="131" t="n"/>
      <c r="I28" s="131" t="n"/>
      <c r="J28" s="131" t="n"/>
      <c r="K28" s="131" t="n"/>
      <c r="L28" s="131" t="n"/>
      <c r="M28" s="131" t="n"/>
      <c r="N28" s="131" t="n"/>
      <c r="O28" s="131" t="n"/>
      <c r="P28" s="131" t="n"/>
      <c r="Q28" s="132" t="n"/>
    </row>
    <row r="29">
      <c r="A29" s="131" t="n"/>
      <c r="B29" s="131" t="n"/>
      <c r="C29" s="131" t="n"/>
      <c r="D29" s="131" t="n"/>
      <c r="E29" s="131" t="n"/>
      <c r="F29" s="131" t="n"/>
      <c r="G29" s="131" t="n"/>
      <c r="H29" s="131" t="n"/>
      <c r="I29" s="131" t="n"/>
      <c r="J29" s="131" t="n"/>
      <c r="K29" s="131" t="n"/>
      <c r="L29" s="131" t="n"/>
      <c r="M29" s="131" t="n"/>
      <c r="N29" s="131" t="n"/>
      <c r="O29" s="131" t="n"/>
      <c r="P29" s="131" t="n"/>
      <c r="Q29" s="132" t="n"/>
    </row>
    <row r="30">
      <c r="A30" s="131" t="n"/>
      <c r="B30" s="131" t="n"/>
      <c r="C30" s="131" t="n"/>
      <c r="D30" s="131" t="n"/>
      <c r="E30" s="131" t="n"/>
      <c r="F30" s="131" t="n"/>
      <c r="G30" s="131" t="n"/>
      <c r="H30" s="131" t="n"/>
      <c r="I30" s="131" t="n"/>
      <c r="J30" s="131" t="n"/>
      <c r="K30" s="131" t="n"/>
      <c r="L30" s="131" t="n"/>
      <c r="M30" s="131" t="n"/>
      <c r="N30" s="131" t="n"/>
      <c r="O30" s="131" t="n"/>
      <c r="P30" s="131" t="n"/>
      <c r="Q30" s="132" t="n"/>
    </row>
    <row r="31">
      <c r="A31" s="131" t="n"/>
      <c r="B31" s="131" t="n"/>
      <c r="C31" s="131" t="n"/>
      <c r="D31" s="131" t="n"/>
      <c r="E31" s="131" t="n"/>
      <c r="F31" s="131" t="n"/>
      <c r="G31" s="131" t="n"/>
      <c r="H31" s="131" t="n"/>
      <c r="I31" s="131" t="n"/>
      <c r="J31" s="131" t="n"/>
      <c r="K31" s="131" t="n"/>
      <c r="L31" s="131" t="n"/>
      <c r="M31" s="131" t="n"/>
      <c r="N31" s="131" t="n"/>
      <c r="O31" s="131" t="n"/>
      <c r="P31" s="131" t="n"/>
      <c r="Q31" s="132" t="n"/>
    </row>
    <row r="32">
      <c r="A32" s="131" t="n"/>
      <c r="B32" s="131" t="n"/>
      <c r="C32" s="131" t="n"/>
      <c r="D32" s="131" t="n"/>
      <c r="E32" s="131" t="n"/>
      <c r="F32" s="131" t="n"/>
      <c r="G32" s="131" t="n"/>
      <c r="H32" s="131" t="n"/>
      <c r="I32" s="131" t="n"/>
      <c r="J32" s="131" t="n"/>
      <c r="K32" s="131" t="n"/>
      <c r="L32" s="131" t="n"/>
      <c r="M32" s="131" t="n"/>
      <c r="N32" s="131" t="n"/>
      <c r="O32" s="131" t="n"/>
      <c r="P32" s="131" t="n"/>
      <c r="Q32" s="132" t="n"/>
    </row>
    <row r="33">
      <c r="A33" s="131" t="n"/>
      <c r="B33" s="131" t="n"/>
      <c r="C33" s="131" t="n"/>
      <c r="D33" s="131" t="n"/>
      <c r="E33" s="131" t="n"/>
      <c r="F33" s="131" t="n"/>
      <c r="G33" s="131" t="n"/>
      <c r="H33" s="131" t="n"/>
      <c r="I33" s="131" t="n"/>
      <c r="J33" s="131" t="n"/>
      <c r="K33" s="131" t="n"/>
      <c r="L33" s="131" t="n"/>
      <c r="M33" s="131" t="n"/>
      <c r="N33" s="131" t="n"/>
      <c r="O33" s="131" t="n"/>
      <c r="P33" s="131" t="n"/>
      <c r="Q33" s="132" t="n"/>
    </row>
    <row r="34">
      <c r="A34" s="131" t="n"/>
      <c r="B34" s="131" t="n"/>
      <c r="C34" s="131" t="n"/>
      <c r="D34" s="131" t="n"/>
      <c r="E34" s="131" t="n"/>
      <c r="F34" s="131" t="n"/>
      <c r="G34" s="131" t="n"/>
      <c r="H34" s="131" t="n"/>
      <c r="I34" s="131" t="n"/>
      <c r="J34" s="131" t="n"/>
      <c r="K34" s="131" t="n"/>
      <c r="L34" s="131" t="n"/>
      <c r="M34" s="131" t="n"/>
      <c r="N34" s="131" t="n"/>
      <c r="O34" s="131" t="n"/>
      <c r="P34" s="131" t="n"/>
      <c r="Q34" s="132" t="n"/>
    </row>
    <row r="35">
      <c r="A35" s="131" t="n"/>
      <c r="B35" s="131" t="n"/>
      <c r="C35" s="131" t="n"/>
      <c r="D35" s="131" t="n"/>
      <c r="E35" s="131" t="n"/>
      <c r="F35" s="131" t="n"/>
      <c r="G35" s="131" t="n"/>
      <c r="H35" s="131" t="n"/>
      <c r="I35" s="131" t="n"/>
      <c r="J35" s="131" t="n"/>
      <c r="K35" s="131" t="n"/>
      <c r="L35" s="131" t="n"/>
      <c r="M35" s="131" t="n"/>
      <c r="N35" s="131" t="n"/>
      <c r="O35" s="131" t="n"/>
      <c r="P35" s="131" t="n"/>
      <c r="Q35" s="132" t="n"/>
    </row>
    <row r="36">
      <c r="A36" s="131" t="n"/>
      <c r="B36" s="131" t="n"/>
      <c r="C36" s="131" t="n"/>
      <c r="D36" s="131" t="n"/>
      <c r="E36" s="131" t="n"/>
      <c r="F36" s="131" t="n"/>
      <c r="G36" s="131" t="n"/>
      <c r="H36" s="131" t="n"/>
      <c r="I36" s="131" t="n"/>
      <c r="J36" s="131" t="n"/>
      <c r="K36" s="131" t="n"/>
      <c r="L36" s="131" t="n"/>
      <c r="M36" s="131" t="n"/>
      <c r="N36" s="131" t="n"/>
      <c r="O36" s="131" t="n"/>
      <c r="P36" s="131" t="n"/>
      <c r="Q36" s="132" t="n"/>
    </row>
    <row r="37">
      <c r="A37" s="131" t="n"/>
      <c r="B37" s="131" t="n"/>
      <c r="C37" s="131" t="n"/>
      <c r="D37" s="131" t="n"/>
      <c r="E37" s="131" t="n"/>
      <c r="F37" s="131" t="n"/>
      <c r="G37" s="131" t="n"/>
      <c r="H37" s="131" t="n"/>
      <c r="I37" s="131" t="n"/>
      <c r="J37" s="131" t="n"/>
      <c r="K37" s="131" t="n"/>
      <c r="L37" s="131" t="n"/>
      <c r="M37" s="131" t="n"/>
      <c r="N37" s="131" t="n"/>
      <c r="O37" s="131" t="n"/>
      <c r="P37" s="131" t="n"/>
      <c r="Q37" s="132" t="n"/>
    </row>
    <row r="38">
      <c r="A38" s="131" t="n"/>
      <c r="B38" s="131" t="n"/>
      <c r="C38" s="131" t="n"/>
      <c r="D38" s="131" t="n"/>
      <c r="E38" s="131" t="n"/>
      <c r="F38" s="131" t="n"/>
      <c r="G38" s="131" t="n"/>
      <c r="H38" s="131" t="n"/>
      <c r="I38" s="131" t="n"/>
      <c r="J38" s="131" t="n"/>
      <c r="K38" s="131" t="n"/>
      <c r="L38" s="131" t="n"/>
      <c r="M38" s="131" t="n"/>
      <c r="N38" s="131" t="n"/>
      <c r="O38" s="131" t="n"/>
      <c r="P38" s="131" t="n"/>
      <c r="Q38" s="132" t="n"/>
    </row>
    <row r="39">
      <c r="A39" s="131" t="n"/>
      <c r="B39" s="131" t="n"/>
      <c r="C39" s="131" t="n"/>
      <c r="D39" s="131" t="n"/>
      <c r="E39" s="131" t="n"/>
      <c r="F39" s="131" t="n"/>
      <c r="G39" s="131" t="n"/>
      <c r="H39" s="131" t="n"/>
      <c r="I39" s="131" t="n"/>
      <c r="J39" s="131" t="n"/>
      <c r="K39" s="131" t="n"/>
      <c r="L39" s="131" t="n"/>
      <c r="M39" s="131" t="n"/>
      <c r="N39" s="131" t="n"/>
      <c r="O39" s="131" t="n"/>
      <c r="P39" s="131" t="n"/>
      <c r="Q39" s="132" t="n"/>
    </row>
    <row r="40">
      <c r="A40" s="131" t="n"/>
      <c r="B40" s="131" t="n"/>
      <c r="C40" s="131" t="n"/>
      <c r="D40" s="131" t="n"/>
      <c r="E40" s="131" t="n"/>
      <c r="F40" s="131" t="n"/>
      <c r="G40" s="131" t="n"/>
      <c r="H40" s="131" t="n"/>
      <c r="I40" s="131" t="n"/>
      <c r="J40" s="131" t="n"/>
      <c r="K40" s="131" t="n"/>
      <c r="L40" s="131" t="n"/>
      <c r="M40" s="131" t="n"/>
      <c r="N40" s="131" t="n"/>
      <c r="O40" s="131" t="n"/>
      <c r="P40" s="131" t="n"/>
      <c r="Q40" s="132" t="n"/>
    </row>
    <row r="41">
      <c r="A41" s="131" t="n"/>
      <c r="B41" s="131" t="n"/>
      <c r="C41" s="131" t="n"/>
      <c r="D41" s="131" t="n"/>
      <c r="E41" s="131" t="n"/>
      <c r="F41" s="131" t="n"/>
      <c r="G41" s="131" t="n"/>
      <c r="H41" s="131" t="n"/>
      <c r="I41" s="131" t="n"/>
      <c r="J41" s="131" t="n"/>
      <c r="K41" s="131" t="n"/>
      <c r="L41" s="131" t="n"/>
      <c r="M41" s="131" t="n"/>
      <c r="N41" s="131" t="n"/>
      <c r="O41" s="131" t="n"/>
      <c r="P41" s="131" t="n"/>
      <c r="Q41" s="132" t="n"/>
    </row>
    <row r="42">
      <c r="A42" s="131" t="n"/>
      <c r="B42" s="131" t="n"/>
      <c r="C42" s="131" t="n"/>
      <c r="D42" s="131" t="n"/>
      <c r="E42" s="131" t="n"/>
      <c r="F42" s="131" t="n"/>
      <c r="G42" s="131" t="n"/>
      <c r="H42" s="131" t="n"/>
      <c r="I42" s="131" t="n"/>
      <c r="J42" s="131" t="n"/>
      <c r="K42" s="131" t="n"/>
      <c r="L42" s="131" t="n"/>
      <c r="M42" s="131" t="n"/>
      <c r="N42" s="131" t="n"/>
      <c r="O42" s="131" t="n"/>
      <c r="P42" s="131" t="n"/>
      <c r="Q42" s="132" t="n"/>
    </row>
    <row r="43">
      <c r="A43" s="131" t="n"/>
      <c r="B43" s="131" t="n"/>
      <c r="C43" s="131" t="n"/>
      <c r="D43" s="131" t="n"/>
      <c r="E43" s="131" t="n"/>
      <c r="F43" s="131" t="n"/>
      <c r="G43" s="131" t="n"/>
      <c r="H43" s="131" t="n"/>
      <c r="I43" s="131" t="n"/>
      <c r="J43" s="131" t="n"/>
      <c r="K43" s="131" t="n"/>
      <c r="L43" s="131" t="n"/>
      <c r="M43" s="131" t="n"/>
      <c r="N43" s="131" t="n"/>
      <c r="O43" s="131" t="n"/>
      <c r="P43" s="131" t="n"/>
      <c r="Q43" s="132" t="n"/>
    </row>
    <row r="44">
      <c r="A44" s="131" t="n"/>
      <c r="B44" s="131" t="n"/>
      <c r="C44" s="131" t="n"/>
      <c r="D44" s="131" t="n"/>
      <c r="E44" s="131" t="n"/>
      <c r="F44" s="131" t="n"/>
      <c r="G44" s="131" t="n"/>
      <c r="H44" s="131" t="n"/>
      <c r="I44" s="131" t="n"/>
      <c r="J44" s="131" t="n"/>
      <c r="K44" s="131" t="n"/>
      <c r="L44" s="131" t="n"/>
      <c r="M44" s="131" t="n"/>
      <c r="N44" s="131" t="n"/>
      <c r="O44" s="131" t="n"/>
      <c r="P44" s="131" t="n"/>
      <c r="Q44" s="132" t="n"/>
    </row>
    <row r="45">
      <c r="A45" s="133" t="n"/>
      <c r="B45" s="134" t="n"/>
      <c r="C45" s="135" t="n"/>
      <c r="D45" s="134" t="n"/>
      <c r="E45" s="134" t="n"/>
      <c r="F45" s="134" t="n"/>
      <c r="G45" s="135" t="n"/>
      <c r="H45" s="134" t="n"/>
      <c r="I45" s="134" t="n"/>
      <c r="J45" s="134" t="n"/>
      <c r="K45" s="134" t="n"/>
      <c r="L45" s="135" t="n"/>
      <c r="M45" s="134" t="n"/>
      <c r="N45" s="134" t="n"/>
      <c r="O45" s="135" t="n"/>
      <c r="P45" s="135" t="n"/>
      <c r="Q45" s="136" t="n"/>
    </row>
    <row r="46">
      <c r="A46" s="133" t="n"/>
      <c r="B46" s="134" t="n"/>
      <c r="C46" s="135" t="n"/>
      <c r="D46" s="134" t="n"/>
      <c r="E46" s="134" t="n"/>
      <c r="F46" s="134" t="n"/>
      <c r="G46" s="135" t="n"/>
      <c r="H46" s="134" t="n"/>
      <c r="I46" s="134" t="n"/>
      <c r="J46" s="134" t="n"/>
      <c r="K46" s="134" t="n"/>
      <c r="L46" s="135" t="n"/>
      <c r="M46" s="134" t="n"/>
      <c r="N46" s="134" t="n"/>
      <c r="O46" s="135" t="n"/>
      <c r="P46" s="135" t="n"/>
      <c r="Q46" s="136" t="n"/>
    </row>
    <row r="47">
      <c r="A47" s="133" t="n"/>
      <c r="B47" s="134" t="n"/>
      <c r="C47" s="135" t="n"/>
      <c r="D47" s="134" t="n"/>
      <c r="E47" s="134" t="n"/>
      <c r="F47" s="134" t="n"/>
      <c r="G47" s="135" t="n"/>
      <c r="H47" s="134" t="n"/>
      <c r="I47" s="134" t="n"/>
      <c r="J47" s="134" t="n"/>
      <c r="K47" s="134" t="n"/>
      <c r="L47" s="135" t="n"/>
      <c r="M47" s="134" t="n"/>
      <c r="N47" s="134" t="n"/>
      <c r="O47" s="135" t="n"/>
      <c r="P47" s="135" t="n"/>
      <c r="Q47" s="136" t="n"/>
    </row>
    <row r="48">
      <c r="A48" s="133" t="n"/>
      <c r="B48" s="134" t="n"/>
      <c r="C48" s="135" t="n"/>
      <c r="D48" s="134" t="n"/>
      <c r="E48" s="134" t="n"/>
      <c r="F48" s="134" t="n"/>
      <c r="G48" s="135" t="n"/>
      <c r="H48" s="134" t="n"/>
      <c r="I48" s="134" t="n"/>
      <c r="J48" s="134" t="n"/>
      <c r="K48" s="134" t="n"/>
      <c r="L48" s="135" t="n"/>
      <c r="M48" s="134" t="n"/>
      <c r="N48" s="134" t="n"/>
      <c r="O48" s="135" t="n"/>
      <c r="P48" s="135" t="n"/>
      <c r="Q48" s="136" t="n"/>
    </row>
  </sheetData>
  <autoFilter ref="A4:Q48"/>
  <mergeCells count="5">
    <mergeCell ref="T7:U7"/>
    <mergeCell ref="A1:P1"/>
    <mergeCell ref="T1:U1"/>
    <mergeCell ref="A3:P3"/>
    <mergeCell ref="A2:P2"/>
  </mergeCells>
  <dataValidations count="1">
    <dataValidation sqref="K5:K8" showDropDown="0" showInputMessage="0" showErrorMessage="0" allowBlank="1" type="list">
      <formula1>='فهرست‌ها'!$A$2:$A$7</formula1>
    </dataValidation>
  </dataValidations>
  <hyperlinks>
    <hyperlink ref="D6" location="'برنامه تست'!A5"/>
    <hyperlink ref="E6" location="'برنامه تست'!A5"/>
  </hyperlinks>
  <printOptions horizontalCentered="1"/>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4"/>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6" t="inlineStr">
        <is>
          <t>تست‌های آزمایشگاهی (پایه، اسیلوسکوپ و زمان‌بندی دقیق — جدا از تست عملی)</t>
        </is>
      </c>
      <c r="B1" s="82" t="n"/>
      <c r="C1" s="82" t="n"/>
      <c r="D1" s="82" t="n"/>
      <c r="E1" s="82" t="n"/>
      <c r="F1" s="82" t="n"/>
      <c r="G1" s="82" t="n"/>
      <c r="H1" s="82" t="n"/>
      <c r="I1" s="82" t="n"/>
      <c r="J1" s="82" t="n"/>
      <c r="K1" s="82" t="n"/>
      <c r="L1" s="82" t="n"/>
      <c r="M1" s="82" t="n"/>
      <c r="N1" s="82" t="n"/>
      <c r="O1" s="82" t="n"/>
      <c r="P1" s="82" t="n"/>
      <c r="Q1" s="82" t="n"/>
    </row>
    <row r="2" ht="42" customHeight="1">
      <c r="A2" s="109"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2" t="n"/>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معیار قبولی</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row>
    <row r="5" ht="54" customHeight="1">
      <c r="A5" s="99" t="inlineStr">
        <is>
          <t>CO-001</t>
        </is>
      </c>
      <c r="B5" s="104" t="inlineStr">
        <is>
          <t>Snapshot نامعتبر / حفظ</t>
        </is>
      </c>
      <c r="C5" s="114" t="inlineStr">
        <is>
          <t>بالا</t>
        </is>
      </c>
      <c r="D5" s="104" t="inlineStr">
        <is>
          <t>Init → BOOT, PB11 High-safe</t>
        </is>
      </c>
      <c r="E5" s="104" t="inlineStr">
        <is>
          <t>گام ۱: برد را بوت کن و بگذار به وضعیت اولیه (BOOT) برسد. PB11 باید High و امن باشد.
گام ۲: یک دادهٔ نامعتبر اعمال کن: valid=false ولی v_bat=24000 و input=false و fault=0.
گام ۳: 500 میلی‌ثانیه صبر کن. بعد وضعیت (state) و پایهٔ PB11 را بخوان.
گام ۴: وضعیت قبلی و PB11 باید بدون هیچ تغییری مانده باشند.
گام ۵: اگر وضعیت به FAULT یا IDLE رفت یا PB11 تغییر کرد، تست رد است.</t>
        </is>
      </c>
      <c r="F5" s="105" t="inlineStr">
        <is>
          <t>valid=false, v=24000, input=false, flag false, fault0</t>
        </is>
      </c>
      <c r="G5" s="105" t="inlineStr">
        <is>
          <t>500ms</t>
        </is>
      </c>
      <c r="H5" s="104" t="inlineStr">
        <is>
          <t>state حفظ شود: «state فعلی حفظ شود» (BOOT/BATTERY/INPUT/SAFE قبلی) و PB11 حفظ (High-safe). PASS: state و PB11 بدون تغییر. FAIL: هر تغییر به FAULT یا IDLE یا تغییر PB11.</t>
        </is>
      </c>
      <c r="I5" s="104" t="inlineStr">
        <is>
          <t>PASS: state فعلی حفظ. FAIL: تغییر خودبه‌خود.</t>
        </is>
      </c>
      <c r="J5" s="104" t="n"/>
      <c r="K5" s="112" t="inlineStr">
        <is>
          <t>در انتظار</t>
        </is>
      </c>
      <c r="L5" s="113" t="n"/>
      <c r="M5" s="100" t="n"/>
      <c r="N5" s="104" t="inlineStr">
        <is>
          <t>c6b084f28f2c507cfd342e5dbd0dbd8e45686772</t>
        </is>
      </c>
      <c r="O5" s="101" t="n"/>
      <c r="P5" s="101" t="n"/>
      <c r="Q5" s="107">
        <f>IF(OR(L5="",L5="در انتظار"),"",IF(Q5="",TODAY(),Q5))</f>
        <v/>
      </c>
    </row>
    <row r="6" ht="67.5" customHeight="1">
      <c r="A6" s="99" t="inlineStr">
        <is>
          <t>CO-002</t>
        </is>
      </c>
      <c r="B6" s="143" t="inlineStr">
        <is>
          <t>Snapshot نامعتبر / تایمر reset</t>
        </is>
      </c>
      <c r="C6" s="147" t="inlineStr">
        <is>
          <t>بالا</t>
        </is>
      </c>
      <c r="D6" s="143" t="inlineStr">
        <is>
          <t>BATTERY با شرط قطع نیمه‌کاره</t>
        </is>
      </c>
      <c r="E6" s="143" t="inlineStr">
        <is>
          <t>گام ۱: برد در وضعیت BATTERY باشد.
گام ۲: دو ثانیه شرط قطع را اعمال کن: دادهٔ معتبر با v=20900 و flag=true.
گام ۳: یک دادهٔ نامعتبر بده (valid=false) و 1 ثانیه نگه دار.
گام ۴: دوباره دو ثانیه شرط قطع را اعمال کن و PB11 را زیر نظر بگیر.
گام ۵: PB11 نباید قطع شود. آن یک ثانیهٔ نامعتبر، تایمر ۳ ثانیه‌ای را از نو شروع می‌کند.
گام ۶: پس در هیچ‌کدام از دو بازهٔ ۲ ثانیه‌ای نباید قطع اتفاق بیفتد. قطع زود یعنی رد تست.</t>
        </is>
      </c>
      <c r="F6" s="144" t="inlineStr">
        <is>
          <t>valid true 2s → false 1s → true 2s, v20900 flag true</t>
        </is>
      </c>
      <c r="G6" s="144" t="inlineStr">
        <is>
          <t>2+1+2s</t>
        </is>
      </c>
      <c r="H6" s="143" t="inlineStr">
        <is>
          <t>PB11 بعد از ۲ ثانیهٔ اول نباید قطع شود.
بعد از ۱ ثانیه دادهٔ نامعتبر، تایمر از نو شروع می‌شود. پس در ۲ ثانیهٔ بعدی هم نباید قطع شود؛ ۳ ثانیهٔ پیوسته لازم است.
قبول: دادهٔ نامعتبر تایمر را از نو شروع کند.
رد: قطع زود در ۲ ثانیه.</t>
        </is>
      </c>
      <c r="I6" s="143" t="inlineStr">
        <is>
          <t>PASS: reset پس از invalid. FAIL: قطع زود.</t>
        </is>
      </c>
      <c r="J6" s="104" t="n"/>
      <c r="K6" s="143" t="inlineStr">
        <is>
          <t>در انتظار</t>
        </is>
      </c>
      <c r="L6" s="115" t="n"/>
      <c r="M6" s="104" t="n"/>
      <c r="N6" s="143" t="inlineStr">
        <is>
          <t>c6b084f28f2c507cfd342e5dbd0dbd8e45686772</t>
        </is>
      </c>
      <c r="O6" s="105" t="n"/>
      <c r="P6" s="105" t="n"/>
      <c r="Q6" s="148">
        <f>IF(OR(L6="",L6="در انتظار"),"",IF(Q6="",TODAY(),Q6))</f>
        <v/>
      </c>
    </row>
    <row r="7" ht="54" customHeight="1">
      <c r="A7" s="99" t="inlineStr">
        <is>
          <t>CO-003</t>
        </is>
      </c>
      <c r="B7" s="104" t="inlineStr">
        <is>
          <t>Snapshot نامعتبر + Fault</t>
        </is>
      </c>
      <c r="C7" s="114" t="inlineStr">
        <is>
          <t>بالا</t>
        </is>
      </c>
      <c r="D7" s="104" t="inlineStr">
        <is>
          <t>BATTERY</t>
        </is>
      </c>
      <c r="E7" s="104" t="inlineStr">
        <is>
          <t>گام ۱: برد در وضعیت BATTERY باشد.
گام ۲: snapshot نامعتبر با fault=FAULT_ADC (مقدار 1) و v=25000 اعمال کن.
گام ۳: 500 میلی‌ثانیه صبر کن.
گام ۴: وضعیت نباید FAULT شود و PB11 نباید تغییر کند؛ fault همراه snapshot نامعتبر شمرده نمی‌شود و تایمر قطع هم reset می‌شود.</t>
        </is>
      </c>
      <c r="F7" s="105" t="inlineStr">
        <is>
          <t>valid=false, fault=1 (ADC), v25000</t>
        </is>
      </c>
      <c r="G7" s="105" t="inlineStr">
        <is>
          <t>500ms</t>
        </is>
      </c>
      <c r="H7" s="104" t="inlineStr">
        <is>
          <t>state حفظ شود (نه FAULT)، PB11 حفظ، تایمر reset. PASS: fault همراه invalid نباید FAULT شود. FAIL: FAULT شدن.</t>
        </is>
      </c>
      <c r="I7" s="104" t="inlineStr">
        <is>
          <t>PASS: حفظ state قبلی. FAIL: FAULT.</t>
        </is>
      </c>
      <c r="J7" s="104" t="n"/>
      <c r="K7" s="112" t="inlineStr">
        <is>
          <t>در انتظار</t>
        </is>
      </c>
      <c r="L7" s="113" t="n"/>
      <c r="M7" s="100" t="n"/>
      <c r="N7" s="104" t="inlineStr">
        <is>
          <t>c6b084f28f2c507cfd342e5dbd0dbd8e45686772</t>
        </is>
      </c>
      <c r="O7" s="101" t="n"/>
      <c r="P7" s="101" t="n"/>
      <c r="Q7" s="107">
        <f>IF(OR(L7="",L7="در انتظار"),"",IF(Q7="",TODAY(),Q7))</f>
        <v/>
      </c>
    </row>
    <row r="8" ht="54" customHeight="1">
      <c r="A8" s="99" t="inlineStr">
        <is>
          <t>CO-004</t>
        </is>
      </c>
      <c r="B8" s="143" t="inlineStr">
        <is>
          <t>Fault با snapshot معتبر</t>
        </is>
      </c>
      <c r="C8" s="147" t="inlineStr">
        <is>
          <t>بالا</t>
        </is>
      </c>
      <c r="D8" s="143" t="inlineStr">
        <is>
          <t>INPUT/BATTERY</t>
        </is>
      </c>
      <c r="E8" s="143" t="inlineStr">
        <is>
          <t>گام ۱: برد در وضعیت INPUT یا BATTERY باشد.
گام ۲: snapshot معتبر با v=24000، input=true و fault=FAULT_ADC (مقدار 1) اعمال کن.
گام ۳: 500 میلی‌ثانیه صبر کن.
گام ۴: وضعیت باید FAULT شود ولی PB11 دقیقاً همان قبلی بماند (از High به Low نرود) و تایمر قطع reset شود.</t>
        </is>
      </c>
      <c r="F8" s="144" t="inlineStr">
        <is>
          <t>valid=true, v24000, input true, fault 1</t>
        </is>
      </c>
      <c r="G8" s="144" t="inlineStr">
        <is>
          <t>500ms</t>
        </is>
      </c>
      <c r="H8" s="143" t="inlineStr">
        <is>
          <t>state=FAULT، PB11 حفظ (بدون تغییر High→Low)، تایمر reset. PASS: FAULT بدون تغییر PB11. FAIL: تغییر PB11 یا ماندن در INPUT.</t>
        </is>
      </c>
      <c r="I8" s="143" t="inlineStr">
        <is>
          <t>PASS: FAULT و PB11 حفظ. FAIL: تغییر PB11.</t>
        </is>
      </c>
      <c r="J8" s="104" t="n"/>
      <c r="K8" s="143" t="inlineStr">
        <is>
          <t>در انتظار</t>
        </is>
      </c>
      <c r="L8" s="115" t="n"/>
      <c r="M8" s="104" t="n"/>
      <c r="N8" s="143" t="inlineStr">
        <is>
          <t>c6b084f28f2c507cfd342e5dbd0dbd8e45686772</t>
        </is>
      </c>
      <c r="O8" s="105" t="n"/>
      <c r="P8" s="105" t="n"/>
      <c r="Q8" s="148">
        <f>IF(OR(L8="",L8="در انتظار"),"",IF(Q8="",TODAY(),Q8))</f>
        <v/>
      </c>
    </row>
    <row r="9" ht="54" customHeight="1">
      <c r="A9" s="99" t="inlineStr">
        <is>
          <t>CO-005</t>
        </is>
      </c>
      <c r="B9" s="104" t="inlineStr">
        <is>
          <t>Fault چند بیتی</t>
        </is>
      </c>
      <c r="C9" s="105" t="inlineStr">
        <is>
          <t>متوسط</t>
        </is>
      </c>
      <c r="D9" s="104" t="inlineStr">
        <is>
          <t>FAULT قبلی</t>
        </is>
      </c>
      <c r="E9" s="104" t="inlineStr">
        <is>
          <t>گام ۱: برد از قبل در وضعیت FAULT باشد.
گام ۲: snapshot معتبر با fault برابر 63 (همهٔ بیت‌های خطا با هم) اعمال کن.
گام ۳: 500 میلی‌ثانیه صبر کن و هر سه پایهٔ PB11 و PB5 و PB7 را چک کن.
گام ۴: وضعیت باید FAULT بماند و هیچ‌کدام از سه پایه نباید تغییر کرده باشند.</t>
        </is>
      </c>
      <c r="F9" s="105" t="inlineStr">
        <is>
          <t>valid true, fault ALL</t>
        </is>
      </c>
      <c r="G9" s="105" t="inlineStr">
        <is>
          <t>500ms</t>
        </is>
      </c>
      <c r="H9" s="104" t="inlineStr">
        <is>
          <t>state=FAULT، هیچ pin (PB11/PB5/PB7) تغییر نکند. PASS: همه fault‌ها → FAULT بدون pin. FAIL: هر تغییر pin.</t>
        </is>
      </c>
      <c r="I9" s="104" t="inlineStr">
        <is>
          <t>PASS: همه fault → FAULT no pin. FAIL: pin change.</t>
        </is>
      </c>
      <c r="J9" s="104" t="n"/>
      <c r="K9" s="112" t="inlineStr">
        <is>
          <t>در انتظار</t>
        </is>
      </c>
      <c r="L9" s="113" t="n"/>
      <c r="M9" s="100" t="n"/>
      <c r="N9" s="104" t="inlineStr">
        <is>
          <t>c6b084f28f2c507cfd342e5dbd0dbd8e45686772</t>
        </is>
      </c>
      <c r="O9" s="101" t="n"/>
      <c r="P9" s="101" t="n"/>
      <c r="Q9" s="107">
        <f>IF(OR(L9="",L9="در انتظار"),"",IF(Q9="",TODAY(),Q9))</f>
        <v/>
      </c>
    </row>
    <row r="10" ht="54" customHeight="1">
      <c r="A10" s="99" t="inlineStr">
        <is>
          <t>CO-006</t>
        </is>
      </c>
      <c r="B10" s="143" t="inlineStr">
        <is>
          <t>ورودی قطع → BATTERY</t>
        </is>
      </c>
      <c r="C10" s="147" t="inlineStr">
        <is>
          <t>بالا</t>
        </is>
      </c>
      <c r="D10" s="143" t="inlineStr">
        <is>
          <t>BOOT با snapshot معتبر</t>
        </is>
      </c>
      <c r="E10" s="143" t="inlineStr">
        <is>
          <t>گام ۱: برد در BOOT با snapshot معتبر باشد.
گام ۲: snapshot معتبر با v=24000، input=false (یعنی Vin حداکثر 20 ولت) و fault=0 اعمال کن.
گام ۳: 500 میلی‌ثانیه صبر کن.
گام ۴: وضعیت باید BATTERY شود و PB11 باید High و امن (متصل) باشد؛ رفتن به INPUT یا SAFE یا FAULT یعنی رد تست.</t>
        </is>
      </c>
      <c r="F10" s="144" t="inlineStr">
        <is>
          <t>valid true, v24000, input false</t>
        </is>
      </c>
      <c r="G10" s="144" t="inlineStr">
        <is>
          <t>500ms</t>
        </is>
      </c>
      <c r="H10" s="143" t="inlineStr">
        <is>
          <t>state=BATTERY, PB11 High-safe (متصل). PASS: BATTERY. FAIL: INPUT یا SAFE یا FAULT.</t>
        </is>
      </c>
      <c r="I10" s="143" t="inlineStr">
        <is>
          <t>PASS: BATTERY. FAIL: otherwise.</t>
        </is>
      </c>
      <c r="J10" s="104" t="n"/>
      <c r="K10" s="143" t="inlineStr">
        <is>
          <t>در انتظار</t>
        </is>
      </c>
      <c r="L10" s="115" t="n"/>
      <c r="M10" s="104" t="n"/>
      <c r="N10" s="143" t="inlineStr">
        <is>
          <t>c6b084f28f2c507cfd342e5dbd0dbd8e45686772</t>
        </is>
      </c>
      <c r="O10" s="105" t="n"/>
      <c r="P10" s="105" t="n"/>
      <c r="Q10" s="148">
        <f>IF(OR(L10="",L10="در انتظار"),"",IF(Q10="",TODAY(),Q10))</f>
        <v/>
      </c>
    </row>
    <row r="11" ht="54" customHeight="1">
      <c r="A11" s="99" t="inlineStr">
        <is>
          <t>CO-007</t>
        </is>
      </c>
      <c r="B11" s="104" t="inlineStr">
        <is>
          <t>ورودی حاضر → INPUT</t>
        </is>
      </c>
      <c r="C11" s="114" t="inlineStr">
        <is>
          <t>بالا</t>
        </is>
      </c>
      <c r="D11" s="104" t="inlineStr">
        <is>
          <t>BOOT/BATTERY</t>
        </is>
      </c>
      <c r="E11" s="104" t="inlineStr">
        <is>
          <t>گام ۱: برد در BOOT یا BATTERY باشد.
گام ۲: snapshot معتبر با v=24000، input=true (یعنی Vin دست‌کم 21 ولت) و fault=0 اعمال کن.
گام ۳: 500 میلی‌ثانیه صبر کن.
گام ۴: وضعیت باید INPUT شود و PB11 High و امن بماند.</t>
        </is>
      </c>
      <c r="F11" s="105" t="inlineStr">
        <is>
          <t>valid true, v24000, input true</t>
        </is>
      </c>
      <c r="G11" s="105" t="inlineStr">
        <is>
          <t>500ms</t>
        </is>
      </c>
      <c r="H11" s="104" t="inlineStr">
        <is>
          <t>state=INPUT, PB11 High-safe. PASS: INPUT. FAIL: BATTERY یا SAFE.</t>
        </is>
      </c>
      <c r="I11" s="104" t="inlineStr">
        <is>
          <t>PASS: INPUT. FAIL: otherwise.</t>
        </is>
      </c>
      <c r="J11" s="104" t="n"/>
      <c r="K11" s="112" t="inlineStr">
        <is>
          <t>در انتظار</t>
        </is>
      </c>
      <c r="L11" s="113" t="n"/>
      <c r="M11" s="100" t="n"/>
      <c r="N11" s="104" t="inlineStr">
        <is>
          <t>c6b084f28f2c507cfd342e5dbd0dbd8e45686772</t>
        </is>
      </c>
      <c r="O11" s="101" t="n"/>
      <c r="P11" s="101" t="n"/>
      <c r="Q11" s="107">
        <f>IF(OR(L11="",L11="در انتظار"),"",IF(Q11="",TODAY(),Q11))</f>
        <v/>
      </c>
    </row>
    <row r="12" ht="54" customHeight="1">
      <c r="A12" s="99" t="inlineStr">
        <is>
          <t>CO-008</t>
        </is>
      </c>
      <c r="B12" s="143" t="inlineStr">
        <is>
          <t>قطع با گیت / 21000 + flag</t>
        </is>
      </c>
      <c r="C12" s="147" t="inlineStr">
        <is>
          <t>بالا</t>
        </is>
      </c>
      <c r="D12" s="143" t="inlineStr">
        <is>
          <t>BATTERY/INPUT, PB11 High</t>
        </is>
      </c>
      <c r="E12" s="143" t="inlineStr">
        <is>
          <t>گام ۱: برد در BATTERY یا INPUT و PB11 وصل (High) باشد.
گام ۲: دادهٔ معتبر بده: v=20900 (کمتر از 21000)، flag=true و input=false.
گام ۳: این شرط را 3500 میلی‌ثانیه پشت سر هم نگه دار و ساعت بگیر.
گام ۴: در 2500 میلی‌ثانیهٔ اول باید هنوز BATTERY/INPUT باشد و PB11 وصل بماند.
گام ۵: فقط بعد از 3000 میلی‌ثانیهٔ پیوسته باید PB11 قطع (Low) شود و وضعیت امن (SAFE) شود.
گام ۶: قطع زودتر یا قطع‌نشدن یعنی رد تست.</t>
        </is>
      </c>
      <c r="F12" s="144" t="inlineStr">
        <is>
          <t>v20900 (&lt;21000) flag true</t>
        </is>
      </c>
      <c r="G12" s="144" t="inlineStr">
        <is>
          <t>3500ms (≥3000)</t>
        </is>
      </c>
      <c r="H12" s="143" t="inlineStr">
        <is>
          <t>پس از 2500ms هنوز BATTERY/INPUT و PB11 High؛ پس از 3000ms PB11 Low (قطع) و state=SAFE. PASS: قطع فقط پس از 3000ms پیوسته. FAIL: قطع زود یا عدم قطع.</t>
        </is>
      </c>
      <c r="I12" s="143" t="inlineStr">
        <is>
          <t>PASS: 2500 still no cut, 3000 SAFE. FAIL: early or no cut.</t>
        </is>
      </c>
      <c r="J12" s="104" t="n"/>
      <c r="K12" s="143" t="inlineStr">
        <is>
          <t>در انتظار</t>
        </is>
      </c>
      <c r="L12" s="115" t="n"/>
      <c r="M12" s="104" t="n"/>
      <c r="N12" s="143" t="inlineStr">
        <is>
          <t>c6b084f28f2c507cfd342e5dbd0dbd8e45686772</t>
        </is>
      </c>
      <c r="O12" s="105" t="n"/>
      <c r="P12" s="105" t="n"/>
      <c r="Q12" s="148">
        <f>IF(OR(L12="",L12="در انتظار"),"",IF(Q12="",TODAY(),Q12))</f>
        <v/>
      </c>
    </row>
    <row r="13" ht="54" customHeight="1">
      <c r="A13" s="99" t="inlineStr">
        <is>
          <t>CO-009</t>
        </is>
      </c>
      <c r="B13" s="104" t="inlineStr">
        <is>
          <t>قطع مستقل / 20800</t>
        </is>
      </c>
      <c r="C13" s="114" t="inlineStr">
        <is>
          <t>بالا</t>
        </is>
      </c>
      <c r="D13" s="104" t="inlineStr">
        <is>
          <t>BATTERY, flag false</t>
        </is>
      </c>
      <c r="E13" s="104" t="inlineStr">
        <is>
          <t>گام ۱: برد در BATTERY و flag=false باشد.
گام ۲: دادهٔ معتبر بده: v=20700 (کمتر از 20800)، flag=false و input=false.
گام ۳: 3500 میلی‌ثانیه پشت سر هم نگه دار.
گام ۴: بعد از 3000 میلی‌ثانیه باید وضعیت امن (SAFE) شود و PB11 قطع شود.
گام ۵: این قطع به فلگ ربطی ندارد؛ با flag=false هم باید اتفاق بیفتد.</t>
        </is>
      </c>
      <c r="F13" s="105" t="inlineStr">
        <is>
          <t>v20700 (&lt;20800) flag false</t>
        </is>
      </c>
      <c r="G13" s="105" t="inlineStr">
        <is>
          <t>3500ms</t>
        </is>
      </c>
      <c r="H13" s="104" t="inlineStr">
        <is>
          <t>پس از 3000ms SAFE با PB11 Low مستقل از flag. PASS: مستقل cuts. FAIL: عدم قطع به علت flag false.</t>
        </is>
      </c>
      <c r="I13" s="104" t="inlineStr">
        <is>
          <t>PASS: independent cut. FAIL: no cut due flag.</t>
        </is>
      </c>
      <c r="J13" s="104" t="n"/>
      <c r="K13" s="112" t="inlineStr">
        <is>
          <t>در انتظار</t>
        </is>
      </c>
      <c r="L13" s="113" t="n"/>
      <c r="M13" s="100" t="n"/>
      <c r="N13" s="104" t="inlineStr">
        <is>
          <t>c6b084f28f2c507cfd342e5dbd0dbd8e45686772</t>
        </is>
      </c>
      <c r="O13" s="101" t="n"/>
      <c r="P13" s="101" t="n"/>
      <c r="Q13" s="107">
        <f>IF(OR(L13="",L13="در انتظار"),"",IF(Q13="",TODAY(),Q13))</f>
        <v/>
      </c>
    </row>
    <row r="14" ht="54" customHeight="1">
      <c r="A14" s="99" t="inlineStr">
        <is>
          <t>CO-010</t>
        </is>
      </c>
      <c r="B14" s="143" t="inlineStr">
        <is>
          <t>مرز دقیق 21000 نباید cut</t>
        </is>
      </c>
      <c r="C14" s="147" t="inlineStr">
        <is>
          <t>بالا</t>
        </is>
      </c>
      <c r="D14" s="143" t="inlineStr">
        <is>
          <t>BATTERY</t>
        </is>
      </c>
      <c r="E14" s="143" t="inlineStr">
        <is>
          <t>گام ۱: برد در BATTERY باشد.
گام ۲: دادهٔ معتبر بده: v دقیقاً 21000 (روی مرز)، flag=true و input=true (Vin=24 ولت).
گام ۳: 3500 میلی‌ثانیه پایدار نگه دار.
گام ۴: هیچ قطعی نباید رخ دهد. شرط قطع «کمتر از 21000» است، نه «کمتر یا مساوی».
گام ۵: وضعیت باید «ورودی» (INPUT) شده باشد، چون ورودی حاضر است. PB11 باید High و امن بماند.</t>
        </is>
      </c>
      <c r="F14" s="144" t="inlineStr">
        <is>
          <t>valid=true, v=21000 (دقیق) flag=true, input=true (Vin≥21V)</t>
        </is>
      </c>
      <c r="G14" s="144" t="inlineStr">
        <is>
          <t>3500ms</t>
        </is>
      </c>
      <c r="H14" s="143" t="inlineStr">
        <is>
          <t>هیچ قطع رخ ندهد، state=INPUT (چون input_present=true و بدون cut) و PB11 High-safe بماند. PASS: با input حاضر، بدون قطع باید INPUT باشد، نه BATTERY یا SAFE. FAIL: BATTERY/SAFE یا تغییر PB11.</t>
        </is>
      </c>
      <c r="I14" s="143" t="inlineStr">
        <is>
          <t>PASS: با v=21000 و input true، state=INPUT و PB11 High. FAIL: هر cut یا BATTERY.</t>
        </is>
      </c>
      <c r="J14" s="104" t="n"/>
      <c r="K14" s="143" t="inlineStr">
        <is>
          <t>در انتظار</t>
        </is>
      </c>
      <c r="L14" s="115" t="n"/>
      <c r="M14" s="104" t="n"/>
      <c r="N14" s="143" t="inlineStr">
        <is>
          <t>c6b084f28f2c507cfd342e5dbd0dbd8e45686772</t>
        </is>
      </c>
      <c r="O14" s="105" t="n"/>
      <c r="P14" s="105" t="n"/>
      <c r="Q14" s="148">
        <f>IF(OR(L14="",L14="در انتظار"),"",IF(Q14="",TODAY(),Q14))</f>
        <v/>
      </c>
    </row>
    <row r="15" ht="54" customHeight="1">
      <c r="A15" s="99" t="inlineStr">
        <is>
          <t>CO-011</t>
        </is>
      </c>
      <c r="B15" s="104" t="inlineStr">
        <is>
          <t>مرز دقیق 20800 نباید cut</t>
        </is>
      </c>
      <c r="C15" s="114" t="inlineStr">
        <is>
          <t>بالا</t>
        </is>
      </c>
      <c r="D15" s="104" t="inlineStr">
        <is>
          <t>BATTERY</t>
        </is>
      </c>
      <c r="E15" s="104" t="inlineStr">
        <is>
          <t>گام ۱: برد در BATTERY باشد.
گام ۲: snapshot معتبر با v دقیقاً 20800 و flag=false اعمال کن.
گام ۳: 3500 میلی‌ثانیه نگه دار.
گام ۴: هیچ قطعی نباید رخ دهد؛ قطع فقط برای «کمتر از 20800» است و روی خودِ مرز 20800 نباید اتفاق بیفتد.</t>
        </is>
      </c>
      <c r="F15" s="105" t="inlineStr">
        <is>
          <t>v=20800 flag false</t>
        </is>
      </c>
      <c r="G15" s="105" t="inlineStr">
        <is>
          <t>3500ms</t>
        </is>
      </c>
      <c r="H15" s="104" t="inlineStr">
        <is>
          <t>هیچ قطع نشود. PASS: need &lt;20800. FAIL: cut at exact.</t>
        </is>
      </c>
      <c r="I15" s="104" t="inlineStr">
        <is>
          <t>PASS: 20800 no independent cut. FAIL: cut.</t>
        </is>
      </c>
      <c r="J15" s="104" t="n"/>
      <c r="K15" s="112" t="inlineStr">
        <is>
          <t>در انتظار</t>
        </is>
      </c>
      <c r="L15" s="113" t="n"/>
      <c r="M15" s="100" t="n"/>
      <c r="N15" s="104" t="inlineStr">
        <is>
          <t>c6b084f28f2c507cfd342e5dbd0dbd8e45686772</t>
        </is>
      </c>
      <c r="O15" s="101" t="n"/>
      <c r="P15" s="101" t="n"/>
      <c r="Q15" s="107">
        <f>IF(OR(L15="",L15="در انتظار"),"",IF(Q15="",TODAY(),Q15))</f>
        <v/>
      </c>
    </row>
    <row r="16" ht="54" customHeight="1">
      <c r="A16" s="99" t="inlineStr">
        <is>
          <t>CO-012</t>
        </is>
      </c>
      <c r="B16" s="143" t="inlineStr">
        <is>
          <t>قطع &lt;3000ms نباید</t>
        </is>
      </c>
      <c r="C16" s="147" t="inlineStr">
        <is>
          <t>بالا</t>
        </is>
      </c>
      <c r="D16" s="143" t="inlineStr">
        <is>
          <t>BATTERY</t>
        </is>
      </c>
      <c r="E16" s="143" t="inlineStr">
        <is>
          <t>گام ۱: برد در BATTERY باشد.
گام ۲: snapshot معتبر با v=20900، flag=true و input=true (Vin=24 ولت) بده.
گام ۳: فقط 2500 میلی‌ثانیه نگه دار (کمتر از 3000) و بعد ولتاژ را به 24000 برگردان.
گام ۴: تا 2500 میلی‌ثانیه باید هنوز INPUT و PB11 وصل باشد؛ SAFE شدن زودتر از 3000 میلی‌ثانیه یعنی رد تست.</t>
        </is>
      </c>
      <c r="F16" s="144" t="inlineStr">
        <is>
          <t>valid=true, v=20900 (&lt;21000) flag=true, input=true, فقط 2500ms (&lt;3000)</t>
        </is>
      </c>
      <c r="G16" s="144" t="inlineStr">
        <is>
          <t>2500ms</t>
        </is>
      </c>
      <c r="H16" s="143" t="inlineStr">
        <is>
          <t>پس از 2500ms هنوز state=INPUT (چون input true و هنوز SAFE نشده) و PB11 High. PASS: &lt;3000ms هنوز INPUT، نه SAFE. FAIL: SAFE زود یا BATTERY.</t>
        </is>
      </c>
      <c r="I16" s="143" t="inlineStr">
        <is>
          <t>PASS: 2500ms still INPUT (no cut). FAIL: early SAFE یا BATTERY.</t>
        </is>
      </c>
      <c r="J16" s="104" t="n"/>
      <c r="K16" s="143" t="inlineStr">
        <is>
          <t>در انتظار</t>
        </is>
      </c>
      <c r="L16" s="115" t="n"/>
      <c r="M16" s="104" t="n"/>
      <c r="N16" s="143" t="inlineStr">
        <is>
          <t>c6b084f28f2c507cfd342e5dbd0dbd8e45686772</t>
        </is>
      </c>
      <c r="O16" s="105" t="n"/>
      <c r="P16" s="105" t="n"/>
      <c r="Q16" s="148">
        <f>IF(OR(L16="",L16="در انتظار"),"",IF(Q16="",TODAY(),Q16))</f>
        <v/>
      </c>
    </row>
    <row r="17" ht="54" customHeight="1">
      <c r="A17" s="99" t="inlineStr">
        <is>
          <t>CO-013</t>
        </is>
      </c>
      <c r="B17" s="104" t="inlineStr">
        <is>
          <t>وصل مجدد / 21200 + input</t>
        </is>
      </c>
      <c r="C17" s="114" t="inlineStr">
        <is>
          <t>بالا</t>
        </is>
      </c>
      <c r="D17" s="104" t="inlineStr">
        <is>
          <t>SAFE, PB11 Low</t>
        </is>
      </c>
      <c r="E17" s="106" t="inlineStr">
        <is>
          <t>گام ۱: از تست CO-008 شروع کن تا برد در SAFE و PB11 قطع (Low) باشد.
گام ۲: input=true و v=21300 (دست‌کم 21200) اعمال کن.
گام ۳: 3500 میلی‌ثانیه نگه دار و PB11 را زیر نظر بگیر.
گام ۴: قبل از 3000 میلی‌ثانیه باید SAFE و PB11 قطع بماند؛ بعد از 3000 میلی‌ثانیه باید وضعیت INPUT و PB11 وصل (High) شود. وصل شدن زودتر یا وصل‌نشدن یعنی رد تست.</t>
        </is>
      </c>
      <c r="F17" s="105" t="inlineStr">
        <is>
          <t>SAFE, input true, v21300</t>
        </is>
      </c>
      <c r="G17" s="105" t="inlineStr">
        <is>
          <t>3500ms</t>
        </is>
      </c>
      <c r="H17" s="104" t="inlineStr">
        <is>
          <t>قبل از 3000ms: SAFE و PB11 Low؛ بعد از 3000ms: INPUT و PB11 High. PASS: reconnect پس از 3000ms با PB11 High. FAIL: reconnect زود یا PB11 Low ماندن.</t>
        </is>
      </c>
      <c r="I17" s="104" t="inlineStr">
        <is>
          <t>PASS: قبل 3000 SAFE Low، بعد 3000 INPUT High. FAIL: early or no reconnect.</t>
        </is>
      </c>
      <c r="J17" s="104" t="n"/>
      <c r="K17" s="112" t="inlineStr">
        <is>
          <t>در انتظار</t>
        </is>
      </c>
      <c r="L17" s="113" t="n"/>
      <c r="M17" s="100" t="n"/>
      <c r="N17" s="104" t="inlineStr">
        <is>
          <t>c6b084f28f2c507cfd342e5dbd0dbd8e45686772</t>
        </is>
      </c>
      <c r="O17" s="101" t="n"/>
      <c r="P17" s="101" t="n"/>
      <c r="Q17" s="107">
        <f>IF(OR(L17="",L17="در انتظار"),"",IF(Q17="",TODAY(),Q17))</f>
        <v/>
      </c>
    </row>
    <row r="18" ht="54" customHeight="1">
      <c r="A18" s="99" t="inlineStr">
        <is>
          <t>CO-014</t>
        </is>
      </c>
      <c r="B18" s="143" t="inlineStr">
        <is>
          <t>مرز دقیق 21200 باید reconnect</t>
        </is>
      </c>
      <c r="C18" s="147" t="inlineStr">
        <is>
          <t>بالا</t>
        </is>
      </c>
      <c r="D18" s="143" t="inlineStr">
        <is>
          <t>SAFE</t>
        </is>
      </c>
      <c r="E18" s="143" t="inlineStr">
        <is>
          <t>گام ۱: برد در وضعیت امن (SAFE) باشد.
گام ۲: input=true و v دقیقاً 21200 بده (روی خود مرز).
گام ۳: 3500 میلی‌ثانیه نگه دار.
گام ۴: بعد از 3000 میلی‌ثانیه باید وضعیت «ورودی» (INPUT) شود و PB11 وصل شده باشد.
گام ۵: شرط وصل «دست‌کم 21200» است؛ پس روی مرز هم باید وصل شود.</t>
        </is>
      </c>
      <c r="F18" s="144" t="inlineStr">
        <is>
          <t>v=21200 input true</t>
        </is>
      </c>
      <c r="G18" s="144" t="inlineStr">
        <is>
          <t>3500ms</t>
        </is>
      </c>
      <c r="H18" s="143" t="inlineStr">
        <is>
          <t>پس از 3000ms INPUT و PB11 High. PASS: ≥21200 reconnect. FAIL: no reconnect at 21200.</t>
        </is>
      </c>
      <c r="I18" s="143" t="inlineStr">
        <is>
          <t>PASS: 21200 reconnects (need ≥). FAIL: no.</t>
        </is>
      </c>
      <c r="J18" s="104" t="n"/>
      <c r="K18" s="143" t="inlineStr">
        <is>
          <t>در انتظار</t>
        </is>
      </c>
      <c r="L18" s="115" t="n"/>
      <c r="M18" s="104" t="n"/>
      <c r="N18" s="143" t="inlineStr">
        <is>
          <t>c6b084f28f2c507cfd342e5dbd0dbd8e45686772</t>
        </is>
      </c>
      <c r="O18" s="105" t="n"/>
      <c r="P18" s="105" t="n"/>
      <c r="Q18" s="148">
        <f>IF(OR(L18="",L18="در انتظار"),"",IF(Q18="",TODAY(),Q18))</f>
        <v/>
      </c>
    </row>
    <row r="19" ht="54" customHeight="1">
      <c r="A19" s="99" t="inlineStr">
        <is>
          <t>CO-015</t>
        </is>
      </c>
      <c r="B19" s="104" t="inlineStr">
        <is>
          <t>reconnect &lt;3000 نباید</t>
        </is>
      </c>
      <c r="C19" s="114" t="inlineStr">
        <is>
          <t>بالا</t>
        </is>
      </c>
      <c r="D19" s="104" t="inlineStr">
        <is>
          <t>SAFE</t>
        </is>
      </c>
      <c r="E19" s="104" t="inlineStr">
        <is>
          <t>گام ۱: برد در SAFE باشد.
گام ۲: input=true و v=21300 اعمال کن.
گام ۳: فقط 2500 میلی‌ثانیه نگه دار (کمتر از 3000).
گام ۴: هنوز باید SAFE و PB11 قطع مانده باشد؛ وصل شدن در کمتر از 3 ثانیه یعنی رد تست.</t>
        </is>
      </c>
      <c r="F19" s="105" t="inlineStr">
        <is>
          <t>v21300 input true</t>
        </is>
      </c>
      <c r="G19" s="105" t="inlineStr">
        <is>
          <t>2500ms</t>
        </is>
      </c>
      <c r="H19" s="104" t="inlineStr">
        <is>
          <t>هنوز SAFE و PB11 Low. PASS: &lt;3s no reconnect. FAIL: زود وصل.</t>
        </is>
      </c>
      <c r="I19" s="104" t="inlineStr">
        <is>
          <t>PASS: 2500 still SAFE. FAIL: INPUT early.</t>
        </is>
      </c>
      <c r="J19" s="104" t="n"/>
      <c r="K19" s="112" t="inlineStr">
        <is>
          <t>در انتظار</t>
        </is>
      </c>
      <c r="L19" s="113" t="n"/>
      <c r="M19" s="100" t="n"/>
      <c r="N19" s="104" t="inlineStr">
        <is>
          <t>c6b084f28f2c507cfd342e5dbd0dbd8e45686772</t>
        </is>
      </c>
      <c r="O19" s="101" t="n"/>
      <c r="P19" s="101" t="n"/>
      <c r="Q19" s="107">
        <f>IF(OR(L19="",L19="در انتظار"),"",IF(Q19="",TODAY(),Q19))</f>
        <v/>
      </c>
    </row>
    <row r="20" ht="40.5" customHeight="1">
      <c r="A20" s="99" t="inlineStr">
        <is>
          <t>CO-016</t>
        </is>
      </c>
      <c r="B20" s="143" t="inlineStr">
        <is>
          <t>پس از reconnect state INPUT</t>
        </is>
      </c>
      <c r="C20" s="147" t="inlineStr">
        <is>
          <t>بالا</t>
        </is>
      </c>
      <c r="D20" s="145" t="inlineStr">
        <is>
          <t>پس از CO-013</t>
        </is>
      </c>
      <c r="E20" s="145" t="inlineStr">
        <is>
          <t>گام ۱: تست CO-013 را انجام بده تا وصل مجدد موفق اتفاق بیفتد.
گام ۲: بلافاصله (در حد 100 میلی‌ثانیه بعد) وضعیت را بخوان.
گام ۳: وضعیت باید INPUT باشد؛ IDLE برای snapshot معتبر هرگز نباید دیده شود.</t>
        </is>
      </c>
      <c r="F20" s="144" t="inlineStr">
        <is>
          <t>post-reconnect</t>
        </is>
      </c>
      <c r="G20" s="144" t="inlineStr">
        <is>
          <t>100ms</t>
        </is>
      </c>
      <c r="H20" s="143" t="inlineStr">
        <is>
          <t>state=INPUT باشد، نه IDLE (IDLE برای معتبر ممنوع). PASS: INPUT. FAIL: IDLE.</t>
        </is>
      </c>
      <c r="I20" s="143" t="inlineStr">
        <is>
          <t>PASS: INPUT not IDLE. FAIL: IDLE.</t>
        </is>
      </c>
      <c r="J20" s="104" t="n"/>
      <c r="K20" s="143" t="inlineStr">
        <is>
          <t>در انتظار</t>
        </is>
      </c>
      <c r="L20" s="115" t="n"/>
      <c r="M20" s="104" t="n"/>
      <c r="N20" s="143" t="inlineStr">
        <is>
          <t>c6b084f28f2c507cfd342e5dbd0dbd8e45686772</t>
        </is>
      </c>
      <c r="O20" s="105" t="n"/>
      <c r="P20" s="105" t="n"/>
      <c r="Q20" s="148">
        <f>IF(OR(L20="",L20="در انتظار"),"",IF(Q20="",TODAY(),Q20))</f>
        <v/>
      </c>
    </row>
    <row r="21" ht="40.5" customHeight="1">
      <c r="A21" s="99" t="inlineStr">
        <is>
          <t>CO-017</t>
        </is>
      </c>
      <c r="B21" s="104" t="inlineStr">
        <is>
          <t>PB11 در invalid حفظ</t>
        </is>
      </c>
      <c r="C21" s="114" t="inlineStr">
        <is>
          <t>بالا</t>
        </is>
      </c>
      <c r="D21" s="104" t="inlineStr">
        <is>
          <t>INPUT با PB11 High</t>
        </is>
      </c>
      <c r="E21" s="104" t="inlineStr">
        <is>
          <t>گام ۱: برد را با snapshot معتبر و input=true به INPUT ببر و PB11 را چک کن که وصل (High) است.
گام ۲: حالا valid=false کن و 500 میلی‌ثانیه صبر کن.
گام ۳: PB11 را دوباره بخوان: باید بدون تغییر همان High مانده باشد.</t>
        </is>
      </c>
      <c r="F21" s="105" t="inlineStr">
        <is>
          <t>valid true→false</t>
        </is>
      </c>
      <c r="G21" s="105" t="inlineStr">
        <is>
          <t>500ms</t>
        </is>
      </c>
      <c r="H21" s="104" t="inlineStr">
        <is>
          <t>PB11 Low-High بدون تغییر بماند (High). PASS: حفظ. FAIL: تغییر.</t>
        </is>
      </c>
      <c r="I21" s="104" t="inlineStr">
        <is>
          <t>PASS: PB11 preserved in invalid. FAIL: change.</t>
        </is>
      </c>
      <c r="J21" s="104" t="n"/>
      <c r="K21" s="112" t="inlineStr">
        <is>
          <t>در انتظار</t>
        </is>
      </c>
      <c r="L21" s="113" t="n"/>
      <c r="M21" s="100" t="n"/>
      <c r="N21" s="104" t="inlineStr">
        <is>
          <t>c6b084f28f2c507cfd342e5dbd0dbd8e45686772</t>
        </is>
      </c>
      <c r="O21" s="101" t="n"/>
      <c r="P21" s="101" t="n"/>
      <c r="Q21" s="107">
        <f>IF(OR(L21="",L21="در انتظار"),"",IF(Q21="",TODAY(),Q21))</f>
        <v/>
      </c>
    </row>
    <row r="22" ht="54" customHeight="1">
      <c r="A22" s="99" t="inlineStr">
        <is>
          <t>CO-018</t>
        </is>
      </c>
      <c r="B22" s="143" t="inlineStr">
        <is>
          <t>PB11 در fault حفظ</t>
        </is>
      </c>
      <c r="C22" s="147" t="inlineStr">
        <is>
          <t>بالا</t>
        </is>
      </c>
      <c r="D22" s="143" t="inlineStr">
        <is>
          <t>INPUT</t>
        </is>
      </c>
      <c r="E22" s="143" t="inlineStr">
        <is>
          <t>گام ۱: برد در INPUT باشد.
گام ۲: snapshot معتبر با fault مخالف صفر بده (fault=1) تا وضعیت FAULT شود.
گام ۳: 500 میلی‌ثانیه صبر کن و PB11 را بخوان.
گام ۴: PB11 باید حفظ شده باشد (High بماند)؛ Low شدنش یعنی رد تست.</t>
        </is>
      </c>
      <c r="F22" s="144" t="inlineStr">
        <is>
          <t>valid true fault1</t>
        </is>
      </c>
      <c r="G22" s="144" t="inlineStr">
        <is>
          <t>500ms</t>
        </is>
      </c>
      <c r="H22" s="143" t="inlineStr">
        <is>
          <t>PB11 حفظ (High). PASS. FAIL: Low شدن.</t>
        </is>
      </c>
      <c r="I22" s="143" t="inlineStr">
        <is>
          <t>PASS: PB11 preserved in fault. FAIL: change.</t>
        </is>
      </c>
      <c r="J22" s="104" t="n"/>
      <c r="K22" s="143" t="inlineStr">
        <is>
          <t>در انتظار</t>
        </is>
      </c>
      <c r="L22" s="115" t="n"/>
      <c r="M22" s="104" t="n"/>
      <c r="N22" s="143" t="inlineStr">
        <is>
          <t>c6b084f28f2c507cfd342e5dbd0dbd8e45686772</t>
        </is>
      </c>
      <c r="O22" s="105" t="n"/>
      <c r="P22" s="105" t="n"/>
      <c r="Q22" s="148">
        <f>IF(OR(L22="",L22="در انتظار"),"",IF(Q22="",TODAY(),Q22))</f>
        <v/>
      </c>
    </row>
    <row r="23" ht="40.5" customHeight="1">
      <c r="A23" s="99" t="inlineStr">
        <is>
          <t>CO-019</t>
        </is>
      </c>
      <c r="B23" s="104" t="inlineStr">
        <is>
          <t>PB5 و PB7 هیچ‌گاه تغییر نکنند</t>
        </is>
      </c>
      <c r="C23" s="114" t="inlineStr">
        <is>
          <t>بالا</t>
        </is>
      </c>
      <c r="D23" s="104" t="inlineStr">
        <is>
          <t>هر حالت</t>
        </is>
      </c>
      <c r="E23" s="106" t="inlineStr">
        <is>
          <t>گام ۱: در همهٔ تست‌های CO-001 تا CO-015، سه پایه را با اسکوپ یا لاگ BSP زیر نظر بگیر:
پایهٔ PB11، پایهٔ PB5 (همان BAT_SWITCH) و پایهٔ PB7 (همان RELAY).
گام ۲: این تست ردیف جدا ندارد؛ در تک‌تک تست‌های بالا انجامش بده.
گام ۳: PB5 باید همیشه High و امن بماند (فعال-پایین است) و PB7 همیشه Low بماند.
گام ۴: هر تغییری روی این دو پایه یعنی رد تست.</t>
        </is>
      </c>
      <c r="F23" s="105" t="inlineStr">
        <is>
          <t>تمام حالات</t>
        </is>
      </c>
      <c r="G23" s="105" t="inlineStr">
        <is>
          <t>هر تست</t>
        </is>
      </c>
      <c r="H23" s="104" t="inlineStr">
        <is>
          <t>PB5 و PB7 ثابت بمانند (PB5 High-safe active-low، PB7 Low). PASS: بدون تغییر. FAIL: هر toggle.</t>
        </is>
      </c>
      <c r="I23" s="104" t="inlineStr">
        <is>
          <t>PASS: PB5/PB7 never change. FAIL: any toggle.</t>
        </is>
      </c>
      <c r="J23" s="104" t="n"/>
      <c r="K23" s="112" t="inlineStr">
        <is>
          <t>در انتظار</t>
        </is>
      </c>
      <c r="L23" s="113" t="n"/>
      <c r="M23" s="100" t="n"/>
      <c r="N23" s="104" t="inlineStr">
        <is>
          <t>c6b084f28f2c507cfd342e5dbd0dbd8e45686772</t>
        </is>
      </c>
      <c r="O23" s="101" t="n"/>
      <c r="P23" s="101" t="n"/>
      <c r="Q23" s="107">
        <f>IF(OR(L23="",L23="در انتظار"),"",IF(Q23="",TODAY(),Q23))</f>
        <v/>
      </c>
    </row>
    <row r="24" ht="54" customHeight="1">
      <c r="A24" s="99" t="inlineStr">
        <is>
          <t>CO-024</t>
        </is>
      </c>
      <c r="B24" s="143" t="inlineStr">
        <is>
          <t>وصل مجدد 30s پایداری ورودی</t>
        </is>
      </c>
      <c r="C24" s="147" t="inlineStr">
        <is>
          <t>بالا</t>
        </is>
      </c>
      <c r="D24" s="143" t="inlineStr">
        <is>
          <t>برد در SAFE پس از قطع، v_bat=24V</t>
        </is>
      </c>
      <c r="E24" s="145" t="inlineStr">
        <is>
          <t>گام ۱: از تست CO-008 شروع کن تا برد در وضعیت امن و ولتاژ باتری 24 ولت باشد.
گام ۲: ورودی را وصل کن (input=true) و 30 ثانیه پشت سر هم حاضر نگه دار.
گام ۳: بعد از آن، 3 ثانیه ولتاژ را روی 21200 نگه دار. در مجموع 33 ثانیه می‌شود.
گام ۴: آن 30 ثانیه پایداری ورودی و 3 ثانیه ولتاژ کافی که تمام شد، وصل دوباره باید کامل شده باشد. وضعیت باید «ورودی» (INPUT) شود.
گام ۵: سطح PB11 را در لحظهٔ وصل با اسکوپ ثبت کن و با الگوی تست CO-013 مقایسه کن.</t>
        </is>
      </c>
      <c r="F24" s="144" t="inlineStr">
        <is>
          <t>input=true v=24000</t>
        </is>
      </c>
      <c r="G24" s="144" t="inlineStr">
        <is>
          <t>33s</t>
        </is>
      </c>
      <c r="H24" s="143" t="inlineStr">
        <is>
          <t>بعد از 30 ثانیه پایداری ورودی و 3 ثانیه ولتاژ 21200، PB11 از Low به High و وضعیت INPUT شود</t>
        </is>
      </c>
      <c r="I24" s="143" t="inlineStr">
        <is>
          <t>PASS: PB11 بعد 33s وصل، قبلش SAFE. FAIL: وصل زودتر از 30s</t>
        </is>
      </c>
      <c r="J24" s="104" t="n"/>
      <c r="K24" s="143" t="inlineStr">
        <is>
          <t>نیاز به تکرار</t>
        </is>
      </c>
      <c r="L24" s="115" t="n"/>
      <c r="M24" s="104" t="n"/>
      <c r="N24" s="143" t="inlineStr">
        <is>
          <t>thermal+30s</t>
        </is>
      </c>
      <c r="O24" s="105" t="n"/>
      <c r="P24" s="105" t="n"/>
      <c r="Q24" s="148">
        <f>IF(OR(L24="",L24="در انتظار"),"",IF(Q24="",TODAY(),Q24))</f>
        <v/>
      </c>
    </row>
    <row r="25" ht="54" customHeight="1">
      <c r="A25" s="99" t="inlineStr">
        <is>
          <t>CO-025</t>
        </is>
      </c>
      <c r="B25" s="143" t="inlineStr">
        <is>
          <t>وصل بدون برق شهر / ۱۰ ثانیه سالم</t>
        </is>
      </c>
      <c r="C25" s="147" t="inlineStr">
        <is>
          <t>بالا</t>
        </is>
      </c>
      <c r="D25" s="143" t="inlineStr">
        <is>
          <t>برد در SAFE، برق شهر قطع، باتری &gt;= 21200 mV</t>
        </is>
      </c>
      <c r="E25" s="145" t="inlineStr">
        <is>
          <t>گام ۱: از تست CO-008 شروع کن تا باتری قطع شود و برد در SAFE باشد؛ برق شهر قطع بماند.
گام ۲: ولتاژ باتری را با یک منبع روی 25500 mV نگه دار (بالای آستانهٔ استراحت ۲۵٬۰۰۰).
گام ۳: در ثانیهٔ ۹ وضعیت را بخوان: باید هنوز SAFE و PB11 قطع باشد.
گام ۴: در ثانیهٔ ۱۴ دوباره بخوان: باید PB11 وصل و وضعیت BATTERY باشد.
گام ۵: وصل زودتر از ۱۰ ثانیهٔ پیوسته یعنی رد.</t>
        </is>
      </c>
      <c r="F25" s="144" t="inlineStr">
        <is>
          <t>input=false, v=25500 برای ۱۳ ثانیه</t>
        </is>
      </c>
      <c r="G25" s="144" t="inlineStr">
        <is>
          <t>۱۳s</t>
        </is>
      </c>
      <c r="H25" s="143" t="inlineStr">
        <is>
          <t>قبل از ۱۰ ثانیه SAFE می‌ماند؛ پس از ۱۰ ثانیه سالمِ پیوسته + ۳ ثانیه فیلتر، PB11 وصل و state=BATTERY. استراحت زیر ۲۵٬۰۰۰ mV اجازهٔ وصل نمی‌دهد (تست CO-031). PASS: وصل فقط پس از ۱۰ ثانیه پیوسته. FAIL: وصل زودتر.</t>
        </is>
      </c>
      <c r="I25" s="143" t="inlineStr">
        <is>
          <t>PASS: 9s SAFE، 13s BATTERY. FAIL: وصل زودتر.</t>
        </is>
      </c>
      <c r="J25" s="104" t="n"/>
      <c r="K25" s="143" t="inlineStr">
        <is>
          <t>در انتظار</t>
        </is>
      </c>
      <c r="L25" s="115" t="n"/>
      <c r="M25" s="104" t="n"/>
      <c r="N25" s="143" t="inlineStr">
        <is>
          <t>2026-10-23</t>
        </is>
      </c>
      <c r="O25" s="82" t="n"/>
      <c r="P25" s="82" t="n"/>
      <c r="Q25" s="98">
        <f>IF(OR(L25="",L25="در انتظار"),"",IF(Q25="",TODAY(),Q25))</f>
        <v/>
      </c>
    </row>
    <row r="26" ht="54" customHeight="1">
      <c r="A26" s="99" t="inlineStr">
        <is>
          <t>CO-026</t>
        </is>
      </c>
      <c r="B26" s="143" t="inlineStr">
        <is>
          <t>محافظ چرخه / قطع دوبارهٔ سریع</t>
        </is>
      </c>
      <c r="C26" s="147" t="inlineStr">
        <is>
          <t>بالا</t>
        </is>
      </c>
      <c r="D26" s="143" t="inlineStr">
        <is>
          <t>پس از CO-025 وصل بدون برق شهر</t>
        </is>
      </c>
      <c r="E26" s="145" t="inlineStr">
        <is>
          <t>گام ۱: بعد از وصلِ CO-025، داخل ۶۰ ثانیه ولتاژ باتری را زیر 21000 mV بیاور تا قطع رخ دهد.
گام ۲: ولتاژ را دوباره به 25500 mV برگردان و ۶۰ ثانیه صبر کن.
گام ۳: برد نباید بدون برق شهر وصل شود؛ باید در SAFE بماند و حکم باتری فرسوده قفل شود.
گام ۴: سقف تلاش بدون برق شهر یک است؛ تلاش دوم نباید انجام شود.</t>
        </is>
      </c>
      <c r="F26" s="144" t="inlineStr">
        <is>
          <t>قطع داخل ۶۰ ثانیه بعد از CO-025، سپس v=25500</t>
        </is>
      </c>
      <c r="G26" s="144" t="inlineStr">
        <is>
          <t>۳۰s + ۳۳s</t>
        </is>
      </c>
      <c r="H26" s="143" t="inlineStr">
        <is>
          <t>حکم باتری فرسوده قفل می‌شود، مسیر باتری بسته می‌ماند و وصل خودکار بدون برق شهر انجام نمی‌شود (سقف یک تلاش)؛ با برگشت برق شهر وصل مجاز است. PASS: قفل محافظ چرخه. FAIL: وصل خودکار بدون برق شهر.</t>
        </is>
      </c>
      <c r="I26" s="143" t="inlineStr">
        <is>
          <t>PASS: بدون وصل تا برگشت برق شهر. FAIL: وصل خودکار.</t>
        </is>
      </c>
      <c r="J26" s="104" t="n"/>
      <c r="K26" s="143" t="inlineStr">
        <is>
          <t>در انتظار</t>
        </is>
      </c>
      <c r="L26" s="115" t="n"/>
      <c r="M26" s="104" t="n"/>
      <c r="N26" s="143" t="inlineStr">
        <is>
          <t>2026-10-23</t>
        </is>
      </c>
      <c r="O26" s="82" t="n"/>
      <c r="P26" s="82" t="n"/>
      <c r="Q26" s="98">
        <f>IF(OR(L26="",L26="در انتظار"),"",IF(Q26="",TODAY(),Q26))</f>
        <v/>
      </c>
    </row>
    <row r="27" ht="54" customHeight="1">
      <c r="A27" s="99" t="inlineStr">
        <is>
          <t>CO-027</t>
        </is>
      </c>
      <c r="B27" s="143" t="inlineStr">
        <is>
          <t>حکم باتری ضعیف / چهرهٔ قرمز و بوق</t>
        </is>
      </c>
      <c r="C27" s="147" t="inlineStr">
        <is>
          <t>بالا</t>
        </is>
      </c>
      <c r="D27" s="143" t="inlineStr">
        <is>
          <t>حکم قفل (پس از CO-026)</t>
        </is>
      </c>
      <c r="E27" s="145" t="inlineStr">
        <is>
          <t>گام ۱: پس از CO-026 برد در وضعیت حکم باتری ضعیف باشد و برق شهر قطع بماند.
گام ۲: چراغ قرمز را ۵ ثانیه نگاه کن: باید با دورهٔ ۵۰۰ میلی‌ثانیه و سهم ۵۰٪ چشمک بزند؛ سبز و زرد باید خاموش باشند.
گام ۳: گوش کن: هر ۳۰۰۰ میلی‌ثانیه سه بوق ۲۰۰ میلی‌ثانیه‌ای با گپ ۱۰۰ میلی‌ثانیه باید شنیده شود.
گام ۴: از پنل دورهٔ قرمز را ۱۰۰۰ و دورهٔ بوق را صفر کن؛ قرمز باید کندتر چشمک بزند و بوق قطع شود.
گام ۵: قرمز ثابت یا بوق با الگوی سناریوی ۵/۶/۷ یعنی رد.</t>
        </is>
      </c>
      <c r="F27" s="144" t="inlineStr">
        <is>
          <t>پارامترهای ۱۵۱..۱۵۶ با پیش‌فرض کارخانه</t>
        </is>
      </c>
      <c r="G27" s="144" t="inlineStr">
        <is>
          <t>۵s + ۱۰s</t>
        </is>
      </c>
      <c r="H27" s="143" t="inlineStr">
        <is>
          <t>قرمز چشمک‌زن با دوره/سهم مستقل و بوق سه‌تایی مستقل؛ سبز و زرد خاموش. PASS: همان چهرهٔ تعریف‌شده. FAIL: قرمز ثابت یا الگوی قرض‌گرفته.</t>
        </is>
      </c>
      <c r="I27" s="143" t="inlineStr">
        <is>
          <t>PASS: چشمک ۵۰۰ms + سه بوق. FAIL: چهرهٔ دیگر.</t>
        </is>
      </c>
      <c r="J27" s="104" t="n"/>
      <c r="K27" s="143" t="inlineStr">
        <is>
          <t>در انتظار</t>
        </is>
      </c>
      <c r="L27" s="115" t="n"/>
      <c r="M27" s="104" t="n"/>
      <c r="N27" s="143" t="inlineStr">
        <is>
          <t>2026-10-23</t>
        </is>
      </c>
      <c r="O27" s="82" t="n"/>
      <c r="P27" s="82" t="n"/>
      <c r="Q27" s="98">
        <f>IF(OR(L27="",L27="در انتظار"),"",IF(Q27="",TODAY(),Q27))</f>
        <v/>
      </c>
    </row>
    <row r="28" ht="54" customHeight="1">
      <c r="A28" s="99" t="inlineStr">
        <is>
          <t>CO-028</t>
        </is>
      </c>
      <c r="B28" s="143" t="inlineStr">
        <is>
          <t>حکم باتری ضعیف / بسته‌ماندن خروجی</t>
        </is>
      </c>
      <c r="C28" s="147" t="inlineStr">
        <is>
          <t>بالا</t>
        </is>
      </c>
      <c r="D28" s="143" t="inlineStr">
        <is>
          <t>حکم قفل، شناسهٔ ۱۵۷ = ۱</t>
        </is>
      </c>
      <c r="E28" s="145" t="inlineStr">
        <is>
          <t>گام ۱: با حکم قفل و برق شهر قطع، خروجی را با بار ۱ آمپر بسنج.
گام ۲: ولتاژ خروجی باید صفر بماند و PB11 باید High (قطع) باشد.
گام ۳: حالا از پنل شناسهٔ ۱۵۷ را صفر کن؛ با حفظ حکم، باتری باید روی خروجی بیاید.
گام ۴: دوباره ۱۵۷ را یک کن؛ مسیر باید بسته شود.
گام ۵: اگر با ۱۵۷ = ۱ بار روی باتری دیده شود، رد است.</t>
        </is>
      </c>
      <c r="F28" s="144" t="inlineStr">
        <is>
          <t>id157 = 1 سپس 0 سپس 1</t>
        </is>
      </c>
      <c r="G28" s="144" t="inlineStr">
        <is>
          <t>۳۰s</t>
        </is>
      </c>
      <c r="H28" s="143" t="inlineStr">
        <is>
          <t>با ۱۵۷ = ۱ مسیر باتری بسته می‌ماند؛ با ۱۵۷ = ۰ فقط هشدار می‌ماند و خروجی برمی‌گردد؛ شارژ قطع نمی‌شود. PASS: تبعیت دقیق از ۱۵۷. FAIL: بار روی باتری با ۱۵۷ = ۱.</t>
        </is>
      </c>
      <c r="I28" s="143" t="inlineStr">
        <is>
          <t>PASS: خروجی صفر با ۱۵۷=۱. FAIL: بار روی باتری.</t>
        </is>
      </c>
      <c r="J28" s="104" t="n"/>
      <c r="K28" s="143" t="inlineStr">
        <is>
          <t>در انتظار</t>
        </is>
      </c>
      <c r="L28" s="115" t="n"/>
      <c r="M28" s="104" t="n"/>
      <c r="N28" s="143" t="inlineStr">
        <is>
          <t>2026-10-23</t>
        </is>
      </c>
      <c r="O28" s="82" t="n"/>
      <c r="P28" s="82" t="n"/>
      <c r="Q28" s="98">
        <f>IF(OR(L28="",L28="در انتظار"),"",IF(Q28="",TODAY(),Q28))</f>
        <v/>
      </c>
    </row>
    <row r="29" ht="54" customHeight="1">
      <c r="A29" s="99" t="inlineStr">
        <is>
          <t>CO-029</t>
        </is>
      </c>
      <c r="B29" s="143" t="inlineStr">
        <is>
          <t>حکم باتری ضعیف / پاک‌شدن پس از استراحت</t>
        </is>
      </c>
      <c r="C29" s="147" t="inlineStr">
        <is>
          <t>بالا</t>
        </is>
      </c>
      <c r="D29" s="143" t="inlineStr">
        <is>
          <t>حکم قفل، شناسهٔ ۱۴۸ = ۶۰۰۰۰۰</t>
        </is>
      </c>
      <c r="E29" s="145" t="inlineStr">
        <is>
          <t>گام ۱: با حکم قفل، ولتاژ باتری را روی 25500 mV و پیوسته نگه دار.
گام ۲: در دقیقهٔ ۹ وضعیت را بخوان: حکم باید هنوز قفل و قرمز چشمک‌زن باشد.
گام ۳: پس از ۱۰ دقیقهٔ پیوسته، حکم باید خودش پاک شود و یک بار دیگر تلاش مجاز باشد.</t>
        </is>
      </c>
      <c r="F29" s="144" t="inlineStr">
        <is>
          <t>v=25500 پیوسته برای ۱۰ دقیقه</t>
        </is>
      </c>
      <c r="G29" s="144" t="inlineStr">
        <is>
          <t>۱۰min</t>
        </is>
      </c>
      <c r="H29" s="143" t="inlineStr">
        <is>
          <t>حکم فقط پس از ۱۰ دقیقهٔ سالمِ پیوسته پاک می‌شود و تنها یک تلاش مجدد انجام می‌شود. PASS: پاک‌شدن در دقیقهٔ ۱۰. FAIL: زودتر یا هرگز.</t>
        </is>
      </c>
      <c r="I29" s="143" t="inlineStr">
        <is>
          <t>PASS: پاک‌شدن در ۱۰ دقیقه. FAIL: زودتر/هرگز.</t>
        </is>
      </c>
      <c r="J29" s="104" t="n"/>
      <c r="K29" s="143" t="inlineStr">
        <is>
          <t>در انتظار</t>
        </is>
      </c>
      <c r="L29" s="115" t="n"/>
      <c r="M29" s="104" t="n"/>
      <c r="N29" s="143" t="inlineStr">
        <is>
          <t>2026-10-23</t>
        </is>
      </c>
      <c r="O29" s="82" t="n"/>
      <c r="P29" s="82" t="n"/>
      <c r="Q29" s="98">
        <f>IF(OR(L29="",L29="در انتظار"),"",IF(Q29="",TODAY(),Q29))</f>
        <v/>
      </c>
    </row>
    <row r="30" ht="54" customHeight="1">
      <c r="A30" s="99" t="inlineStr">
        <is>
          <t>CO-030</t>
        </is>
      </c>
      <c r="B30" s="143" t="inlineStr">
        <is>
          <t>حکم باتری ضعیف / برگشت برق شهر حکم را پاک نمی‌کند</t>
        </is>
      </c>
      <c r="C30" s="147" t="inlineStr">
        <is>
          <t>بالا</t>
        </is>
      </c>
      <c r="D30" s="143" t="inlineStr">
        <is>
          <t>حکم قفل</t>
        </is>
      </c>
      <c r="E30" s="145" t="inlineStr">
        <is>
          <t>گام ۱: با حکم قفل، برق شهر را وصل کن و ۳۰ ثانیه پایدار نگه دار.
گام ۲: مسیر باتری باید وصل شود (چون برق شهر هست) ولی حکم نباید پاک شود.
گام ۳: برق شهر را دوباره قطع کن؛ چراغ قرمز باید همچنان چشمک بزند و مسیر باتری بسته بماند.
گام ۴: پاک‌شدن حکم فقط با شناسهٔ ۱۴۷ = ۰ یا ۱۰ دقیقهٔ سالمِ پیوسته مجاز است.</t>
        </is>
      </c>
      <c r="F30" s="144" t="inlineStr">
        <is>
          <t>input=true برای ۳۰ ثانیه، سپس قطع</t>
        </is>
      </c>
      <c r="G30" s="144" t="inlineStr">
        <is>
          <t>۳۰s + ۱۰s</t>
        </is>
      </c>
      <c r="H30" s="143" t="inlineStr">
        <is>
          <t>برگشت برق شهر حکم را پاک نمی‌کند؛ با قطع دوباره همان چهره و همان بسته‌بودن برمی‌گردد. PASS: حکم پایدار. FAIL: پاک‌شدن با برق شهر.</t>
        </is>
      </c>
      <c r="I30" s="143" t="inlineStr">
        <is>
          <t>PASS: حکم پس از برق شهر می‌ماند. FAIL: پاک شد.</t>
        </is>
      </c>
      <c r="J30" s="104" t="n"/>
      <c r="K30" s="143" t="inlineStr">
        <is>
          <t>در انتظار</t>
        </is>
      </c>
      <c r="L30" s="115" t="n"/>
      <c r="M30" s="104" t="n"/>
      <c r="N30" s="143" t="inlineStr">
        <is>
          <t>2026-10-23</t>
        </is>
      </c>
      <c r="O30" s="82" t="n"/>
      <c r="P30" s="82" t="n"/>
      <c r="Q30" s="98">
        <f>IF(OR(L30="",L30="در انتظار"),"",IF(Q30="",TODAY(),Q30))</f>
        <v/>
      </c>
    </row>
    <row r="31" ht="54" customHeight="1">
      <c r="A31" s="99" t="inlineStr">
        <is>
          <t>CO-031</t>
        </is>
      </c>
      <c r="B31" s="143" t="inlineStr">
        <is>
          <t>آستانهٔ استراحت ۲۵٬۰۰۰ mV / بستهٔ دشارژ وصل نمی‌شود</t>
        </is>
      </c>
      <c r="C31" s="147" t="inlineStr">
        <is>
          <t>بالا</t>
        </is>
      </c>
      <c r="D31" s="143" t="inlineStr">
        <is>
          <t>برد در SAFE، برق شهر قطع، خروجی قطع</t>
        </is>
      </c>
      <c r="E31" s="145" t="inlineStr">
        <is>
          <t>گام ۱: از تست CO-008 شروع کن تا خروجی قطع شود.
گام ۲: ولتاژ را روی 23000 mV نگه دار و ۶۰ ثانیه بمان.
گام ۳: PB11 و چهرهٔ LED را بخوان: باید بسته و خاموش بماند و حکمی زده نشود.
گام ۴: ولتاژ را به 25500 mV برسان؛ بعد از حدود ۱۳ ثانیه باید یک بار وصل شود.
گام ۵: داخل ۶۰ ثانیه دوباره زیر 21000 mV بیاور؛ باید حکم قفل شود.</t>
        </is>
      </c>
      <c r="F31" s="144" t="inlineStr">
        <is>
          <t>input=false، v=23000 سپس 25500 سپس قطع دوباره</t>
        </is>
      </c>
      <c r="G31" s="144" t="inlineStr">
        <is>
          <t>۶۰s + ۲۰s + ۶۰s</t>
        </is>
      </c>
      <c r="H31" s="143" t="inlineStr">
        <is>
          <t>با استراحت ۲۳ ولت هیچ وصل و هیچ حکمی نمی‌شود؛ با ۲۵٫۵ ولت فقط یک بار وصل می‌شود و قطع دوباره حکم را قفل می‌کند. PASS: عدم وصل با ۲۳ ولت + یک تلاش با ۲۵٫۵ ولت. FAIL: وصل با ۲۳ ولت یا تلاش دوم.</t>
        </is>
      </c>
      <c r="I31" s="143" t="inlineStr">
        <is>
          <t>PASS: ۲۳ ولت بدون وصل، ۲۵٫۵ ولت یک تلاش. FAIL: وصل با ۲۳ ولت.</t>
        </is>
      </c>
      <c r="J31" s="104" t="n"/>
      <c r="K31" s="143" t="inlineStr">
        <is>
          <t>در انتظار</t>
        </is>
      </c>
      <c r="L31" s="115" t="n"/>
      <c r="M31" s="104" t="n"/>
      <c r="N31" s="143" t="inlineStr">
        <is>
          <t>2026-10-23</t>
        </is>
      </c>
      <c r="O31" s="82" t="n"/>
      <c r="P31" s="82" t="n"/>
      <c r="Q31" s="98">
        <f>IF(OR(L31="",L31="در انتظار"),"",IF(Q31="",TODAY(),Q31))</f>
        <v/>
      </c>
    </row>
    <row r="32" ht="54" customHeight="1">
      <c r="A32" s="99" t="inlineStr">
        <is>
          <t>CO-032</t>
        </is>
      </c>
      <c r="B32" s="143" t="inlineStr">
        <is>
          <t>حکم باتری ضعیف / پاک‌کردن دستی از پنل</t>
        </is>
      </c>
      <c r="C32" s="147" t="inlineStr">
        <is>
          <t>بالا</t>
        </is>
      </c>
      <c r="D32" s="143" t="inlineStr">
        <is>
          <t>حکم قفل + پنل کالیبراسیون باز</t>
        </is>
      </c>
      <c r="E32" s="145" t="inlineStr">
        <is>
          <t>گام ۱: روی برد حکم را قفل کن: بدون برق شهر وصل شود و داخل پنجرهٔ محافظ دوباره قطع شود.
گام ۲: در کارت ۸ دکمهٔ «پاک‌کردن حکم» را بزن و تأیید کن.
گام ۳: خط وضعیت باید «در حال ارسال…» و بعد «پاک شد» نشان دهد.
گام ۴: چراغ قرمز و بوق باید خاموش شوند.
گام ۵: دوباره همان دکمه را بزن؛ باید بگوید حکمی نیست و خطا ندهد.</t>
        </is>
      </c>
      <c r="F32" s="144" t="inlineStr">
        <is>
          <t>حکم=۱ → دکمهٔ پاک‌کردن حکم</t>
        </is>
      </c>
      <c r="G32" s="144" t="inlineStr">
        <is>
          <t>—</t>
        </is>
      </c>
      <c r="H32" s="143" t="inlineStr">
        <is>
          <t>حکم همان لحظه پاک می‌شود؛ چهره خاموش و یک بار وصل دوباره آزاد می‌شود. زدن دوبارهٔ دکمه خطا نمی‌دهد. PASS: حکم پاک شد. FAIL: حکم ماند یا دکمه خطا داد.</t>
        </is>
      </c>
      <c r="I32" s="143" t="inlineStr">
        <is>
          <t>PASS: حکم پاک. FAIL: حکم ماند.</t>
        </is>
      </c>
      <c r="J32" s="104" t="n"/>
      <c r="K32" s="143" t="inlineStr">
        <is>
          <t>در انتظار</t>
        </is>
      </c>
      <c r="L32" s="115" t="n"/>
      <c r="M32" s="104" t="n"/>
      <c r="N32" s="143" t="inlineStr">
        <is>
          <t>2026-10-23</t>
        </is>
      </c>
      <c r="O32" s="82" t="n"/>
      <c r="P32" s="82" t="n"/>
      <c r="Q32" s="98">
        <f>IF(OR(L32="",L32="در انتظار"),"",IF(Q32="",TODAY(),Q32))</f>
        <v/>
      </c>
    </row>
    <row r="33" ht="54" customHeight="1">
      <c r="A33" s="99" t="inlineStr">
        <is>
          <t>CO-033</t>
        </is>
      </c>
      <c r="B33" s="143" t="inlineStr">
        <is>
          <t>حالت قطع بدون برق شهر / همهٔ چراغ‌ها و بوق خاموش</t>
        </is>
      </c>
      <c r="C33" s="147" t="inlineStr">
        <is>
          <t>متوسط</t>
        </is>
      </c>
      <c r="D33" s="143" t="inlineStr">
        <is>
          <t>برد در SAFE، برق شهر قطع، مسیر باتری بسته</t>
        </is>
      </c>
      <c r="E33" s="145" t="inlineStr">
        <is>
          <t>گام ۱: بگذار باتری زیر ۲۱۰۰۰ mV برود تا مسیر بسته شود.
گام ۲: هر سه چراغ و بوق را ۱۰ ثانیه با چشم و گوش ببین.
گام ۳: برق شهر را وصل کن و چراغ‌ها را دوباره بخوان.</t>
        </is>
      </c>
      <c r="F33" s="144" t="inlineStr">
        <is>
          <t>input=false، مسیر بسته</t>
        </is>
      </c>
      <c r="G33" s="144" t="inlineStr">
        <is>
          <t>۱۰s</t>
        </is>
      </c>
      <c r="H33" s="143" t="inlineStr">
        <is>
          <t>در حالت قطع و بدون برق شهر، هر سه چراغ و بوق کاملاً خاموش‌اند؛ با برگشت برق شهر چهرهٔ شارژ برمی‌گردد. PASS: خاموشی کامل. FAIL: هر چراغ یا بوق روشن.</t>
        </is>
      </c>
      <c r="I33" s="143" t="inlineStr">
        <is>
          <t>PASS: همه خاموش. FAIL: چراغ/بوق روشن.</t>
        </is>
      </c>
      <c r="J33" s="104" t="n"/>
      <c r="K33" s="143" t="inlineStr">
        <is>
          <t>در انتظار</t>
        </is>
      </c>
      <c r="L33" s="115" t="n"/>
      <c r="M33" s="104" t="n"/>
      <c r="N33" s="143" t="inlineStr">
        <is>
          <t>2026-10-23</t>
        </is>
      </c>
      <c r="O33" s="82" t="n"/>
      <c r="P33" s="82" t="n"/>
      <c r="Q33" s="98">
        <f>IF(OR(L33="",L33="در انتظار"),"",IF(Q33="",TODAY(),Q33))</f>
        <v/>
      </c>
    </row>
    <row r="34" ht="54" customHeight="1">
      <c r="A34" s="99" t="inlineStr">
        <is>
          <t>CO-034</t>
        </is>
      </c>
      <c r="B34" s="143" t="inlineStr">
        <is>
          <t>قطع سیم باتری بدون برق شهر / سکوت</t>
        </is>
      </c>
      <c r="C34" s="147" t="inlineStr">
        <is>
          <t>متوسط</t>
        </is>
      </c>
      <c r="D34" s="143" t="inlineStr">
        <is>
          <t>برد در BATTERY، برق شهر قطع، بار روشن</t>
        </is>
      </c>
      <c r="E34" s="145" t="inlineStr">
        <is>
          <t>گام ۱: برق شهر را قطع کن و مطمئن شو بار از باتری کار می‌کند.
گام ۲: سیم باتری را جدا کن تا ولتاژ خوانده‌شده صفر شود.
گام ۳: بعد از ۳ ثانیه PB11 و چهرهٔ LED و بوق را بخوان.
گام ۴: برق شهر را برگردان و ببین چهرهٔ شارژ برمی‌گردد.</t>
        </is>
      </c>
      <c r="F34" s="144" t="inlineStr">
        <is>
          <t>input=false، v≈0</t>
        </is>
      </c>
      <c r="G34" s="144" t="inlineStr">
        <is>
          <t>۵s</t>
        </is>
      </c>
      <c r="H34" s="143" t="inlineStr">
        <is>
          <t>مسیر بسته می‌شود، همه‌چیز خاموش می‌ماند و هیچ آلارمی نمی‌آید (تصمیم ۲۰۲۶-۱۰-۲۳). PASS: سکوت کامل. FAIL: هر آلارم یا چراغ.</t>
        </is>
      </c>
      <c r="I34" s="143" t="inlineStr">
        <is>
          <t>PASS: سکوت کامل. FAIL: آلارم.</t>
        </is>
      </c>
      <c r="J34" s="104" t="n"/>
      <c r="K34" s="143" t="inlineStr">
        <is>
          <t>در انتظار</t>
        </is>
      </c>
      <c r="L34" s="115" t="n"/>
      <c r="M34" s="104" t="n"/>
      <c r="N34" s="143" t="inlineStr">
        <is>
          <t>2026-10-23</t>
        </is>
      </c>
      <c r="O34" s="82" t="n"/>
      <c r="P34" s="82" t="n"/>
      <c r="Q34" s="98">
        <f>IF(OR(L34="",L34="در انتظار"),"",IF(Q34="",TODAY(),Q34))</f>
        <v/>
      </c>
    </row>
    <row r="35">
      <c r="A35" s="82" t="n"/>
      <c r="B35" s="82" t="n"/>
      <c r="C35" s="82" t="n"/>
      <c r="D35" s="82" t="n"/>
      <c r="E35" s="82" t="n"/>
      <c r="F35" s="82" t="n"/>
      <c r="G35" s="82" t="n"/>
      <c r="H35" s="82" t="n"/>
      <c r="I35" s="82" t="n"/>
      <c r="J35" s="82" t="n"/>
      <c r="K35" s="82" t="n"/>
      <c r="L35" s="82" t="n"/>
      <c r="M35" s="82" t="n"/>
      <c r="N35" s="82" t="n"/>
      <c r="O35" s="82" t="n"/>
      <c r="P35" s="82" t="n"/>
      <c r="Q35" s="98">
        <f>IF(OR(L35="",L35="در انتظار"),"",IF(Q35="",TODAY(),Q35))</f>
        <v/>
      </c>
    </row>
    <row r="36">
      <c r="A36" s="82" t="n"/>
      <c r="B36" s="82" t="n"/>
      <c r="C36" s="82" t="n"/>
      <c r="D36" s="82" t="n"/>
      <c r="E36" s="82" t="n"/>
      <c r="F36" s="82" t="n"/>
      <c r="G36" s="82" t="n"/>
      <c r="H36" s="82" t="n"/>
      <c r="I36" s="82" t="n"/>
      <c r="J36" s="82" t="n"/>
      <c r="K36" s="82" t="n"/>
      <c r="L36" s="82" t="n"/>
      <c r="M36" s="82" t="n"/>
      <c r="N36" s="82" t="n"/>
      <c r="O36" s="82" t="n"/>
      <c r="P36" s="82" t="n"/>
      <c r="Q36" s="98">
        <f>IF(OR(L36="",L36="در انتظار"),"",IF(Q36="",TODAY(),Q36))</f>
        <v/>
      </c>
    </row>
    <row r="37">
      <c r="A37" s="82" t="n"/>
      <c r="B37" s="82" t="n"/>
      <c r="C37" s="82" t="n"/>
      <c r="D37" s="82" t="n"/>
      <c r="E37" s="82" t="n"/>
      <c r="F37" s="82" t="n"/>
      <c r="G37" s="82" t="n"/>
      <c r="H37" s="82" t="n"/>
      <c r="I37" s="82" t="n"/>
      <c r="J37" s="82" t="n"/>
      <c r="K37" s="82" t="n"/>
      <c r="L37" s="82" t="n"/>
      <c r="M37" s="82" t="n"/>
      <c r="N37" s="82" t="n"/>
      <c r="O37" s="82" t="n"/>
      <c r="P37" s="82" t="n"/>
      <c r="Q37" s="98">
        <f>IF(OR(L37="",L37="در انتظار"),"",IF(Q37="",TODAY(),Q37))</f>
        <v/>
      </c>
    </row>
    <row r="38">
      <c r="A38" s="82" t="n"/>
      <c r="B38" s="82" t="n"/>
      <c r="C38" s="82" t="n"/>
      <c r="D38" s="82" t="n"/>
      <c r="E38" s="82" t="n"/>
      <c r="F38" s="82" t="n"/>
      <c r="G38" s="82" t="n"/>
      <c r="H38" s="82" t="n"/>
      <c r="I38" s="82" t="n"/>
      <c r="J38" s="82" t="n"/>
      <c r="K38" s="82" t="n"/>
      <c r="L38" s="82" t="n"/>
      <c r="M38" s="82" t="n"/>
      <c r="N38" s="82" t="n"/>
      <c r="O38" s="82" t="n"/>
      <c r="P38" s="82" t="n"/>
      <c r="Q38" s="98">
        <f>IF(OR(L38="",L38="در انتظار"),"",IF(Q38="",TODAY(),Q38))</f>
        <v/>
      </c>
    </row>
    <row r="39">
      <c r="A39" s="82" t="n"/>
      <c r="B39" s="82" t="n"/>
      <c r="C39" s="82" t="n"/>
      <c r="D39" s="82" t="n"/>
      <c r="E39" s="82" t="n"/>
      <c r="F39" s="82" t="n"/>
      <c r="G39" s="82" t="n"/>
      <c r="H39" s="82" t="n"/>
      <c r="I39" s="82" t="n"/>
      <c r="J39" s="82" t="n"/>
      <c r="K39" s="82" t="n"/>
      <c r="L39" s="82" t="n"/>
      <c r="M39" s="82" t="n"/>
      <c r="N39" s="82" t="n"/>
      <c r="O39" s="82" t="n"/>
      <c r="P39" s="82" t="n"/>
      <c r="Q39" s="98">
        <f>IF(OR(L39="",L39="در انتظار"),"",IF(Q39="",TODAY(),Q39))</f>
        <v/>
      </c>
    </row>
    <row r="40">
      <c r="A40" s="82" t="n"/>
      <c r="B40" s="82" t="n"/>
      <c r="C40" s="82" t="n"/>
      <c r="D40" s="82" t="n"/>
      <c r="E40" s="82" t="n"/>
      <c r="F40" s="82" t="n"/>
      <c r="G40" s="82" t="n"/>
      <c r="H40" s="82" t="n"/>
      <c r="I40" s="82" t="n"/>
      <c r="J40" s="82" t="n"/>
      <c r="K40" s="82" t="n"/>
      <c r="L40" s="82" t="n"/>
      <c r="M40" s="82" t="n"/>
      <c r="N40" s="82" t="n"/>
      <c r="O40" s="82" t="n"/>
      <c r="P40" s="82" t="n"/>
      <c r="Q40" s="98">
        <f>IF(OR(L40="",L40="در انتظار"),"",IF(Q40="",TODAY(),Q40))</f>
        <v/>
      </c>
    </row>
    <row r="41">
      <c r="A41" s="82" t="n"/>
      <c r="B41" s="82" t="n"/>
      <c r="C41" s="82" t="n"/>
      <c r="D41" s="82" t="n"/>
      <c r="E41" s="82" t="n"/>
      <c r="F41" s="82" t="n"/>
      <c r="G41" s="82" t="n"/>
      <c r="H41" s="82" t="n"/>
      <c r="I41" s="82" t="n"/>
      <c r="J41" s="82" t="n"/>
      <c r="K41" s="82" t="n"/>
      <c r="L41" s="82" t="n"/>
      <c r="M41" s="82" t="n"/>
      <c r="N41" s="82" t="n"/>
      <c r="O41" s="82" t="n"/>
      <c r="P41" s="82" t="n"/>
      <c r="Q41" s="98">
        <f>IF(OR(L41="",L41="در انتظار"),"",IF(Q41="",TODAY(),Q41))</f>
        <v/>
      </c>
    </row>
    <row r="42">
      <c r="A42" s="82" t="n"/>
      <c r="B42" s="82" t="n"/>
      <c r="C42" s="82" t="n"/>
      <c r="D42" s="82" t="n"/>
      <c r="E42" s="82" t="n"/>
      <c r="F42" s="82" t="n"/>
      <c r="G42" s="82" t="n"/>
      <c r="H42" s="82" t="n"/>
      <c r="I42" s="82" t="n"/>
      <c r="J42" s="82" t="n"/>
      <c r="K42" s="82" t="n"/>
      <c r="L42" s="82" t="n"/>
      <c r="M42" s="82" t="n"/>
      <c r="N42" s="82" t="n"/>
      <c r="O42" s="82" t="n"/>
      <c r="P42" s="82" t="n"/>
      <c r="Q42" s="98">
        <f>IF(OR(L42="",L42="در انتظار"),"",IF(Q42="",TODAY(),Q42))</f>
        <v/>
      </c>
    </row>
    <row r="43">
      <c r="A43" s="82" t="n"/>
      <c r="B43" s="82" t="n"/>
      <c r="C43" s="82" t="n"/>
      <c r="D43" s="82" t="n"/>
      <c r="E43" s="82" t="n"/>
      <c r="F43" s="82" t="n"/>
      <c r="G43" s="82" t="n"/>
      <c r="H43" s="82" t="n"/>
      <c r="I43" s="82" t="n"/>
      <c r="J43" s="82" t="n"/>
      <c r="K43" s="82" t="n"/>
      <c r="L43" s="82" t="n"/>
      <c r="M43" s="82" t="n"/>
      <c r="N43" s="82" t="n"/>
      <c r="O43" s="82" t="n"/>
      <c r="P43" s="82" t="n"/>
      <c r="Q43" s="98">
        <f>IF(OR(L43="",L43="در انتظار"),"",IF(Q43="",TODAY(),Q43))</f>
        <v/>
      </c>
    </row>
    <row r="44">
      <c r="A44" s="82" t="n"/>
      <c r="B44" s="82" t="n"/>
      <c r="C44" s="82" t="n"/>
      <c r="D44" s="82" t="n"/>
      <c r="E44" s="82" t="n"/>
      <c r="F44" s="82" t="n"/>
      <c r="G44" s="82" t="n"/>
      <c r="H44" s="82" t="n"/>
      <c r="I44" s="82" t="n"/>
      <c r="J44" s="82" t="n"/>
      <c r="K44" s="82" t="n"/>
      <c r="L44" s="82" t="n"/>
      <c r="M44" s="82" t="n"/>
      <c r="N44" s="82" t="n"/>
      <c r="O44" s="82" t="n"/>
      <c r="P44" s="82" t="n"/>
      <c r="Q44" s="98">
        <f>IF(OR(L44="",L44="در انتظار"),"",IF(Q44="",TODAY(),Q44))</f>
        <v/>
      </c>
    </row>
  </sheetData>
  <autoFilter ref="A4:Q24"/>
  <dataValidations count="1">
    <dataValidation sqref="L5 L6 L7 L8 L9 L10 L11 L12 L13 L14 L15 L16 L17 L18 L19 L20 L21 L22 L23 L24 L25 L26 L27 L28 L29 L30 L31 L32 L33 L34 L35 L36 L37 L38 L39 L40 L41 L42 L43 L44" showDropDown="0" showInputMessage="0" showErrorMessage="0" allowBlank="1" type="list">
      <formula1>='فهرست‌ها'!$A$2:$A$7</formula1>
    </dataValidation>
  </dataValidations>
  <hyperlinks>
    <hyperlink ref="E17" location="'تست‌های آزمایشگاهی'!A12"/>
    <hyperlink ref="D20" location="'تست‌های آزمایشگاهی'!A17"/>
    <hyperlink ref="E20" location="'تست‌های آزمایشگاهی'!A17"/>
    <hyperlink ref="E23" location="'تست‌های آزمایشگاهی'!A5"/>
    <hyperlink ref="E24" location="'تست‌های آزمایشگاهی'!A1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6" t="inlineStr">
        <is>
          <t>تست‌های برنامه‌نویسی و هاست (جدا از ولیدیشن عملی برد)</t>
        </is>
      </c>
      <c r="B1" s="82" t="n"/>
      <c r="C1" s="82" t="n"/>
      <c r="D1" s="82" t="n"/>
      <c r="E1" s="82" t="n"/>
      <c r="F1" s="82" t="n"/>
      <c r="G1" s="82" t="n"/>
      <c r="H1" s="82" t="n"/>
      <c r="I1" s="82" t="n"/>
      <c r="J1" s="82" t="n"/>
      <c r="K1" s="82" t="n"/>
      <c r="L1" s="82" t="n"/>
      <c r="M1" s="82" t="n"/>
      <c r="N1" s="82" t="n"/>
      <c r="O1" s="82" t="n"/>
      <c r="P1" s="82" t="n"/>
      <c r="Q1" s="82" t="n"/>
    </row>
    <row r="2" ht="42" customHeight="1">
      <c r="A2" s="82" t="n"/>
      <c r="B2" s="10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معیار قبولی</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row>
    <row r="5" ht="54" customHeight="1">
      <c r="A5" s="99" t="inlineStr">
        <is>
          <t>CO-020</t>
        </is>
      </c>
      <c r="B5" s="104" t="inlineStr">
        <is>
          <t>فقط PROTECT_BATTERY مجاز</t>
        </is>
      </c>
      <c r="C5" s="114" t="inlineStr">
        <is>
          <t>بالا</t>
        </is>
      </c>
      <c r="D5" s="104" t="inlineStr">
        <is>
          <t>کد review + تست</t>
        </is>
      </c>
      <c r="E5" s="106" t="inlineStr">
        <is>
          <t>گام ۱: کد changeover.c را بازبینی کن: تنها جایی که اجازهٔ نوشتن روی خروجی دارد باید func__BspGpio_Write با BSP_GPIO_PROTECT_BATTERY (همان PB11) باشد.
گام ۲: دنبال هر ارجاع مستقیم به board_pins یا HAL یا PB5/PB7 در این مسیر بگرد؛ نباید هیچ‌کدام باشد.
گام ۳: با اسیلوسکوپ PB11 را در چند تست قبلی چک کن که فقط همان تغییر می‌کند.
گام ۴: اگر PB5 یا PB7 در هیچ تستی تغییر نکرد، قبول است.</t>
        </is>
      </c>
      <c r="F5" s="105" t="inlineStr">
        <is>
          <t>کد + PB11</t>
        </is>
      </c>
      <c r="G5" s="105" t="inlineStr">
        <is>
          <t>—</t>
        </is>
      </c>
      <c r="H5" s="104" t="inlineStr">
        <is>
          <t>هیچ کد board_pins/HAL/PB5/PB7 نباشد، فقط PB11 تغییر کند. PASS: فقط PB11. FAIL: PB5/7.</t>
        </is>
      </c>
      <c r="I5" s="104" t="inlineStr">
        <is>
          <t>PASS: only PB11. FAIL: PB5/7 usage.</t>
        </is>
      </c>
      <c r="J5" s="104" t="n"/>
      <c r="K5" s="104" t="inlineStr">
        <is>
          <t>در انتظار</t>
        </is>
      </c>
      <c r="L5" s="115" t="n"/>
      <c r="M5" s="104" t="n"/>
      <c r="N5" s="104" t="inlineStr">
        <is>
          <t>c6b084f28f2c507cfd342e5dbd0dbd8e45686772</t>
        </is>
      </c>
      <c r="O5" s="105" t="n"/>
      <c r="P5" s="105" t="n"/>
      <c r="Q5" s="107">
        <f>IF(OR(L5="",L5="در انتظار"),"",IF(Q5="",TODAY(),Q5))</f>
        <v/>
      </c>
    </row>
    <row r="6" ht="54" customHeight="1">
      <c r="A6" s="99" t="inlineStr">
        <is>
          <t>CO-021</t>
        </is>
      </c>
      <c r="B6" s="143" t="inlineStr">
        <is>
          <t>زمان از rtos_time</t>
        </is>
      </c>
      <c r="C6" s="144" t="inlineStr">
        <is>
          <t>متوسط</t>
        </is>
      </c>
      <c r="D6" s="143" t="inlineStr">
        <is>
          <t>هر زمان</t>
        </is>
      </c>
      <c r="E6" s="143" t="inlineStr">
        <is>
          <t>گام ۱: کد را بازبینی کن: همهٔ تبدیل‌های میلی‌ثانیه به تیک باید فقط از func__Rtos_MillisecondsToTicks و زمان فعلی از osKernelGetTickCount گرفته شود.
گام ۲: دنبال هر جا که «تیک برابر 1 میلی‌ثانیه» فرض شده باشد بگرد؛ نباید هیچ جا باشد.
گام ۳: در صورت امکان فرکانس تیک را در شبیه‌سازی تغییر بده و تست 3000 میلی‌ثانیه‌ای قطع را تکرار کن.
گام ۴: رفتار باید با هر فرکانس تیک درست بماند؛ وابستگی به فرض 1 میلی‌ثانیه یعنی رد تست.</t>
        </is>
      </c>
      <c r="F6" s="144" t="inlineStr">
        <is>
          <t>کد review</t>
        </is>
      </c>
      <c r="G6" s="144" t="inlineStr">
        <is>
          <t>—</t>
        </is>
      </c>
      <c r="H6" s="143" t="inlineStr">
        <is>
          <t>زمان با rtos_time قابل‌حمل باشد، 3000ms با هر فرکانس تیک درست کار کند. PASS: portable. FAIL: فرض 1ms.</t>
        </is>
      </c>
      <c r="I6" s="143" t="inlineStr">
        <is>
          <t>PASS: portable via rtos_time. FAIL: hardcoded 1ms.</t>
        </is>
      </c>
      <c r="J6" s="104" t="n"/>
      <c r="K6" s="112" t="inlineStr">
        <is>
          <t>در انتظار</t>
        </is>
      </c>
      <c r="L6" s="113" t="n"/>
      <c r="M6" s="100" t="n"/>
      <c r="N6" s="143" t="inlineStr">
        <is>
          <t>c6b084f28f2c507cfd342e5dbd0dbd8e45686772</t>
        </is>
      </c>
      <c r="O6" s="101" t="n"/>
      <c r="P6" s="101" t="n"/>
      <c r="Q6" s="148">
        <f>IF(OR(L6="",L6="در انتظار"),"",IF(Q6="",TODAY(),Q6))</f>
        <v/>
      </c>
    </row>
    <row r="7" ht="54" customHeight="1">
      <c r="A7" s="99" t="inlineStr">
        <is>
          <t>CO-022</t>
        </is>
      </c>
      <c r="B7" s="104" t="inlineStr">
        <is>
          <t>durationTicks صفر → no immediate cut</t>
        </is>
      </c>
      <c r="C7" s="114" t="inlineStr">
        <is>
          <t>بالا</t>
        </is>
      </c>
      <c r="D7" s="104" t="inlineStr">
        <is>
          <t>BATTERY با شرط قطع</t>
        </is>
      </c>
      <c r="E7" s="104" t="inlineStr">
        <is>
          <t>گام ۱: برد در BATTERY و شرط قطع برقرار باشد.
گام ۲: در شبیه‌سازی کاری کن فرکانس تیک صفر شود، طوری که func__Rtos_MillisecondsToTicks مقدار 0 برگرداند.
گام ۳: snapshot معتبر با v=20700 و flag=true را 3500 میلی‌ثانیه نگه دار.
گام ۴: هیچ قطع یا وصل فوری نباید اتفاق بیفتد؛ وضعیت و PB11 باید حفظ شوند و فقط تایمر reset شود. قطع فوری یعنی رد تست.</t>
        </is>
      </c>
      <c r="F7" s="105" t="inlineStr">
        <is>
          <t>valid true v20700 durTicks0</t>
        </is>
      </c>
      <c r="G7" s="105" t="inlineStr">
        <is>
          <t>3500ms</t>
        </is>
      </c>
      <c r="H7" s="104" t="inlineStr">
        <is>
          <t>هیچ قطع/وصل فوری انجام نشود، state و PB11 حفظ، تایمر reset. PASS: guard بدون تصمیم. FAIL: قطع فوری.</t>
        </is>
      </c>
      <c r="I7" s="104" t="inlineStr">
        <is>
          <t>PASS: guard preserves. FAIL: immediate cut.</t>
        </is>
      </c>
      <c r="J7" s="104" t="n"/>
      <c r="K7" s="104" t="inlineStr">
        <is>
          <t>در انتظار</t>
        </is>
      </c>
      <c r="L7" s="115" t="n"/>
      <c r="M7" s="104" t="n"/>
      <c r="N7" s="104" t="inlineStr">
        <is>
          <t>c6b084f28f2c507cfd342e5dbd0dbd8e45686772</t>
        </is>
      </c>
      <c r="O7" s="105" t="n"/>
      <c r="P7" s="105" t="n"/>
      <c r="Q7" s="107">
        <f>IF(OR(L7="",L7="در انتظار"),"",IF(Q7="",TODAY(),Q7))</f>
        <v/>
      </c>
    </row>
    <row r="8" ht="54" customHeight="1">
      <c r="A8" s="99" t="inlineStr">
        <is>
          <t>CO-023</t>
        </is>
      </c>
      <c r="B8" s="143" t="inlineStr">
        <is>
          <t>snapshot zeroing task_control</t>
        </is>
      </c>
      <c r="C8" s="147" t="inlineStr">
        <is>
          <t>بالا</t>
        </is>
      </c>
      <c r="D8" s="143" t="inlineStr">
        <is>
          <t>MODULE_MEASUREMENT=0 یا GetSnapshot=false</t>
        </is>
      </c>
      <c r="E8" s="143" t="inlineStr">
        <is>
          <t>گام ۱: برد را با MODULE_MEASUREMENT=0 بیلد کن. یا ADC را نگه دار تا valid=false بماند.
گام ۲: 3 ثانیه وضعیت و PB11 را نگاه کن.
گام ۳: هیچ فیلدی از داده نباید زبالهٔ پشته داشته باشد. هر چهار تسک (کنترل، ارتباط، UI و حفاظت) هر 9 فیلد را از قبل صفر می‌کنند.
گام ۴: Changeover باید فقط روی valid تصمیم بگیرد و PB11 امن بماند.
گام ۵: هیچ تصمیمی بر اساس زباله قبول نیست.</t>
        </is>
      </c>
      <c r="F8" s="144" t="inlineStr">
        <is>
          <t>valid=false</t>
        </is>
      </c>
      <c r="G8" s="144" t="inlineStr">
        <is>
          <t>3500ms</t>
        </is>
      </c>
      <c r="H8" s="143" t="inlineStr">
        <is>
          <t>هیچ فیلدی از داده نباید زبالهٔ پشته داشته باشد.
Changeover باید فقط روی valid گیت بزند و PB11 امن بماند.
تسک کنترل، مثل تسک‌های ارتباط و UI و حفاظت، هر 9 فیلد را صفر می‌کند.</t>
        </is>
      </c>
      <c r="I8" s="143" t="inlineStr">
        <is>
          <t>امن</t>
        </is>
      </c>
      <c r="J8" s="143" t="inlineStr">
        <is>
          <t>بدون تصمیم بر اساس زباله؛ PB11 حفظ</t>
        </is>
      </c>
      <c r="K8" s="100" t="n"/>
      <c r="L8" s="117" t="inlineStr">
        <is>
          <t>نیاز به تکرار</t>
        </is>
      </c>
      <c r="M8" s="100" t="n"/>
      <c r="N8" s="100" t="n"/>
      <c r="O8" s="144" t="inlineStr">
        <is>
          <t>62f3782</t>
        </is>
      </c>
      <c r="P8" s="101" t="n"/>
      <c r="Q8" s="148" t="inlineStr">
        <is>
          <t>2026-10-12</t>
        </is>
      </c>
    </row>
    <row r="9" ht="54" customHeight="1">
      <c r="A9" s="99" t="inlineStr">
        <is>
          <t>CO-031</t>
        </is>
      </c>
      <c r="B9" s="143" t="inlineStr">
        <is>
          <t>نمایش حکم باتری ضعیف در پنل کالیبراسیون و پنل کاربری</t>
        </is>
      </c>
      <c r="C9" s="147" t="inlineStr">
        <is>
          <t>متوسط</t>
        </is>
      </c>
      <c r="D9" s="143" t="inlineStr">
        <is>
          <t>حکم قفل روی برد</t>
        </is>
      </c>
      <c r="E9" s="143" t="inlineStr">
        <is>
          <t>گام ۱: روی برد حکم باتری ضعیف را قفل کن (یا در تست هاست بیت `0x10` را در بایت وضعیت بگذار).
گام ۲: پنل کالیبراسیون را باز کن: چراغ «باتری ضعیف» در نوار خطاهای قفل‌شده باید قرمز شود و کارت ۸ باید بگوید حکم قفل است و مسیر باتری بسته مانده.
گام ۳: روی همان چراغ کلیک کن؛ باید کارت ۸ باز شود.
گام ۴: حکم را پاک کن؛ چراغ باید سبز و خط وضعیت باید بگوید حکم قفل نیست.
گام ۵: در پنل کاربری ESP، پیام بالای صفحه باید «باتری ضعیف» را با همان توضیح نشان دهد.</t>
        </is>
      </c>
      <c r="F9" s="144" t="inlineStr">
        <is>
          <t>bit 0x10 = 1 سپس 0</t>
        </is>
      </c>
      <c r="G9" s="144" t="inlineStr">
        <is>
          <t>—</t>
        </is>
      </c>
      <c r="H9" s="143" t="inlineStr">
        <is>
          <t>هر دو پنل حکم را از همان بیت فریم زنده بخوانند؛ چراغ همیشه سوار باشد (سبز/قرمز) و کلیکش کارت ۸ را باز کند. PASS: نمایش درست در هر دو پنل. FAIL: چراغ نبودن یا متن نادرست.</t>
        </is>
      </c>
      <c r="I9" s="143" t="inlineStr">
        <is>
          <t>PASS: weak lamp + status line in both panels. FAIL: no lamp.</t>
        </is>
      </c>
      <c r="J9" s="143" t="n"/>
      <c r="K9" s="100" t="inlineStr">
        <is>
          <t>در انتظار</t>
        </is>
      </c>
      <c r="L9" s="117" t="n"/>
      <c r="M9" s="100" t="n"/>
      <c r="N9" s="100" t="inlineStr">
        <is>
          <t>2026-10-23</t>
        </is>
      </c>
      <c r="O9" s="82" t="n"/>
      <c r="P9" s="82" t="n"/>
      <c r="Q9" s="98">
        <f>IF(OR(L9="",L9="در انتظار"),"",IF(Q9="",TODAY(),Q9))</f>
        <v/>
      </c>
    </row>
    <row r="10">
      <c r="A10" s="82" t="n"/>
      <c r="B10" s="82" t="n"/>
      <c r="C10" s="82" t="n"/>
      <c r="D10" s="82" t="n"/>
      <c r="E10" s="82" t="n"/>
      <c r="F10" s="82" t="n"/>
      <c r="G10" s="82" t="n"/>
      <c r="H10" s="82" t="n"/>
      <c r="I10" s="82" t="n"/>
      <c r="J10" s="82" t="n"/>
      <c r="K10" s="82" t="n"/>
      <c r="L10" s="82" t="n"/>
      <c r="M10" s="82" t="n"/>
      <c r="N10" s="82" t="n"/>
      <c r="O10" s="82" t="n"/>
      <c r="P10" s="82" t="n"/>
      <c r="Q10" s="98">
        <f>IF(OR(L10="",L10="در انتظار"),"",IF(Q10="",TODAY(),Q10))</f>
        <v/>
      </c>
    </row>
    <row r="11">
      <c r="A11" s="82" t="n"/>
      <c r="B11" s="82" t="n"/>
      <c r="C11" s="82" t="n"/>
      <c r="D11" s="82" t="n"/>
      <c r="E11" s="82" t="n"/>
      <c r="F11" s="82" t="n"/>
      <c r="G11" s="82" t="n"/>
      <c r="H11" s="82" t="n"/>
      <c r="I11" s="82" t="n"/>
      <c r="J11" s="82" t="n"/>
      <c r="K11" s="82" t="n"/>
      <c r="L11" s="82" t="n"/>
      <c r="M11" s="82" t="n"/>
      <c r="N11" s="82" t="n"/>
      <c r="O11" s="82" t="n"/>
      <c r="P11" s="82" t="n"/>
      <c r="Q11" s="98">
        <f>IF(OR(L11="",L11="در انتظار"),"",IF(Q11="",TODAY(),Q11))</f>
        <v/>
      </c>
    </row>
    <row r="12">
      <c r="A12" s="82" t="n"/>
      <c r="B12" s="82" t="n"/>
      <c r="C12" s="82" t="n"/>
      <c r="D12" s="82" t="n"/>
      <c r="E12" s="82" t="n"/>
      <c r="F12" s="82" t="n"/>
      <c r="G12" s="82" t="n"/>
      <c r="H12" s="82" t="n"/>
      <c r="I12" s="82" t="n"/>
      <c r="J12" s="82" t="n"/>
      <c r="K12" s="82" t="n"/>
      <c r="L12" s="82" t="n"/>
      <c r="M12" s="82" t="n"/>
      <c r="N12" s="82" t="n"/>
      <c r="O12" s="82" t="n"/>
      <c r="P12" s="82" t="n"/>
      <c r="Q12" s="98">
        <f>IF(OR(L12="",L12="در انتظار"),"",IF(Q12="",TODAY(),Q12))</f>
        <v/>
      </c>
    </row>
    <row r="13">
      <c r="A13" s="82" t="n"/>
      <c r="B13" s="82" t="n"/>
      <c r="C13" s="82" t="n"/>
      <c r="D13" s="82" t="n"/>
      <c r="E13" s="82" t="n"/>
      <c r="F13" s="82" t="n"/>
      <c r="G13" s="82" t="n"/>
      <c r="H13" s="82" t="n"/>
      <c r="I13" s="82" t="n"/>
      <c r="J13" s="82" t="n"/>
      <c r="K13" s="82" t="n"/>
      <c r="L13" s="82" t="n"/>
      <c r="M13" s="82" t="n"/>
      <c r="N13" s="82" t="n"/>
      <c r="O13" s="82" t="n"/>
      <c r="P13" s="82" t="n"/>
      <c r="Q13" s="98">
        <f>IF(OR(L13="",L13="در انتظار"),"",IF(Q13="",TODAY(),Q13))</f>
        <v/>
      </c>
    </row>
    <row r="14">
      <c r="A14" s="82" t="n"/>
      <c r="B14" s="82" t="n"/>
      <c r="C14" s="82" t="n"/>
      <c r="D14" s="82" t="n"/>
      <c r="E14" s="82" t="n"/>
      <c r="F14" s="82" t="n"/>
      <c r="G14" s="82" t="n"/>
      <c r="H14" s="82" t="n"/>
      <c r="I14" s="82" t="n"/>
      <c r="J14" s="82" t="n"/>
      <c r="K14" s="82" t="n"/>
      <c r="L14" s="82" t="n"/>
      <c r="M14" s="82" t="n"/>
      <c r="N14" s="82" t="n"/>
      <c r="O14" s="82" t="n"/>
      <c r="P14" s="82" t="n"/>
      <c r="Q14" s="98">
        <f>IF(OR(L14="",L14="در انتظار"),"",IF(Q14="",TODAY(),Q14))</f>
        <v/>
      </c>
    </row>
    <row r="15">
      <c r="A15" s="82" t="n"/>
      <c r="B15" s="82" t="n"/>
      <c r="C15" s="82" t="n"/>
      <c r="D15" s="82" t="n"/>
      <c r="E15" s="82" t="n"/>
      <c r="F15" s="82" t="n"/>
      <c r="G15" s="82" t="n"/>
      <c r="H15" s="82" t="n"/>
      <c r="I15" s="82" t="n"/>
      <c r="J15" s="82" t="n"/>
      <c r="K15" s="82" t="n"/>
      <c r="L15" s="82" t="n"/>
      <c r="M15" s="82" t="n"/>
      <c r="N15" s="82" t="n"/>
      <c r="O15" s="82" t="n"/>
      <c r="P15" s="82" t="n"/>
      <c r="Q15" s="98">
        <f>IF(OR(L15="",L15="در انتظار"),"",IF(Q15="",TODAY(),Q15))</f>
        <v/>
      </c>
    </row>
    <row r="16">
      <c r="A16" s="82" t="n"/>
      <c r="B16" s="82" t="n"/>
      <c r="C16" s="82" t="n"/>
      <c r="D16" s="82" t="n"/>
      <c r="E16" s="82" t="n"/>
      <c r="F16" s="82" t="n"/>
      <c r="G16" s="82" t="n"/>
      <c r="H16" s="82" t="n"/>
      <c r="I16" s="82" t="n"/>
      <c r="J16" s="82" t="n"/>
      <c r="K16" s="82" t="n"/>
      <c r="L16" s="82" t="n"/>
      <c r="M16" s="82" t="n"/>
      <c r="N16" s="82" t="n"/>
      <c r="O16" s="82" t="n"/>
      <c r="P16" s="82" t="n"/>
      <c r="Q16" s="98">
        <f>IF(OR(L16="",L16="در انتظار"),"",IF(Q16="",TODAY(),Q16))</f>
        <v/>
      </c>
    </row>
    <row r="17">
      <c r="A17" s="82" t="n"/>
      <c r="B17" s="82" t="n"/>
      <c r="C17" s="82" t="n"/>
      <c r="D17" s="82" t="n"/>
      <c r="E17" s="82" t="n"/>
      <c r="F17" s="82" t="n"/>
      <c r="G17" s="82" t="n"/>
      <c r="H17" s="82" t="n"/>
      <c r="I17" s="82" t="n"/>
      <c r="J17" s="82" t="n"/>
      <c r="K17" s="82" t="n"/>
      <c r="L17" s="82" t="n"/>
      <c r="M17" s="82" t="n"/>
      <c r="N17" s="82" t="n"/>
      <c r="O17" s="82" t="n"/>
      <c r="P17" s="82" t="n"/>
      <c r="Q17" s="98">
        <f>IF(OR(L17="",L17="در انتظار"),"",IF(Q17="",TODAY(),Q17))</f>
        <v/>
      </c>
    </row>
    <row r="18">
      <c r="A18" s="82" t="n"/>
      <c r="B18" s="82" t="n"/>
      <c r="C18" s="82" t="n"/>
      <c r="D18" s="82" t="n"/>
      <c r="E18" s="82" t="n"/>
      <c r="F18" s="82" t="n"/>
      <c r="G18" s="82" t="n"/>
      <c r="H18" s="82" t="n"/>
      <c r="I18" s="82" t="n"/>
      <c r="J18" s="82" t="n"/>
      <c r="K18" s="82" t="n"/>
      <c r="L18" s="82" t="n"/>
      <c r="M18" s="82" t="n"/>
      <c r="N18" s="82" t="n"/>
      <c r="O18" s="82" t="n"/>
      <c r="P18" s="82" t="n"/>
      <c r="Q18" s="98">
        <f>IF(OR(L18="",L18="در انتظار"),"",IF(Q18="",TODAY(),Q18))</f>
        <v/>
      </c>
    </row>
    <row r="19">
      <c r="A19" s="82" t="n"/>
      <c r="B19" s="82" t="n"/>
      <c r="C19" s="82" t="n"/>
      <c r="D19" s="82" t="n"/>
      <c r="E19" s="82" t="n"/>
      <c r="F19" s="82" t="n"/>
      <c r="G19" s="82" t="n"/>
      <c r="H19" s="82" t="n"/>
      <c r="I19" s="82" t="n"/>
      <c r="J19" s="82" t="n"/>
      <c r="K19" s="82" t="n"/>
      <c r="L19" s="82" t="n"/>
      <c r="M19" s="82" t="n"/>
      <c r="N19" s="82" t="n"/>
      <c r="O19" s="82" t="n"/>
      <c r="P19" s="82" t="n"/>
      <c r="Q19" s="98">
        <f>IF(OR(L19="",L19="در انتظار"),"",IF(Q19="",TODAY(),Q19))</f>
        <v/>
      </c>
    </row>
    <row r="20">
      <c r="A20" s="82" t="n"/>
      <c r="B20" s="82" t="n"/>
      <c r="C20" s="82" t="n"/>
      <c r="D20" s="82" t="n"/>
      <c r="E20" s="82" t="n"/>
      <c r="F20" s="82" t="n"/>
      <c r="G20" s="82" t="n"/>
      <c r="H20" s="82" t="n"/>
      <c r="I20" s="82" t="n"/>
      <c r="J20" s="82" t="n"/>
      <c r="K20" s="82" t="n"/>
      <c r="L20" s="82" t="n"/>
      <c r="M20" s="82" t="n"/>
      <c r="N20" s="82" t="n"/>
      <c r="O20" s="82" t="n"/>
      <c r="P20" s="82" t="n"/>
      <c r="Q20" s="98">
        <f>IF(OR(L20="",L20="در انتظار"),"",IF(Q20="",TODAY(),Q20))</f>
        <v/>
      </c>
    </row>
    <row r="21">
      <c r="A21" s="82" t="n"/>
      <c r="B21" s="82" t="n"/>
      <c r="C21" s="82" t="n"/>
      <c r="D21" s="82" t="n"/>
      <c r="E21" s="82" t="n"/>
      <c r="F21" s="82" t="n"/>
      <c r="G21" s="82" t="n"/>
      <c r="H21" s="82" t="n"/>
      <c r="I21" s="82" t="n"/>
      <c r="J21" s="82" t="n"/>
      <c r="K21" s="82" t="n"/>
      <c r="L21" s="82" t="n"/>
      <c r="M21" s="82" t="n"/>
      <c r="N21" s="82" t="n"/>
      <c r="O21" s="82" t="n"/>
      <c r="P21" s="82" t="n"/>
      <c r="Q21" s="98">
        <f>IF(OR(L21="",L21="در انتظار"),"",IF(Q21="",TODAY(),Q21))</f>
        <v/>
      </c>
    </row>
    <row r="22">
      <c r="A22" s="82" t="n"/>
      <c r="B22" s="82" t="n"/>
      <c r="C22" s="82" t="n"/>
      <c r="D22" s="82" t="n"/>
      <c r="E22" s="82" t="n"/>
      <c r="F22" s="82" t="n"/>
      <c r="G22" s="82" t="n"/>
      <c r="H22" s="82" t="n"/>
      <c r="I22" s="82" t="n"/>
      <c r="J22" s="82" t="n"/>
      <c r="K22" s="82" t="n"/>
      <c r="L22" s="82" t="n"/>
      <c r="M22" s="82" t="n"/>
      <c r="N22" s="82" t="n"/>
      <c r="O22" s="82" t="n"/>
      <c r="P22" s="82" t="n"/>
      <c r="Q22" s="98">
        <f>IF(OR(L22="",L22="در انتظار"),"",IF(Q22="",TODAY(),Q22))</f>
        <v/>
      </c>
    </row>
    <row r="23">
      <c r="A23" s="82" t="n"/>
      <c r="B23" s="82" t="n"/>
      <c r="C23" s="82" t="n"/>
      <c r="D23" s="82" t="n"/>
      <c r="E23" s="82" t="n"/>
      <c r="F23" s="82" t="n"/>
      <c r="G23" s="82" t="n"/>
      <c r="H23" s="82" t="n"/>
      <c r="I23" s="82" t="n"/>
      <c r="J23" s="82" t="n"/>
      <c r="K23" s="82" t="n"/>
      <c r="L23" s="82" t="n"/>
      <c r="M23" s="82" t="n"/>
      <c r="N23" s="82" t="n"/>
      <c r="O23" s="82" t="n"/>
      <c r="P23" s="82" t="n"/>
      <c r="Q23" s="98">
        <f>IF(OR(L23="",L23="در انتظار"),"",IF(Q23="",TODAY(),Q23))</f>
        <v/>
      </c>
    </row>
    <row r="24">
      <c r="A24" s="82" t="n"/>
      <c r="B24" s="82" t="n"/>
      <c r="C24" s="82" t="n"/>
      <c r="D24" s="82" t="n"/>
      <c r="E24" s="82" t="n"/>
      <c r="F24" s="82" t="n"/>
      <c r="G24" s="82" t="n"/>
      <c r="H24" s="82" t="n"/>
      <c r="I24" s="82" t="n"/>
      <c r="J24" s="82" t="n"/>
      <c r="K24" s="82" t="n"/>
      <c r="L24" s="82" t="n"/>
      <c r="M24" s="82" t="n"/>
      <c r="N24" s="82" t="n"/>
      <c r="O24" s="82" t="n"/>
      <c r="P24" s="82" t="n"/>
      <c r="Q24" s="98">
        <f>IF(OR(L24="",L24="در انتظار"),"",IF(Q24="",TODAY(),Q24))</f>
        <v/>
      </c>
    </row>
    <row r="25">
      <c r="A25" s="82" t="n"/>
      <c r="B25" s="82" t="n"/>
      <c r="C25" s="82" t="n"/>
      <c r="D25" s="82" t="n"/>
      <c r="E25" s="82" t="n"/>
      <c r="F25" s="82" t="n"/>
      <c r="G25" s="82" t="n"/>
      <c r="H25" s="82" t="n"/>
      <c r="I25" s="82" t="n"/>
      <c r="J25" s="82" t="n"/>
      <c r="K25" s="82" t="n"/>
      <c r="L25" s="82" t="n"/>
      <c r="M25" s="82" t="n"/>
      <c r="N25" s="82" t="n"/>
      <c r="O25" s="82" t="n"/>
      <c r="P25" s="82" t="n"/>
      <c r="Q25" s="98">
        <f>IF(OR(L25="",L25="در انتظار"),"",IF(Q25="",TODAY(),Q25))</f>
        <v/>
      </c>
    </row>
    <row r="26">
      <c r="A26" s="82" t="n"/>
      <c r="B26" s="82" t="n"/>
      <c r="C26" s="82" t="n"/>
      <c r="D26" s="82" t="n"/>
      <c r="E26" s="82" t="n"/>
      <c r="F26" s="82" t="n"/>
      <c r="G26" s="82" t="n"/>
      <c r="H26" s="82" t="n"/>
      <c r="I26" s="82" t="n"/>
      <c r="J26" s="82" t="n"/>
      <c r="K26" s="82" t="n"/>
      <c r="L26" s="82" t="n"/>
      <c r="M26" s="82" t="n"/>
      <c r="N26" s="82" t="n"/>
      <c r="O26" s="82" t="n"/>
      <c r="P26" s="82" t="n"/>
      <c r="Q26" s="98">
        <f>IF(OR(L26="",L26="در انتظار"),"",IF(Q26="",TODAY(),Q26))</f>
        <v/>
      </c>
    </row>
    <row r="27">
      <c r="A27" s="82" t="n"/>
      <c r="B27" s="82" t="n"/>
      <c r="C27" s="82" t="n"/>
      <c r="D27" s="82" t="n"/>
      <c r="E27" s="82" t="n"/>
      <c r="F27" s="82" t="n"/>
      <c r="G27" s="82" t="n"/>
      <c r="H27" s="82" t="n"/>
      <c r="I27" s="82" t="n"/>
      <c r="J27" s="82" t="n"/>
      <c r="K27" s="82" t="n"/>
      <c r="L27" s="82" t="n"/>
      <c r="M27" s="82" t="n"/>
      <c r="N27" s="82" t="n"/>
      <c r="O27" s="82" t="n"/>
      <c r="P27" s="82" t="n"/>
      <c r="Q27" s="98">
        <f>IF(OR(L27="",L27="در انتظار"),"",IF(Q27="",TODAY(),Q27))</f>
        <v/>
      </c>
    </row>
    <row r="28">
      <c r="A28" s="82" t="n"/>
      <c r="B28" s="82" t="n"/>
      <c r="C28" s="82" t="n"/>
      <c r="D28" s="82" t="n"/>
      <c r="E28" s="82" t="n"/>
      <c r="F28" s="82" t="n"/>
      <c r="G28" s="82" t="n"/>
      <c r="H28" s="82" t="n"/>
      <c r="I28" s="82" t="n"/>
      <c r="J28" s="82" t="n"/>
      <c r="K28" s="82" t="n"/>
      <c r="L28" s="82" t="n"/>
      <c r="M28" s="82" t="n"/>
      <c r="N28" s="82" t="n"/>
      <c r="O28" s="82" t="n"/>
      <c r="P28" s="82" t="n"/>
      <c r="Q28" s="98">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5"/>
  <sheetViews>
    <sheetView rightToLeft="1"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22" customWidth="1" min="4" max="4"/>
    <col width="22" customWidth="1" min="5" max="5"/>
    <col width="18" customWidth="1" min="6" max="6"/>
  </cols>
  <sheetData>
    <row r="1" ht="30" customHeight="1">
      <c r="A1" s="149" t="inlineStr">
        <is>
          <t>مرجع سریع سناریوهای Changeover</t>
        </is>
      </c>
      <c r="B1" s="8" t="n"/>
      <c r="C1" s="8" t="n"/>
      <c r="D1" s="8" t="n"/>
      <c r="E1" s="8" t="n"/>
      <c r="F1" s="9" t="n"/>
    </row>
    <row r="2" ht="18" customHeight="1">
      <c r="A2" s="118" t="inlineStr">
        <is>
          <t>این صفحه مرجع انتظار است؛ نتیجه واقعی فقط در «برنامه تست» ثبت شود. مقادیر از کد واقعی استخراج شده؛ مقدار حدسی وجود ندارد.</t>
        </is>
      </c>
    </row>
    <row r="3" ht="18" customHeight="1">
      <c r="A3" s="141" t="inlineStr">
        <is>
          <t>موضوع</t>
        </is>
      </c>
      <c r="B3" s="141" t="inlineStr">
        <is>
          <t>شرط / مقدار (از کد)</t>
        </is>
      </c>
      <c r="C3" s="141" t="inlineStr">
        <is>
          <t>رفتار مورد انتظار</t>
        </is>
      </c>
      <c r="D3" s="141" t="inlineStr">
        <is>
          <t>ثابت / محل کد</t>
        </is>
      </c>
      <c r="E3" s="141" t="inlineStr">
        <is>
          <t>توضیح تکمیلی</t>
        </is>
      </c>
      <c r="F3" s="141" t="inlineStr">
        <is>
          <t>وابستگی</t>
        </is>
      </c>
    </row>
    <row r="4" ht="14" customHeight="1">
      <c r="A4" s="119" t="inlineStr">
        <is>
          <t>Snapshot نامعتبر</t>
        </is>
      </c>
      <c r="B4" s="119" t="inlineStr">
        <is>
          <t>valid==false یا NULL</t>
        </is>
      </c>
      <c r="C4" s="119" t="inlineStr">
        <is>
          <t>state حفظ، PB11 حفظ، تایمر reset</t>
        </is>
      </c>
      <c r="D4" s="120" t="inlineStr">
        <is>
          <t>changeover.c:valid check</t>
        </is>
      </c>
      <c r="E4" s="119" t="inlineStr">
        <is>
          <t>زمان نامعتبر شمرده نشود</t>
        </is>
      </c>
      <c r="F4" s="120" t="inlineStr">
        <is>
          <t>CO-001,002,017</t>
        </is>
      </c>
    </row>
    <row r="5" ht="14" customHeight="1">
      <c r="A5" s="119" t="inlineStr">
        <is>
          <t>Fault</t>
        </is>
      </c>
      <c r="B5" s="119" t="inlineStr">
        <is>
          <t>fault_mask !=0</t>
        </is>
      </c>
      <c r="C5" s="119" t="inlineStr">
        <is>
          <t>state=FAULT، هیچ pin تغییر نکند</t>
        </is>
      </c>
      <c r="D5" s="119" t="inlineStr">
        <is>
          <t>FAULT_NONE</t>
        </is>
      </c>
      <c r="E5" s="119" t="inlineStr">
        <is>
          <t>بالاترین اولویت پس از valid</t>
        </is>
      </c>
      <c r="F5" s="120" t="inlineStr">
        <is>
          <t>CO-004,005,018</t>
        </is>
      </c>
    </row>
    <row r="6" ht="14" customHeight="1">
      <c r="A6" s="119" t="inlineStr">
        <is>
          <t>قطع با آلارم</t>
        </is>
      </c>
      <c r="B6" s="119" t="inlineStr">
        <is>
          <t>v&lt;21000 و فلگ true</t>
        </is>
      </c>
      <c r="C6" s="119" t="inlineStr">
        <is>
          <t>پس از 3000ms PB11 Low (قطع) → SAFE</t>
        </is>
      </c>
      <c r="D6" s="119" t="inlineStr">
        <is>
          <t>CHANGEOVER_BAT_LOW_ALARM_CUT_MV=21000</t>
        </is>
      </c>
      <c r="E6" s="119" t="inlineStr">
        <is>
          <t>پیوسته</t>
        </is>
      </c>
      <c r="F6" s="120" t="inlineStr">
        <is>
          <t>CO-008,010,012</t>
        </is>
      </c>
    </row>
    <row r="7" ht="14" customHeight="1">
      <c r="A7" s="119" t="inlineStr">
        <is>
          <t>قطع مستقل</t>
        </is>
      </c>
      <c r="B7" s="119" t="inlineStr">
        <is>
          <t>v&lt;20800 (بدون فلگ)</t>
        </is>
      </c>
      <c r="C7" s="119" t="inlineStr">
        <is>
          <t>پس از 3000ms PB11 Low</t>
        </is>
      </c>
      <c r="D7" s="119" t="inlineStr">
        <is>
          <t>CHANGEOVER_BAT_CRITICAL_CUT_MV=20800</t>
        </is>
      </c>
      <c r="E7" s="119" t="inlineStr">
        <is>
          <t>مستقل</t>
        </is>
      </c>
      <c r="F7" s="120" t="inlineStr">
        <is>
          <t>CO-009,011</t>
        </is>
      </c>
    </row>
    <row r="8" ht="14" customHeight="1">
      <c r="A8" s="119" t="inlineStr">
        <is>
          <t>فیلتر زمان</t>
        </is>
      </c>
      <c r="B8" s="119" t="inlineStr">
        <is>
          <t>هر شرط &lt;3000ms</t>
        </is>
      </c>
      <c r="C8" s="119" t="inlineStr">
        <is>
          <t>عدم قطع/وصل</t>
        </is>
      </c>
      <c r="D8" s="119" t="inlineStr">
        <is>
          <t>CHANGEOVER_DURATION_MS=3000</t>
        </is>
      </c>
      <c r="E8" s="119" t="inlineStr">
        <is>
          <t>از rtos_time</t>
        </is>
      </c>
      <c r="F8" s="120" t="inlineStr">
        <is>
          <t>CO-012,015</t>
        </is>
      </c>
    </row>
    <row r="9" ht="14" customHeight="1">
      <c r="A9" s="119" t="inlineStr">
        <is>
          <t>وصل مجدد</t>
        </is>
      </c>
      <c r="B9" s="119" t="inlineStr">
        <is>
          <t>input==true و v≥21200</t>
        </is>
      </c>
      <c r="C9" s="119" t="inlineStr">
        <is>
          <t>پس از 3000ms PB11 High → INPUT</t>
        </is>
      </c>
      <c r="D9" s="119" t="inlineStr">
        <is>
          <t>CHANGEOVER_BAT_RECONNECT_MV=21200</t>
        </is>
      </c>
      <c r="E9" s="119" t="inlineStr">
        <is>
          <t>هر دو پیوسته</t>
        </is>
      </c>
      <c r="F9" s="120" t="inlineStr">
        <is>
          <t>CO-013,014,016</t>
        </is>
      </c>
    </row>
    <row r="10" ht="14" customHeight="1">
      <c r="A10" s="119" t="inlineStr">
        <is>
          <t>پس از reconnect</t>
        </is>
      </c>
      <c r="B10" s="119" t="inlineStr">
        <is>
          <t>state=INPUT</t>
        </is>
      </c>
      <c r="C10" s="119" t="inlineStr">
        <is>
          <t>نه IDLE</t>
        </is>
      </c>
      <c r="D10" s="120" t="inlineStr">
        <is>
          <t>app_types.h</t>
        </is>
      </c>
      <c r="E10" s="119" t="inlineStr">
        <is>
          <t>IDLE ممنوع برای valid</t>
        </is>
      </c>
      <c r="F10" s="120" t="inlineStr">
        <is>
          <t>CO-016</t>
        </is>
      </c>
    </row>
    <row r="11" ht="14" customHeight="1">
      <c r="A11" s="119" t="inlineStr">
        <is>
          <t>PB11 حفظ</t>
        </is>
      </c>
      <c r="B11" s="119" t="inlineStr">
        <is>
          <t>invalid/fault</t>
        </is>
      </c>
      <c r="C11" s="119" t="inlineStr">
        <is>
          <t>بدون تغییر</t>
        </is>
      </c>
      <c r="D11" s="119" t="inlineStr">
        <is>
          <t>—</t>
        </is>
      </c>
      <c r="E11" s="119" t="inlineStr">
        <is>
          <t>snapshot-first</t>
        </is>
      </c>
      <c r="F11" s="120" t="inlineStr">
        <is>
          <t>CO-017,018</t>
        </is>
      </c>
    </row>
    <row r="12" ht="14" customHeight="1">
      <c r="A12" s="119" t="inlineStr">
        <is>
          <t>PB5/PB7</t>
        </is>
      </c>
      <c r="B12" s="119" t="inlineStr">
        <is>
          <t>هیچ‌گاه</t>
        </is>
      </c>
      <c r="C12" s="119" t="inlineStr">
        <is>
          <t>بدون تغییر</t>
        </is>
      </c>
      <c r="D12" s="120" t="inlineStr">
        <is>
          <t>bsp_gpio.h:Forbidden</t>
        </is>
      </c>
      <c r="E12" s="119" t="inlineStr">
        <is>
          <t>فقط PROTECT_BATTERY</t>
        </is>
      </c>
      <c r="F12" s="120" t="inlineStr">
        <is>
          <t>CO-019,020</t>
        </is>
      </c>
    </row>
    <row r="13" ht="14" customHeight="1">
      <c r="A13" s="119" t="inlineStr">
        <is>
          <t>زمان</t>
        </is>
      </c>
      <c r="B13" s="119" t="inlineStr">
        <is>
          <t>ticks→ms via rtos_time</t>
        </is>
      </c>
      <c r="C13" s="119" t="inlineStr">
        <is>
          <t>بدون فرض 1ms</t>
        </is>
      </c>
      <c r="D13" s="119" t="inlineStr">
        <is>
          <t>func__Rtos_MillisecondsToTicks</t>
        </is>
      </c>
      <c r="E13" s="119" t="inlineStr">
        <is>
          <t>قابل‌حمل</t>
        </is>
      </c>
      <c r="F13" s="120" t="inlineStr">
        <is>
          <t>CO-021</t>
        </is>
      </c>
    </row>
    <row r="14" ht="14" customHeight="1">
      <c r="A14" s="119" t="inlineStr">
        <is>
          <t>duration0</t>
        </is>
      </c>
      <c r="B14" s="119" t="inlineStr">
        <is>
          <t>Ticks==0</t>
        </is>
      </c>
      <c r="C14" s="119" t="inlineStr">
        <is>
          <t>بدون تصمیم، حفظ state/PB11</t>
        </is>
      </c>
      <c r="D14" s="120" t="inlineStr">
        <is>
          <t>changeover.c guard</t>
        </is>
      </c>
      <c r="E14" s="119" t="inlineStr">
        <is>
          <t>frequency 0</t>
        </is>
      </c>
      <c r="F14" s="120" t="inlineStr">
        <is>
          <t>CO-022</t>
        </is>
      </c>
    </row>
    <row r="15" ht="14" customHeight="1">
      <c r="A15" s="119" t="inlineStr">
        <is>
          <t>منبع داده</t>
        </is>
      </c>
      <c r="B15" s="119" t="inlineStr">
        <is>
          <t>فقط 5 ورودی مجاز</t>
        </is>
      </c>
      <c r="C15" s="119" t="inlineStr">
        <is>
          <t>عدم استفاده از v_in/v_bat12 و ...</t>
        </is>
      </c>
      <c r="D15" s="120" t="inlineStr">
        <is>
          <t>app_types.h</t>
        </is>
      </c>
      <c r="E15" s="119" t="inlineStr">
        <is>
          <t>محدودیت</t>
        </is>
      </c>
      <c r="F15" s="120" t="inlineStr">
        <is>
          <t>CO-020</t>
        </is>
      </c>
    </row>
  </sheetData>
  <mergeCells count="2">
    <mergeCell ref="A2:F2"/>
    <mergeCell ref="A1:F1"/>
  </mergeCells>
  <hyperlinks>
    <hyperlink xmlns:r="http://schemas.openxmlformats.org/officeDocument/2006/relationships" ref="D4" r:id="rId1"/>
    <hyperlink ref="F4" location="'تست‌های آزمایشگاهی'!A5"/>
    <hyperlink ref="F5" location="'تست‌های آزمایشگاهی'!A8"/>
    <hyperlink ref="F6" location="'تست‌های آزمایشگاهی'!A12"/>
    <hyperlink ref="F7" location="'تست‌های آزمایشگاهی'!A13"/>
    <hyperlink ref="F8" location="'تست‌های آزمایشگاهی'!A16"/>
    <hyperlink ref="F9" location="'تست‌های آزمایشگاهی'!A17"/>
    <hyperlink xmlns:r="http://schemas.openxmlformats.org/officeDocument/2006/relationships" ref="D10" r:id="rId2"/>
    <hyperlink ref="F10" location="'تست‌های آزمایشگاهی'!A20"/>
    <hyperlink ref="F11" location="'تست‌های آزمایشگاهی'!A21"/>
    <hyperlink xmlns:r="http://schemas.openxmlformats.org/officeDocument/2006/relationships" ref="D12" r:id="rId3"/>
    <hyperlink ref="F12" location="'تست‌های آزمایشگاهی'!A23"/>
    <hyperlink ref="F13" location="'تست‌های برنامه‌نویسی'!A6"/>
    <hyperlink xmlns:r="http://schemas.openxmlformats.org/officeDocument/2006/relationships" ref="D14" r:id="rId4"/>
    <hyperlink ref="F14" location="'تست‌های برنامه‌نویسی'!A7"/>
    <hyperlink xmlns:r="http://schemas.openxmlformats.org/officeDocument/2006/relationships" ref="D15" r:id="rId5"/>
    <hyperlink ref="F15" location="'تست‌های برنامه‌نویسی'!A5"/>
  </hyperlinks>
  <printOptions horizontalCentered="1"/>
  <pageMargins left="0.75" right="0.75" top="1" bottom="1" header="0.5" footer="0.5"/>
  <pageSetup orientation="landscape" paperSize="8" fitToHeight="0" fitToWidth="1"/>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9" customWidth="1" min="4" max="4"/>
    <col width="20" customWidth="1" min="5" max="5"/>
    <col width="20" customWidth="1" min="6" max="6"/>
    <col width="14" customWidth="1" min="7" max="7"/>
    <col width="14" customWidth="1" min="8" max="8"/>
    <col width="18" customWidth="1" min="9" max="9"/>
    <col width="12" customWidth="1" min="10" max="10"/>
    <col width="14" customWidth="1" min="11" max="11"/>
    <col width="11" customWidth="1" min="12" max="12"/>
    <col width="18" customWidth="1" min="13" max="13"/>
  </cols>
  <sheetData>
    <row r="1" ht="20" customHeight="1">
      <c r="A1" s="137" t="inlineStr">
        <is>
          <t>ثبت ایرادهای مشاهده‌شده روی برد</t>
        </is>
      </c>
    </row>
    <row r="2" ht="30" customHeight="1">
      <c r="A2" s="138" t="inlineStr">
        <is>
          <t>برای هر وضعیت «رد» یا تفاوت مهم، یک ردیف با شناسه یکتا ثبت کن؛ پس از رفع، تست مربوطه را تکرار و در «برنامه تست» وضعیت را به‌روز کن.</t>
        </is>
      </c>
      <c r="B2" s="8" t="n"/>
      <c r="C2" s="8" t="n"/>
      <c r="D2" s="8" t="n"/>
      <c r="E2" s="8" t="n"/>
      <c r="F2" s="8" t="n"/>
      <c r="G2" s="8" t="n"/>
      <c r="H2" s="8" t="n"/>
      <c r="I2" s="8" t="n"/>
      <c r="J2" s="8" t="n"/>
      <c r="K2" s="8" t="n"/>
      <c r="L2" s="8" t="n"/>
      <c r="M2" s="9" t="n"/>
    </row>
    <row r="3" ht="22" customHeight="1">
      <c r="A3" s="141" t="inlineStr">
        <is>
          <t>شماره ایراد</t>
        </is>
      </c>
      <c r="B3" s="141" t="inlineStr">
        <is>
          <t>شناسه تست</t>
        </is>
      </c>
      <c r="C3" s="141" t="inlineStr">
        <is>
          <t>تاریخ کشف</t>
        </is>
      </c>
      <c r="D3" s="141" t="inlineStr">
        <is>
          <t>شدت</t>
        </is>
      </c>
      <c r="E3" s="141" t="inlineStr">
        <is>
          <t>شرح کوتاه ایراد</t>
        </is>
      </c>
      <c r="F3" s="141" t="inlineStr">
        <is>
          <t>مراحل بازتولید</t>
        </is>
      </c>
      <c r="G3" s="141" t="inlineStr">
        <is>
          <t>انتظار</t>
        </is>
      </c>
      <c r="H3" s="141" t="inlineStr">
        <is>
          <t>واقعیت</t>
        </is>
      </c>
      <c r="I3" s="141" t="inlineStr">
        <is>
          <t>مدرک / مسیر عکس یا scope</t>
        </is>
      </c>
      <c r="J3" s="141" t="inlineStr">
        <is>
          <t>نسخهٔ برنامه</t>
        </is>
      </c>
      <c r="K3" s="141" t="inlineStr">
        <is>
          <t>محل احتمالی</t>
        </is>
      </c>
      <c r="L3" s="141" t="inlineStr">
        <is>
          <t>وضعیت ایراد</t>
        </is>
      </c>
      <c r="M3" s="141" t="inlineStr">
        <is>
          <t>تأیید رفع / توضیحات</t>
        </is>
      </c>
    </row>
    <row r="4" ht="90" customHeight="1">
      <c r="A4" s="162" t="inlineStr">
        <is>
          <t>IR-001</t>
        </is>
      </c>
      <c r="B4" s="162" t="inlineStr">
        <is>
          <t>CO-027</t>
        </is>
      </c>
      <c r="C4" s="162" t="inlineStr">
        <is>
          <t>2026-10-22</t>
        </is>
      </c>
      <c r="D4" s="162" t="inlineStr">
        <is>
          <t>بالا</t>
        </is>
      </c>
      <c r="E4" s="162" t="inlineStr">
        <is>
          <t>قطبیت PB11 برعکس بود: با قطع ورودی، باتری به خروجی نمی‌رسید</t>
        </is>
      </c>
      <c r="F4" s="162" t="inlineStr">
        <is>
          <t>گام ۱: ورودی ۲۴ ولت را جدا کن. گام ۲: باتری سالم (بالای ۲۴ ولت) وصل باشد. گام ۳: خروجی و پایهٔ ۲۲ میکرو را اندازه بگیر.</t>
        </is>
      </c>
      <c r="G4" s="162" t="inlineStr">
        <is>
          <t>باتری روی خروجی بیاید و خروجی ۲۴ ولت شود</t>
        </is>
      </c>
      <c r="H4" s="162" t="inlineStr">
        <is>
          <t>خروجی مرده ماند و پایهٔ ۲۲ حدود ۳٫۳ ولت (سطح بالا) بود</t>
        </is>
      </c>
      <c r="I4" s="162" t="inlineStr">
        <is>
          <t>شماتیک Circuit/ChangeOver(24V_DC).pdf صفحهٔ ChangeOver: PB11 → R45 → بیس Q17</t>
        </is>
      </c>
      <c r="J4" s="162" t="inlineStr">
        <is>
          <t>v2 (بیلد جاری)</t>
        </is>
      </c>
      <c r="K4" s="162" t="inlineStr">
        <is>
          <t>Firmware/Config/Inc/board_pins.h</t>
        </is>
      </c>
      <c r="L4" s="162" t="inlineStr">
        <is>
          <t>رفع شد</t>
        </is>
      </c>
      <c r="M4" s="162" t="inlineStr">
        <is>
          <t>قطبیت PROTECT_BATT به active-high اصلاح شد؛ Init یک‌بار مسیر باتری را وصل می‌کند؛ تست هاست BSP همین قطبیت را می‌سنجد</t>
        </is>
      </c>
    </row>
    <row r="5" ht="14" customHeight="1">
      <c r="A5" s="123" t="inlineStr"/>
      <c r="B5" s="123" t="inlineStr"/>
      <c r="C5" s="123" t="inlineStr"/>
      <c r="D5" s="123" t="inlineStr"/>
      <c r="E5" s="123" t="inlineStr"/>
      <c r="F5" s="123" t="inlineStr"/>
      <c r="G5" s="123" t="inlineStr"/>
      <c r="H5" s="123" t="inlineStr"/>
      <c r="I5" s="123" t="inlineStr"/>
      <c r="J5" s="123" t="inlineStr"/>
      <c r="K5" s="123" t="inlineStr"/>
      <c r="L5" s="123" t="inlineStr"/>
      <c r="M5" s="123" t="inlineStr"/>
    </row>
    <row r="6" ht="14" customHeight="1">
      <c r="A6" s="150" t="inlineStr"/>
      <c r="B6" s="150" t="inlineStr"/>
      <c r="C6" s="150" t="inlineStr"/>
      <c r="D6" s="150" t="inlineStr"/>
      <c r="E6" s="150" t="inlineStr"/>
      <c r="F6" s="150" t="inlineStr"/>
      <c r="G6" s="150" t="inlineStr"/>
      <c r="H6" s="150" t="inlineStr"/>
      <c r="I6" s="150" t="inlineStr"/>
      <c r="J6" s="150" t="inlineStr"/>
      <c r="K6" s="150" t="inlineStr"/>
      <c r="L6" s="150" t="inlineStr"/>
      <c r="M6" s="150" t="inlineStr"/>
    </row>
    <row r="7" ht="14" customHeight="1">
      <c r="A7" s="123" t="inlineStr"/>
      <c r="B7" s="123" t="inlineStr"/>
      <c r="C7" s="123" t="inlineStr"/>
      <c r="D7" s="123" t="inlineStr"/>
      <c r="E7" s="123" t="inlineStr"/>
      <c r="F7" s="123" t="inlineStr"/>
      <c r="G7" s="123" t="inlineStr"/>
      <c r="H7" s="123" t="inlineStr"/>
      <c r="I7" s="123" t="inlineStr"/>
      <c r="J7" s="123" t="inlineStr"/>
      <c r="K7" s="123" t="inlineStr"/>
      <c r="L7" s="123" t="inlineStr"/>
      <c r="M7" s="123" t="inlineStr"/>
    </row>
    <row r="8" ht="14" customHeight="1">
      <c r="A8" s="150" t="inlineStr"/>
      <c r="B8" s="150" t="inlineStr"/>
      <c r="C8" s="150" t="inlineStr"/>
      <c r="D8" s="150" t="inlineStr"/>
      <c r="E8" s="150" t="inlineStr"/>
      <c r="F8" s="150" t="inlineStr"/>
      <c r="G8" s="150" t="inlineStr"/>
      <c r="H8" s="150" t="inlineStr"/>
      <c r="I8" s="150" t="inlineStr"/>
      <c r="J8" s="150" t="inlineStr"/>
      <c r="K8" s="150" t="inlineStr"/>
      <c r="L8" s="150" t="inlineStr"/>
      <c r="M8" s="150" t="inlineStr"/>
    </row>
    <row r="9" ht="14" customHeight="1">
      <c r="A9" s="123" t="inlineStr"/>
      <c r="B9" s="123" t="inlineStr"/>
      <c r="C9" s="123" t="inlineStr"/>
      <c r="D9" s="123" t="inlineStr"/>
      <c r="E9" s="123" t="inlineStr"/>
      <c r="F9" s="123" t="inlineStr"/>
      <c r="G9" s="123" t="inlineStr"/>
      <c r="H9" s="123" t="inlineStr"/>
      <c r="I9" s="123" t="inlineStr"/>
      <c r="J9" s="123" t="inlineStr"/>
      <c r="K9" s="123" t="inlineStr"/>
      <c r="L9" s="123" t="inlineStr"/>
      <c r="M9" s="123" t="inlineStr"/>
    </row>
    <row r="10" ht="14" customHeight="1">
      <c r="A10" s="150" t="inlineStr"/>
      <c r="B10" s="150" t="inlineStr"/>
      <c r="C10" s="150" t="inlineStr"/>
      <c r="D10" s="150" t="inlineStr"/>
      <c r="E10" s="150" t="inlineStr"/>
      <c r="F10" s="150" t="inlineStr"/>
      <c r="G10" s="150" t="inlineStr"/>
      <c r="H10" s="150" t="inlineStr"/>
      <c r="I10" s="150" t="inlineStr"/>
      <c r="J10" s="150" t="inlineStr"/>
      <c r="K10" s="150" t="inlineStr"/>
      <c r="L10" s="150" t="inlineStr"/>
      <c r="M10" s="150" t="inlineStr"/>
    </row>
    <row r="11" ht="14" customHeight="1">
      <c r="A11" s="123" t="inlineStr"/>
      <c r="B11" s="123" t="inlineStr"/>
      <c r="C11" s="123" t="inlineStr"/>
      <c r="D11" s="123" t="inlineStr"/>
      <c r="E11" s="123" t="inlineStr"/>
      <c r="F11" s="123" t="inlineStr"/>
      <c r="G11" s="123" t="inlineStr"/>
      <c r="H11" s="123" t="inlineStr"/>
      <c r="I11" s="123" t="inlineStr"/>
      <c r="J11" s="123" t="inlineStr"/>
      <c r="K11" s="123" t="inlineStr"/>
      <c r="L11" s="123" t="inlineStr"/>
      <c r="M11" s="123" t="inlineStr"/>
    </row>
    <row r="12" ht="14" customHeight="1">
      <c r="A12" s="150" t="inlineStr"/>
      <c r="B12" s="150" t="inlineStr"/>
      <c r="C12" s="150" t="inlineStr"/>
      <c r="D12" s="150" t="inlineStr"/>
      <c r="E12" s="150" t="inlineStr"/>
      <c r="F12" s="150" t="inlineStr"/>
      <c r="G12" s="150" t="inlineStr"/>
      <c r="H12" s="150" t="inlineStr"/>
      <c r="I12" s="150" t="inlineStr"/>
      <c r="J12" s="150" t="inlineStr"/>
      <c r="K12" s="150" t="inlineStr"/>
      <c r="L12" s="150" t="inlineStr"/>
      <c r="M12" s="150" t="inlineStr"/>
    </row>
    <row r="13" ht="14" customHeight="1">
      <c r="A13" s="123" t="inlineStr"/>
      <c r="B13" s="123" t="inlineStr"/>
      <c r="C13" s="123" t="inlineStr"/>
      <c r="D13" s="123" t="inlineStr"/>
      <c r="E13" s="123" t="inlineStr"/>
      <c r="F13" s="123" t="inlineStr"/>
      <c r="G13" s="123" t="inlineStr"/>
      <c r="H13" s="123" t="inlineStr"/>
      <c r="I13" s="123" t="inlineStr"/>
      <c r="J13" s="123" t="inlineStr"/>
      <c r="K13" s="123" t="inlineStr"/>
      <c r="L13" s="123" t="inlineStr"/>
      <c r="M13" s="123" t="inlineStr"/>
    </row>
  </sheetData>
  <mergeCells count="2">
    <mergeCell ref="A2:M2"/>
    <mergeCell ref="A1:M1"/>
  </mergeCells>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tabColor rgb="00548235"/>
    <outlinePr summaryBelow="1" summaryRight="1"/>
    <pageSetUpPr fitToPage="1"/>
  </sheetPr>
  <dimension ref="A1:F28"/>
  <sheetViews>
    <sheetView rightToLeft="1"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12" customWidth="1" min="4" max="4"/>
    <col width="14" customWidth="1" min="5" max="5"/>
    <col width="14" customWidth="1" min="6" max="6"/>
  </cols>
  <sheetData>
    <row r="1" ht="22" customHeight="1">
      <c r="A1" s="137" t="inlineStr">
        <is>
          <t>تأیید نهایی اعتبارسنجی روی برد — Changeover — PB11</t>
        </is>
      </c>
    </row>
    <row r="2" ht="18" customHeight="1">
      <c r="A2" s="125" t="inlineStr">
        <is>
          <t>این صفحه فقط پس از تکمیل تست‌ها و بستن ایرادهای باز امضا شود. بدون تکمیل این صفحه، اعتبارسنجی ناقص است.</t>
        </is>
      </c>
    </row>
    <row r="3">
      <c r="A3" s="140" t="inlineStr">
        <is>
          <t>مشخصات تست</t>
        </is>
      </c>
    </row>
    <row r="4" ht="14" customHeight="1">
      <c r="A4" s="155" t="inlineStr">
        <is>
          <t>پروژه</t>
        </is>
      </c>
      <c r="B4" s="92" t="inlineStr">
        <is>
          <t>ChangeOver</t>
        </is>
      </c>
      <c r="C4" s="155" t="inlineStr">
        <is>
          <t>ماژول</t>
        </is>
      </c>
      <c r="D4" s="92" t="inlineStr">
        <is>
          <t>Changeover — PB11</t>
        </is>
      </c>
      <c r="E4" s="93" t="n"/>
      <c r="F4" s="9" t="n"/>
    </row>
    <row r="5" ht="14" customHeight="1">
      <c r="A5" s="155" t="inlineStr">
        <is>
          <t>تاریخ ساخت فرم</t>
        </is>
      </c>
      <c r="B5" s="92" t="inlineStr">
        <is>
          <t>2026-10-23 (2.2 — آستانهٔ استراحت ۲۵٬۰۰۰ mV)</t>
        </is>
      </c>
      <c r="C5" s="155" t="inlineStr">
        <is>
          <t>2.2</t>
        </is>
      </c>
      <c r="D5" s="92" t="inlineStr">
        <is>
          <t>2.2 — آستانهٔ استراحت ۲۵٬۰۰۰ mV</t>
        </is>
      </c>
      <c r="E5" s="93" t="n"/>
      <c r="F5" s="9" t="n"/>
    </row>
    <row r="6" ht="14" customHeight="1">
      <c r="A6" s="155" t="inlineStr">
        <is>
          <t>نسخهٔ برنامه</t>
        </is>
      </c>
      <c r="B6" s="92" t="inlineStr">
        <is>
          <t>نسخهٔ برنامهٔ فلش‌شده (تست‌کننده پر کند)</t>
        </is>
      </c>
      <c r="C6" s="155" t="inlineStr">
        <is>
          <t>شناسه برد</t>
        </is>
      </c>
      <c r="D6" s="127" t="inlineStr"/>
      <c r="E6" s="93" t="n"/>
      <c r="F6" s="9" t="n"/>
    </row>
    <row r="7" ht="14" customHeight="1">
      <c r="A7" s="155" t="inlineStr">
        <is>
          <t>تست‌کننده اصلی</t>
        </is>
      </c>
      <c r="B7" s="127" t="inlineStr"/>
      <c r="C7" s="155" t="inlineStr">
        <is>
          <t>تاریخ شروع</t>
        </is>
      </c>
      <c r="D7" s="127" t="inlineStr"/>
      <c r="E7" s="93" t="n"/>
      <c r="F7" s="9" t="n"/>
    </row>
    <row r="8" ht="14" customHeight="1">
      <c r="A8" s="155" t="inlineStr">
        <is>
          <t>تاریخ پایان</t>
        </is>
      </c>
      <c r="B8" s="127" t="inlineStr"/>
      <c r="C8" s="155" t="inlineStr">
        <is>
          <t>ابزار اندازه‌گیری</t>
        </is>
      </c>
      <c r="D8" s="151" t="inlineStr">
        <is>
          <t>منبع آزمایشگاهی + DMM + اسیلوسکوپ + تایمر RTOS</t>
        </is>
      </c>
      <c r="E8" s="93" t="n"/>
      <c r="F8" s="9" t="n"/>
    </row>
    <row r="9" ht="14" customHeight="1">
      <c r="A9" s="155" t="inlineStr">
        <is>
          <t>فرکانس تیک</t>
        </is>
      </c>
      <c r="B9" s="152" t="inlineStr">
        <is>
          <t>از osKernelGetTickFreq (قابل‌حمل)</t>
        </is>
      </c>
      <c r="C9" s="155" t="inlineStr"/>
      <c r="D9" s="127" t="inlineStr"/>
      <c r="E9" s="93" t="n"/>
      <c r="F9" s="9" t="n"/>
    </row>
    <row r="10" ht="14" customHeight="1">
      <c r="A10" s="155" t="inlineStr">
        <is>
          <t>فرکانس تیک</t>
        </is>
      </c>
      <c r="B10" s="151" t="inlineStr">
        <is>
          <t>از osKernelGetTickFreq (قابل‌حمل)</t>
        </is>
      </c>
      <c r="C10" s="155" t="inlineStr"/>
      <c r="D10" s="127" t="inlineStr"/>
      <c r="E10" s="93" t="n"/>
      <c r="F10" s="93" t="n"/>
    </row>
    <row r="11" ht="14" customHeight="1">
      <c r="A11" s="155" t="inlineStr">
        <is>
          <t>آستانه‌ها</t>
        </is>
      </c>
      <c r="B11" s="152" t="inlineStr">
        <is>
          <t>21000/20800/21200 + استراحت 25000</t>
        </is>
      </c>
      <c r="C11" s="155" t="inlineStr"/>
      <c r="D11" s="127" t="inlineStr"/>
      <c r="E11" s="93" t="n"/>
      <c r="F11" s="93" t="n"/>
    </row>
    <row r="12" ht="14" customHeight="1">
      <c r="A12" s="155" t="inlineStr">
        <is>
          <t>فیلتر</t>
        </is>
      </c>
      <c r="B12" s="151" t="inlineStr">
        <is>
          <t>3000ms</t>
        </is>
      </c>
      <c r="C12" s="155" t="inlineStr"/>
      <c r="D12" s="127" t="inlineStr"/>
      <c r="E12" s="93" t="n"/>
      <c r="F12" s="93" t="n"/>
    </row>
    <row r="13" ht="14" customHeight="1">
      <c r="A13" s="155" t="inlineStr">
        <is>
          <t>مجاز pin</t>
        </is>
      </c>
      <c r="B13" s="152" t="inlineStr">
        <is>
          <t>فقط BSP_GPIO_PROTECT_BATTERY</t>
        </is>
      </c>
      <c r="C13" s="155" t="inlineStr"/>
      <c r="D13" s="127" t="inlineStr"/>
      <c r="E13" s="93" t="n"/>
      <c r="F13" s="93" t="n"/>
    </row>
    <row r="14" ht="14" customHeight="1">
      <c r="A14" s="155" t="inlineStr">
        <is>
          <t>ممنوع</t>
        </is>
      </c>
      <c r="B14" s="151" t="inlineStr">
        <is>
          <t>PB5/PB7/HAL/board_pins</t>
        </is>
      </c>
      <c r="C14" s="155" t="inlineStr"/>
      <c r="D14" s="127" t="inlineStr"/>
      <c r="E14" s="93" t="n"/>
      <c r="F14" s="93" t="n"/>
    </row>
    <row r="15">
      <c r="A15" s="140" t="inlineStr">
        <is>
          <t>خلاصه خودکار وضعیت تست‌ها (پس از تست برد پر شود)</t>
        </is>
      </c>
    </row>
    <row r="16">
      <c r="A16" s="141" t="inlineStr">
        <is>
          <t>شاخص</t>
        </is>
      </c>
      <c r="B16" s="141" t="inlineStr">
        <is>
          <t>مقدار</t>
        </is>
      </c>
      <c r="C16" s="141" t="inlineStr">
        <is>
          <t>توضیح</t>
        </is>
      </c>
      <c r="D16" s="141" t="inlineStr">
        <is>
          <t>فرمول پیشنهادی</t>
        </is>
      </c>
      <c r="E16" s="8" t="n"/>
      <c r="F16" s="9" t="n"/>
    </row>
    <row r="17" ht="13" customHeight="1">
      <c r="A17" s="153" t="inlineStr">
        <is>
          <t>تعداد کل تست‌ها</t>
        </is>
      </c>
      <c r="B17" s="128">
        <f>COUNTA('برنامه تست'!A5:A200)</f>
        <v/>
      </c>
      <c r="C17" s="152" t="inlineStr">
        <is>
          <t>کل ردیف‌های برنامه تست</t>
        </is>
      </c>
      <c r="D17" s="92" t="inlineStr"/>
      <c r="E17" s="8" t="n"/>
      <c r="F17" s="9" t="n"/>
    </row>
    <row r="18" ht="13" customHeight="1">
      <c r="A18" s="153" t="inlineStr">
        <is>
          <t>تعداد قبول (PASS)</t>
        </is>
      </c>
      <c r="B18" s="128">
        <f>COUNTIF('برنامه تست'!K5:K200,"قبول")</f>
        <v/>
      </c>
      <c r="C18" s="151" t="inlineStr">
        <is>
          <t>تعداد ردیف با وضعیت = قبول</t>
        </is>
      </c>
      <c r="D18" s="151" t="inlineStr">
        <is>
          <t>COUNTIF('برنامه تست'!K5:K200,"قبول")</t>
        </is>
      </c>
      <c r="E18" s="8" t="n"/>
      <c r="F18" s="9" t="n"/>
    </row>
    <row r="19" ht="13" customHeight="1">
      <c r="A19" s="153" t="inlineStr">
        <is>
          <t>تعداد رد (FAIL)</t>
        </is>
      </c>
      <c r="B19" s="128">
        <f>COUNTIF('برنامه تست'!K5:K200,"رد")</f>
        <v/>
      </c>
      <c r="C19" s="152" t="inlineStr">
        <is>
          <t>تعداد ردیف با وضعیت = رد</t>
        </is>
      </c>
      <c r="D19" s="152" t="inlineStr">
        <is>
          <t>COUNTIF('برنامه تست'!K5:K200,"رد")</t>
        </is>
      </c>
      <c r="E19" s="8" t="n"/>
      <c r="F19" s="9" t="n"/>
    </row>
    <row r="20" ht="13" customHeight="1">
      <c r="A20" s="153" t="inlineStr">
        <is>
          <t>تعداد در انتظار</t>
        </is>
      </c>
      <c r="B20" s="128">
        <f>COUNTIF('برنامه تست'!K5:K200,"در انتظار")</f>
        <v/>
      </c>
      <c r="C20" s="151" t="inlineStr">
        <is>
          <t>تعداد ردیف با وضعیت = در انتظار</t>
        </is>
      </c>
      <c r="D20" s="151" t="inlineStr">
        <is>
          <t>COUNTIF('برنامه تست'!K5:K200,"در انتظار")</t>
        </is>
      </c>
      <c r="E20" s="8" t="n"/>
      <c r="F20" s="9" t="n"/>
    </row>
    <row r="21" ht="13" customHeight="1">
      <c r="A21" s="153" t="inlineStr">
        <is>
          <t>تعداد مسدود</t>
        </is>
      </c>
      <c r="B21" s="128">
        <f>COUNTIF('برنامه تست'!K5:K200,"مسدود")</f>
        <v/>
      </c>
      <c r="C21" s="152" t="inlineStr">
        <is>
          <t>تعداد ردیف با وضعیت = مسدود</t>
        </is>
      </c>
      <c r="D21" s="92" t="inlineStr"/>
      <c r="E21" s="8" t="n"/>
      <c r="F21" s="9" t="n"/>
    </row>
    <row r="22" ht="13" customHeight="1">
      <c r="A22" s="153" t="inlineStr">
        <is>
          <t>نرخ قبولی</t>
        </is>
      </c>
      <c r="B22" s="128">
        <f>IF(B17=0,"",TEXT(B18/B17,"0%"))</f>
        <v/>
      </c>
      <c r="C22" s="151" t="inlineStr">
        <is>
          <t>PASS / TOTAL</t>
        </is>
      </c>
      <c r="D22" s="92" t="inlineStr"/>
      <c r="E22" s="8" t="n"/>
      <c r="F22" s="9" t="n"/>
    </row>
    <row r="23">
      <c r="A23" s="140" t="inlineStr">
        <is>
          <t>امضاها</t>
        </is>
      </c>
    </row>
    <row r="24" ht="18" customHeight="1">
      <c r="A24" s="141" t="inlineStr">
        <is>
          <t>نقش</t>
        </is>
      </c>
      <c r="B24" s="141" t="inlineStr">
        <is>
          <t>نام و نام خانوادگی</t>
        </is>
      </c>
      <c r="C24" s="141" t="inlineStr">
        <is>
          <t>تاریخ</t>
        </is>
      </c>
      <c r="D24" s="141" t="inlineStr">
        <is>
          <t>امضا</t>
        </is>
      </c>
      <c r="E24" s="141" t="inlineStr">
        <is>
          <t>توضیحات</t>
        </is>
      </c>
      <c r="F24" s="9" t="n"/>
    </row>
    <row r="25" ht="22" customHeight="1">
      <c r="A25" s="153" t="inlineStr">
        <is>
          <t>تست‌کننده</t>
        </is>
      </c>
      <c r="B25" s="92" t="inlineStr"/>
      <c r="C25" s="92" t="inlineStr"/>
      <c r="D25" s="92" t="inlineStr"/>
      <c r="E25" s="92" t="inlineStr"/>
      <c r="F25" s="9" t="n"/>
    </row>
    <row r="26" ht="22" customHeight="1">
      <c r="A26" s="153" t="inlineStr">
        <is>
          <t>بازبین فنی</t>
        </is>
      </c>
      <c r="B26" s="92" t="inlineStr"/>
      <c r="C26" s="92" t="inlineStr"/>
      <c r="D26" s="92" t="inlineStr"/>
      <c r="E26" s="92" t="inlineStr"/>
      <c r="F26" s="9" t="n"/>
    </row>
    <row r="27" ht="22" customHeight="1">
      <c r="A27" s="153" t="inlineStr">
        <is>
          <t>تأیید نهایی</t>
        </is>
      </c>
      <c r="B27" s="92" t="inlineStr"/>
      <c r="C27" s="92" t="inlineStr"/>
      <c r="D27" s="92" t="inlineStr"/>
      <c r="E27" s="92" t="inlineStr"/>
      <c r="F27" s="9" t="n"/>
    </row>
    <row r="28">
      <c r="A28" s="154" t="inlineStr">
        <is>
          <t>یادداشت: بدون ثبت commit، شناسه برد، نام تست‌کننده، تاریخ و ابزار اندازه‌گیری، این فرم ناقص است. برای هر ردیف «رد»، یک ردیف در «ثبت ایراد» الزامی است.</t>
        </is>
      </c>
    </row>
  </sheetData>
  <mergeCells count="23">
    <mergeCell ref="E24:F24"/>
    <mergeCell ref="E5:F5"/>
    <mergeCell ref="D17:F17"/>
    <mergeCell ref="A3:F3"/>
    <mergeCell ref="D16:F16"/>
    <mergeCell ref="E8:F8"/>
    <mergeCell ref="A2:F2"/>
    <mergeCell ref="E4:F4"/>
    <mergeCell ref="A23:F23"/>
    <mergeCell ref="D18:F18"/>
    <mergeCell ref="E9:F9"/>
    <mergeCell ref="E6:F6"/>
    <mergeCell ref="A28:F28"/>
    <mergeCell ref="E27:F27"/>
    <mergeCell ref="E26:F26"/>
    <mergeCell ref="D20:F20"/>
    <mergeCell ref="A15:F15"/>
    <mergeCell ref="D19:F19"/>
    <mergeCell ref="E7:F7"/>
    <mergeCell ref="E25:F25"/>
    <mergeCell ref="A1:F1"/>
    <mergeCell ref="D22:F22"/>
    <mergeCell ref="D21:F21"/>
  </mergeCells>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tabColor rgb="00A6A6A6"/>
    <outlinePr summaryBelow="1" summaryRight="1"/>
    <pageSetUpPr/>
  </sheetPr>
  <dimension ref="A1:A30"/>
  <sheetViews>
    <sheetView rightToLeft="1" workbookViewId="0">
      <selection activeCell="A1" sqref="A1"/>
    </sheetView>
  </sheetViews>
  <sheetFormatPr baseColWidth="8" defaultRowHeight="15"/>
  <cols>
    <col width="18" customWidth="1" min="1" max="1"/>
  </cols>
  <sheetData>
    <row r="1" ht="14" customHeight="1">
      <c r="A1" s="140" t="inlineStr">
        <is>
          <t>وضعیت</t>
        </is>
      </c>
    </row>
    <row r="2">
      <c r="A2" s="129" t="inlineStr">
        <is>
          <t>در انتظار</t>
        </is>
      </c>
    </row>
    <row r="3">
      <c r="A3" s="129" t="inlineStr">
        <is>
          <t>انجام شد</t>
        </is>
      </c>
    </row>
    <row r="4">
      <c r="A4" s="129" t="inlineStr">
        <is>
          <t>قبول</t>
        </is>
      </c>
    </row>
    <row r="5">
      <c r="A5" s="129" t="inlineStr">
        <is>
          <t>رد</t>
        </is>
      </c>
    </row>
    <row r="6">
      <c r="A6" s="129" t="inlineStr">
        <is>
          <t>مسدود</t>
        </is>
      </c>
    </row>
    <row r="7">
      <c r="A7" s="82" t="inlineStr">
        <is>
          <t>نیاز به تکرار</t>
        </is>
      </c>
    </row>
    <row r="8" ht="14" customHeight="1">
      <c r="A8" s="140" t="inlineStr">
        <is>
          <t>اولویت</t>
        </is>
      </c>
    </row>
    <row r="9">
      <c r="A9" s="129" t="inlineStr">
        <is>
          <t>بالا</t>
        </is>
      </c>
    </row>
    <row r="10">
      <c r="A10" s="129" t="inlineStr">
        <is>
          <t>متوسط</t>
        </is>
      </c>
    </row>
    <row r="11">
      <c r="A11" s="129" t="inlineStr">
        <is>
          <t>پایین</t>
        </is>
      </c>
    </row>
    <row r="12">
      <c r="A12" s="129" t="inlineStr">
        <is>
          <t>بحرانی</t>
        </is>
      </c>
    </row>
    <row r="13">
      <c r="A13" s="82" t="n"/>
    </row>
    <row r="14" ht="14" customHeight="1">
      <c r="A14" s="140" t="inlineStr">
        <is>
          <t>دسته</t>
        </is>
      </c>
    </row>
    <row r="15">
      <c r="A15" s="129" t="inlineStr">
        <is>
          <t>BoardTest</t>
        </is>
      </c>
    </row>
    <row r="16">
      <c r="A16" s="129" t="inlineStr">
        <is>
          <t>InputOk</t>
        </is>
      </c>
    </row>
    <row r="17">
      <c r="A17" s="129" t="inlineStr">
        <is>
          <t>Charging</t>
        </is>
      </c>
    </row>
    <row r="18">
      <c r="A18" s="129" t="inlineStr">
        <is>
          <t>BatteryRun</t>
        </is>
      </c>
    </row>
    <row r="19">
      <c r="A19" s="129" t="inlineStr">
        <is>
          <t>هیسترزیس</t>
        </is>
      </c>
    </row>
    <row r="20">
      <c r="A20" s="129" t="inlineStr">
        <is>
          <t>InputOverVoltage</t>
        </is>
      </c>
    </row>
    <row r="21">
      <c r="A21" s="129" t="inlineStr">
        <is>
          <t>Snapshot</t>
        </is>
      </c>
    </row>
    <row r="22">
      <c r="A22" s="129" t="inlineStr">
        <is>
          <t>Buzzer</t>
        </is>
      </c>
    </row>
    <row r="23">
      <c r="A23" s="129" t="inlineStr">
        <is>
          <t>Measurement</t>
        </is>
      </c>
    </row>
    <row r="24">
      <c r="A24" s="129" t="inlineStr">
        <is>
          <t>Changeover</t>
        </is>
      </c>
    </row>
    <row r="25">
      <c r="A25" s="82" t="n"/>
    </row>
    <row r="26" ht="14" customHeight="1">
      <c r="A26" s="140" t="inlineStr">
        <is>
          <t>نتیجه ایراد</t>
        </is>
      </c>
    </row>
    <row r="27">
      <c r="A27" s="129" t="inlineStr">
        <is>
          <t>باز</t>
        </is>
      </c>
    </row>
    <row r="28">
      <c r="A28" s="129" t="inlineStr">
        <is>
          <t>در حال بررسی</t>
        </is>
      </c>
    </row>
    <row r="29">
      <c r="A29" s="129" t="inlineStr">
        <is>
          <t>رفع شد</t>
        </is>
      </c>
    </row>
    <row r="30">
      <c r="A30" s="129" t="inlineStr">
        <is>
          <t>بسته</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1" t="inlineStr">
        <is>
          <t>ماشین حالت ماژول تغییر مسیر (Changeover)</t>
        </is>
      </c>
    </row>
    <row r="3" ht="24" customHeight="1">
      <c r="A3" s="32" t="inlineStr">
        <is>
          <t>حالت‌ها و گذارهای همین ماژول</t>
        </is>
      </c>
      <c r="B3" s="33" t="inlineStr">
        <is>
          <t>Changeover_State_Machine.xlsx</t>
        </is>
      </c>
    </row>
    <row r="4" ht="24" customHeight="1">
      <c r="A4" s="32" t="inlineStr">
        <is>
          <t>ماشین حالت کل برنامه (نمای سیستمی)</t>
        </is>
      </c>
      <c r="B4" s="33" t="inlineStr">
        <is>
          <t>../../../Documentation/System_State_Machine.xlsx</t>
        </is>
      </c>
    </row>
    <row r="5" ht="24" customHeight="1">
      <c r="A5" s="32" t="inlineStr">
        <is>
          <t>راهنمای رنگ‌ها</t>
        </is>
      </c>
      <c r="B5" s="34" t="inlineStr">
        <is>
          <t>سبز = عادی/سالم · زرد = هشدار یا انتظار · قرمز = خطا یا قفل · نارنجی = در حال کار · خاکستری = بی‌کار · آبی = اطلاعاتی</t>
        </is>
      </c>
    </row>
    <row r="6" ht="24" customHeight="1">
      <c r="A6" s="32" t="inlineStr">
        <is>
          <t>بازتولید</t>
        </is>
      </c>
      <c r="B6" s="34"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2026-09-16T16:35:39Z</dcterms:created>
  <dcterms:modified xmlns:dcterms="http://purl.org/dc/terms/" xmlns:xsi="http://www.w3.org/2001/XMLSchema-instance" xsi:type="dcterms:W3CDTF">2026-10-23T08:51:34Z</dcterms:modified>
</cp:coreProperties>
</file>