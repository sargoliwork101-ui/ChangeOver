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تست‌های برنامه‌نویسی" sheetId="3" state="visible" r:id="rId3"/>
    <sheet name="مراجع سناریو" sheetId="4" state="visible" r:id="rId4"/>
    <sheet name="ثبت ایراد" sheetId="5" state="visible" r:id="rId5"/>
    <sheet name="تأیید نهایی" sheetId="6" state="visible" r:id="rId6"/>
    <sheet name="فهرست‌ها" sheetId="7" state="visible" r:id="rId7"/>
    <sheet name="ماشین حالت" sheetId="8" state="visible" r:id="rId8"/>
    <sheet name="تست‌های آزمایشگاهی" sheetId="9" state="visible" r:id="rId9"/>
  </sheets>
  <definedNames>
    <definedName name="_xlnm._FilterDatabase" localSheetId="1" hidden="1">'برنامه تست'!$A$4:$Q$54</definedName>
    <definedName name="_xlnm.Print_Titles" localSheetId="1">'برنامه تست'!$4:$4</definedName>
    <definedName name="_xlnm._FilterDatabase" localSheetId="2" hidden="1">'تست‌های برنامه‌نویسی'!$A$4:$Q$5</definedName>
    <definedName name="_xlnm.Print_Titles" localSheetId="2">'تست‌های برنامه‌نویسی'!$4:$4</definedName>
  </definedNames>
  <calcPr calcId="124519" fullCalcOnLoad="1" iterate="1" iterateCount="100" iterateDelta="0.001"/>
</workbook>
</file>

<file path=xl/styles.xml><?xml version="1.0" encoding="utf-8"?>
<styleSheet xmlns="http://schemas.openxmlformats.org/spreadsheetml/2006/main">
  <numFmts count="1">
    <numFmt numFmtId="164" formatCode="yyyy-mm-dd"/>
  </numFmts>
  <fonts count="20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  <font>
      <name val="Tahoma"/>
      <b val="1"/>
      <sz val="10"/>
    </font>
    <font>
      <name val="Tahoma"/>
      <sz val="8"/>
    </font>
    <font>
      <name val="Tahoma"/>
      <b val="1"/>
      <sz val="8"/>
    </font>
    <font>
      <name val="Tahoma"/>
      <color theme="1"/>
      <sz val="11"/>
    </font>
    <font>
      <name val="Tahoma"/>
      <b val="1"/>
      <color rgb="00FFFFFF"/>
      <sz val="14"/>
    </font>
    <font>
      <name val="Tahoma"/>
      <color rgb="000563C1"/>
      <sz val="10"/>
      <u val="single"/>
    </font>
    <font>
      <name val="Tahoma"/>
      <sz val="10"/>
    </font>
    <font>
      <name val="Tahoma"/>
      <b val="1"/>
      <color rgb="00FFFFFF"/>
      <sz val="11"/>
    </font>
    <font>
      <name val="Tahoma"/>
      <b val="1"/>
      <color rgb="001F3864"/>
      <sz val="13"/>
    </font>
    <font>
      <name val="Tahoma"/>
      <b val="1"/>
      <color rgb="00C00000"/>
      <sz val="10"/>
    </font>
    <font>
      <name val="Tahoma"/>
      <color rgb="000563C1"/>
      <sz val="8"/>
      <u val="single"/>
    </font>
    <font>
      <name val="Tahoma"/>
      <b val="1"/>
      <color rgb="000563C1"/>
      <sz val="10"/>
      <u val="single"/>
    </font>
  </fonts>
  <fills count="9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E699"/>
      </patternFill>
    </fill>
    <fill>
      <patternFill patternType="solid">
        <fgColor rgb="00F2F6FC"/>
      </patternFill>
    </fill>
    <fill>
      <patternFill patternType="solid">
        <fgColor rgb="00FCE4D6"/>
      </patternFill>
    </fill>
  </fills>
  <borders count="7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0" borderId="0" applyAlignment="1" pivotButton="0" quotePrefix="0" xfId="0">
      <alignment horizontal="right" vertical="center" wrapText="1"/>
    </xf>
    <xf numFmtId="0" fontId="15" fillId="4" borderId="2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center" wrapText="1"/>
    </xf>
    <xf numFmtId="0" fontId="8" fillId="5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right" vertical="center" wrapText="1"/>
    </xf>
    <xf numFmtId="0" fontId="17" fillId="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center" vertical="center" wrapText="1"/>
    </xf>
    <xf numFmtId="164" fontId="14" fillId="0" borderId="2" applyAlignment="1" pivotButton="0" quotePrefix="0" xfId="0">
      <alignment horizontal="center" vertical="center" wrapText="1"/>
    </xf>
    <xf numFmtId="0" fontId="14" fillId="7" borderId="2" applyAlignment="1" pivotButton="0" quotePrefix="0" xfId="0">
      <alignment horizontal="right" vertical="center" wrapText="1"/>
    </xf>
    <xf numFmtId="0" fontId="17" fillId="7" borderId="2" applyAlignment="1" pivotButton="0" quotePrefix="0" xfId="0">
      <alignment horizontal="center" vertical="center" wrapText="1"/>
    </xf>
    <xf numFmtId="0" fontId="14" fillId="7" borderId="2" applyAlignment="1" pivotButton="0" quotePrefix="0" xfId="0">
      <alignment horizontal="center" vertical="center" wrapText="1"/>
    </xf>
    <xf numFmtId="164" fontId="14" fillId="7" borderId="2" applyAlignment="1" pivotButton="0" quotePrefix="0" xfId="0">
      <alignment horizontal="center" vertical="center" wrapText="1"/>
    </xf>
    <xf numFmtId="0" fontId="13" fillId="0" borderId="2" applyAlignment="1" pivotButton="0" quotePrefix="0" xfId="0">
      <alignment horizontal="right" vertical="center" wrapText="1"/>
    </xf>
    <xf numFmtId="0" fontId="13" fillId="7" borderId="2" applyAlignment="1" pivotButton="0" quotePrefix="0" xfId="0">
      <alignment horizontal="right" vertical="center" wrapText="1"/>
    </xf>
    <xf numFmtId="0" fontId="8" fillId="8" borderId="2" applyAlignment="1" pivotButton="0" quotePrefix="0" xfId="0">
      <alignment horizontal="center" vertical="center" wrapText="1"/>
    </xf>
    <xf numFmtId="164" fontId="0" fillId="0" borderId="0" pivotButton="0" quotePrefix="0" xfId="0"/>
    <xf numFmtId="0" fontId="10" fillId="2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pivotButton="0" quotePrefix="0" xfId="0"/>
    <xf numFmtId="0" fontId="8" fillId="3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 wrapText="1"/>
    </xf>
    <xf numFmtId="0" fontId="13" fillId="0" borderId="1" applyAlignment="1" pivotButton="0" quotePrefix="0" xfId="0">
      <alignment horizontal="right" vertical="center" wrapText="1"/>
    </xf>
    <xf numFmtId="0" fontId="14" fillId="0" borderId="1" applyAlignment="1" pivotButton="0" quotePrefix="0" xfId="0">
      <alignment horizontal="right" vertical="center" wrapText="1"/>
    </xf>
    <xf numFmtId="0" fontId="0" fillId="0" borderId="5" pivotButton="0" quotePrefix="0" xfId="0"/>
    <xf numFmtId="0" fontId="0" fillId="0" borderId="6" pivotButton="0" quotePrefix="0" xfId="0"/>
    <xf numFmtId="0" fontId="18" fillId="0" borderId="0" applyAlignment="1" pivotButton="0" quotePrefix="0" xfId="0">
      <alignment horizontal="center" vertical="center" wrapText="1"/>
    </xf>
    <xf numFmtId="0" fontId="16" fillId="0" borderId="0" pivotButton="0" quotePrefix="0" xfId="0"/>
    <xf numFmtId="0" fontId="14" fillId="0" borderId="0" applyAlignment="1" pivotButton="0" quotePrefix="0" xfId="0">
      <alignment vertical="center" wrapText="1"/>
    </xf>
    <xf numFmtId="0" fontId="19" fillId="5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fault.c" TargetMode="External" Id="rId1" /><Relationship Type="http://schemas.openxmlformats.org/officeDocument/2006/relationships/hyperlink" Target="../../Config/Inc/app_types.h" TargetMode="External" Id="rId2" /></Relationships>
</file>

<file path=xl/worksheets/_rels/sheet8.xml.rels><Relationships xmlns="http://schemas.openxmlformats.org/package/2006/relationships"><Relationship Type="http://schemas.openxmlformats.org/officeDocument/2006/relationships/hyperlink" Target="Fault_State_Machine.xlsx" TargetMode="External" Id="rId1" /><Relationship Type="http://schemas.openxmlformats.org/officeDocument/2006/relationships/hyperlink" Target="../../../Documentation/System_State_Machine.xlsx" TargetMode="External" Id="rId2" /><Relationship Type="http://schemas.openxmlformats.org/officeDocument/2006/relationships/hyperlink" Target="../../../tools/make_module_state_machines.py" TargetMode="External" Id="rId3" 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" customWidth="1" min="1" max="1"/>
  </cols>
  <sheetData>
    <row r="1">
      <c r="A1" s="12" t="inlineStr">
        <is>
          <t>برگه تست و اعتبارسنجی عملی ماژول Fault</t>
        </is>
      </c>
    </row>
    <row r="2">
      <c r="A2" s="13" t="inlineStr">
        <is>
          <t>Fault | مالک تشخیص متمرکز قطع باتری (FAULT_CHARGER_BAT_LOST، بیت ۶) + ماسک خطای قفل‌شده</t>
        </is>
      </c>
    </row>
    <row r="3" ht="30" customHeight="1">
      <c r="A3" s="14" t="inlineStr">
        <is>
          <t>هدف فایل</t>
        </is>
      </c>
    </row>
    <row r="4">
      <c r="A4" s="2" t="inlineStr"/>
    </row>
    <row r="5">
      <c r="A5" s="13" t="inlineStr">
        <is>
          <t>دو قاعده: پمپ &gt;14.8V حین شارژ فعال (150ms) و غیبت هر نیم &lt;6V با ورودی سالم (1s)؛ بازیابی هر دو نیم ≥7V بدون پمپ (1s).</t>
        </is>
      </c>
    </row>
    <row r="6">
      <c r="A6" s="13" t="inlineStr">
        <is>
          <t>شارژر و UI فقط پرچم را می‌خوانند؛ حین مود تست دستی شارژر، تشخیص کامل فریز است (تمپ‌های دبانس صفر).</t>
        </is>
      </c>
    </row>
    <row r="7">
      <c r="A7" s="13" t="inlineStr">
        <is>
          <t>بدون snapshot معتبر هیچ Set/Clear انجام نمی‌شود.</t>
        </is>
      </c>
    </row>
    <row r="8">
      <c r="A8" s="2" t="inlineStr"/>
    </row>
    <row r="9">
      <c r="A9" s="13" t="inlineStr">
        <is>
          <t>هشدار: تست قطع باتری حین شارژ با جریان محدود و زیر نظارت؛ ولتاژ گره پمپ‌شده می‌تواند بالای 15V برود.</t>
        </is>
      </c>
    </row>
  </sheetData>
  <mergeCells count="9">
    <mergeCell ref="A8"/>
    <mergeCell ref="A6"/>
    <mergeCell ref="A9"/>
    <mergeCell ref="A4"/>
    <mergeCell ref="A3"/>
    <mergeCell ref="A7"/>
    <mergeCell ref="A2"/>
    <mergeCell ref="A5"/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Q52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15" t="inlineStr">
        <is>
          <t>برنامهٔ تست عملی — ماژول Fault</t>
        </is>
      </c>
    </row>
    <row r="2">
      <c r="A2" s="13" t="inlineStr">
        <is>
          <t>وضعیت فقط یکی از: در انتظار / قبول / رد / مسدود / نیاز به تکرار. تست Host جایگزین تست برد نیست.</t>
        </is>
      </c>
    </row>
    <row r="3">
      <c r="A3" s="13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 ht="30" customHeight="1">
      <c r="A4" s="14" t="inlineStr">
        <is>
          <t>شناسه</t>
        </is>
      </c>
      <c r="B4" s="14" t="inlineStr">
        <is>
          <t>دسته</t>
        </is>
      </c>
      <c r="C4" s="14" t="inlineStr">
        <is>
          <t>اولویت</t>
        </is>
      </c>
      <c r="D4" s="14" t="inlineStr">
        <is>
          <t>پیش‌شرط</t>
        </is>
      </c>
      <c r="E4" s="14" t="inlineStr">
        <is>
          <t>روش اجرای دقیق</t>
        </is>
      </c>
      <c r="F4" s="14" t="inlineStr">
        <is>
          <t>ورودی‌ها / شرایط</t>
        </is>
      </c>
      <c r="G4" s="14" t="inlineStr">
        <is>
          <t>مدت مشاهده</t>
        </is>
      </c>
      <c r="H4" s="14" t="inlineStr">
        <is>
          <t>رفتار مورد انتظار</t>
        </is>
      </c>
      <c r="I4" s="14" t="inlineStr">
        <is>
          <t>وضعیت حفظ / latch</t>
        </is>
      </c>
      <c r="J4" s="14" t="inlineStr">
        <is>
          <t>معیار قبولی</t>
        </is>
      </c>
      <c r="K4" s="14" t="inlineStr">
        <is>
          <t>نتیجهٔ واقعی / اندازه‌گیری</t>
        </is>
      </c>
      <c r="L4" s="14" t="inlineStr">
        <is>
          <t>وضعیت</t>
        </is>
      </c>
      <c r="M4" s="14" t="inlineStr">
        <is>
          <t>شرح ایراد / تفاوت</t>
        </is>
      </c>
      <c r="N4" s="14" t="inlineStr">
        <is>
          <t>مدرک تست / scope</t>
        </is>
      </c>
      <c r="O4" s="14" t="inlineStr">
        <is>
          <t>commit</t>
        </is>
      </c>
      <c r="P4" s="14" t="inlineStr">
        <is>
          <t>نام تست‌کننده</t>
        </is>
      </c>
      <c r="Q4" s="14" t="inlineStr">
        <is>
          <t>تاریخ</t>
        </is>
      </c>
    </row>
    <row r="5" ht="54" customHeight="1">
      <c r="A5" s="16" t="inlineStr">
        <is>
          <t>FL-001</t>
        </is>
      </c>
      <c r="B5" s="17" t="inlineStr">
        <is>
          <t>قاعدهٔ پمپ</t>
        </is>
      </c>
      <c r="C5" s="18" t="inlineStr">
        <is>
          <t>بالا</t>
        </is>
      </c>
      <c r="D5" s="17" t="inlineStr">
        <is>
          <t>دستگاه با برق شهر روشن است و باتری واقعی در حال شارژ است (چراغ زرد چشمک می‌زند)</t>
        </is>
      </c>
      <c r="E5" s="17" t="inlineStr">
        <is>
          <t>گام ۱: حین شارژ، سیم یکی از باتری‌ها را از ترمینال جدا کن.
گام ۲: چند ثانیه صبر کن و چراغ‌ها را ببین: قرمز باید تندتند چشمک بزند، سبز ثابت بماند و هر چند ثانیه سه بوق بیاید.
گام ۳: در پنل نگاه کن که خطای شمارهٔ ۶ ثبت شده و جریان شارژ صفر شده است.</t>
        </is>
      </c>
      <c r="F5" s="19" t="inlineStr">
        <is>
          <t>کشیدن سیم باتری حین شارژ</t>
        </is>
      </c>
      <c r="G5" s="19" t="inlineStr">
        <is>
          <t>کمتر از یک دقیقه</t>
        </is>
      </c>
      <c r="H5" s="17" t="inlineStr">
        <is>
          <t>خطای ۶ (قطع باتری) می‌آید: قرمز چشمک‌تند، سبز ثابت، سه بوق دوره‌ای و شارژ کاملاً متوقف</t>
        </is>
      </c>
      <c r="I5" s="17" t="inlineStr">
        <is>
          <t>می‌ماند تا باتری برگردد</t>
        </is>
      </c>
      <c r="J5" s="17" t="inlineStr">
        <is>
          <t>آمدن خطا ظرف چند ثانیه با همان چهره = قبول؛ نیامدن یا شارژِ ادامه‌دار = رد</t>
        </is>
      </c>
      <c r="K5" s="17" t="inlineStr"/>
      <c r="L5" s="20" t="inlineStr">
        <is>
          <t>در انتظار</t>
        </is>
      </c>
      <c r="M5" s="17" t="inlineStr"/>
      <c r="N5" s="17" t="inlineStr"/>
      <c r="O5" s="19" t="inlineStr">
        <is>
          <t>TESTER: fill</t>
        </is>
      </c>
      <c r="P5" s="19" t="inlineStr"/>
      <c r="Q5" s="21" t="inlineStr">
        <is>
          <t>2026-09-23</t>
        </is>
      </c>
    </row>
    <row r="6" ht="54" customHeight="1">
      <c r="A6" s="16" t="inlineStr">
        <is>
          <t>FL-002</t>
        </is>
      </c>
      <c r="B6" s="22" t="inlineStr">
        <is>
          <t>قاعدهٔ غیبت</t>
        </is>
      </c>
      <c r="C6" s="23" t="inlineStr">
        <is>
          <t>بالا</t>
        </is>
      </c>
      <c r="D6" s="22" t="inlineStr">
        <is>
          <t>باتری را اصلاً وصل نکرده‌ای؛ فقط برق شهر آماده است</t>
        </is>
      </c>
      <c r="E6" s="22" t="inlineStr">
        <is>
          <t>گام ۱: بدون باتری، برق شهر را به دستگاه وصل کن.
گام ۲: چند ثانیه صبر کن.
گام ۳: چراغ‌ها و پنل را چک کن.</t>
        </is>
      </c>
      <c r="F6" s="24" t="inlineStr">
        <is>
          <t>روشن‌کردن دستگاه بدون باتری با برق شهر</t>
        </is>
      </c>
      <c r="G6" s="24" t="inlineStr">
        <is>
          <t>کمتر از یک دقیقه</t>
        </is>
      </c>
      <c r="H6" s="22" t="inlineStr">
        <is>
          <t>خطای ۶ می‌آید (قرمز چشمک‌تند و سه بوق) و شارژ هیچ‌وقت شروع نمی‌شود</t>
        </is>
      </c>
      <c r="I6" s="22" t="inlineStr">
        <is>
          <t>می‌ماند تا باتری وصل شود</t>
        </is>
      </c>
      <c r="J6" s="22" t="inlineStr">
        <is>
          <t>آمدن خطای ۶ و شروع‌نشدن شارژ = قبول؛ شروع شارژ بی‌باتری = رد</t>
        </is>
      </c>
      <c r="K6" s="22" t="inlineStr"/>
      <c r="L6" s="20" t="inlineStr">
        <is>
          <t>در انتظار</t>
        </is>
      </c>
      <c r="M6" s="22" t="inlineStr"/>
      <c r="N6" s="22" t="inlineStr"/>
      <c r="O6" s="24" t="inlineStr">
        <is>
          <t>TESTER: fill</t>
        </is>
      </c>
      <c r="P6" s="24" t="inlineStr"/>
      <c r="Q6" s="25" t="inlineStr">
        <is>
          <t>2026-09-23</t>
        </is>
      </c>
    </row>
    <row r="7" ht="54" customHeight="1">
      <c r="A7" s="16" t="inlineStr">
        <is>
          <t>FL-003</t>
        </is>
      </c>
      <c r="B7" s="17" t="inlineStr">
        <is>
          <t>بازیابی</t>
        </is>
      </c>
      <c r="C7" s="18" t="inlineStr">
        <is>
          <t>بالا</t>
        </is>
      </c>
      <c r="D7" s="26" t="inlineStr">
        <is>
          <t>از FL-001 ادامه بده؛ خطای ۶ فعال است و سیم باتری جداست</t>
        </is>
      </c>
      <c r="E7" s="17" t="inlineStr">
        <is>
          <t>گام ۱: سیم باتری را سر جایش وصل کن.
گام ۲: چند ثانیه صبر کن: چشمک قرمز و بوق باید قطع شود.
گام ۳: کمی بیشتر صبر کن؛ شارژ باید بعد از یک مکث کوتاه آرام از سر گرفته شود.</t>
        </is>
      </c>
      <c r="F7" s="19" t="inlineStr">
        <is>
          <t>وصل دوبارهٔ باتری</t>
        </is>
      </c>
      <c r="G7" s="19" t="inlineStr">
        <is>
          <t>یک دقیقه</t>
        </is>
      </c>
      <c r="H7" s="17" t="inlineStr">
        <is>
          <t>خطای ۶ خودش پاک می‌شود و شارژ بدون پرش و ناگهانی برگشتن، عادی شروع می‌شود</t>
        </is>
      </c>
      <c r="I7" s="17" t="inlineStr">
        <is>
          <t>پاک‌شدن خودکار با برگشت باتری</t>
        </is>
      </c>
      <c r="J7" s="17" t="inlineStr">
        <is>
          <t>پاک‌شدن و شروع آرام شارژ = قبول؛ ماندن خطا یا شروع خشن = رد</t>
        </is>
      </c>
      <c r="K7" s="17" t="inlineStr"/>
      <c r="L7" s="20" t="inlineStr">
        <is>
          <t>در انتظار</t>
        </is>
      </c>
      <c r="M7" s="17" t="inlineStr"/>
      <c r="N7" s="17" t="inlineStr"/>
      <c r="O7" s="19" t="inlineStr">
        <is>
          <t>TESTER: fill</t>
        </is>
      </c>
      <c r="P7" s="19" t="inlineStr"/>
      <c r="Q7" s="21" t="inlineStr">
        <is>
          <t>2026-09-23</t>
        </is>
      </c>
    </row>
    <row r="8" ht="54" customHeight="1">
      <c r="A8" s="16" t="inlineStr">
        <is>
          <t>FL-004</t>
        </is>
      </c>
      <c r="B8" s="22" t="inlineStr">
        <is>
          <t>هیسترزیس 6/7V</t>
        </is>
      </c>
      <c r="C8" s="24" t="inlineStr">
        <is>
          <t>متوسط</t>
        </is>
      </c>
      <c r="D8" s="22" t="inlineStr">
        <is>
          <t>به‌جای یکی از باتری‌ها منبع آزمایشگاهی گذاشته‌ای؛ دستگاه با برق شهر روشن است</t>
        </is>
      </c>
      <c r="E8" s="22" t="inlineStr">
        <is>
          <t>گام ۱: ولتاژ منبع را حدود ۶٫۵ ولت نگه دار (نه وصلِ سالم، نه قطعِ کامل).
گام ۲: دو دقیقه نگاه کن؛ خطا نباید پرپر بزند.
گام ۳: ولتاژ را بالای ۷ ببر (سالم) و بعد زیر ۶ ببر (قطع) و هر بار رفتار را چک کن.</t>
        </is>
      </c>
      <c r="F8" s="24" t="inlineStr">
        <is>
          <t>ولتاژ یک نیم باتری: ۶٫۵ بعد بالای ۷ بعد زیر ۶ ولت</t>
        </is>
      </c>
      <c r="G8" s="24" t="inlineStr">
        <is>
          <t>سه دقیقه</t>
        </is>
      </c>
      <c r="H8" s="22" t="inlineStr">
        <is>
          <t>روی ۶٫۵ نه خطای تازه می‌آید نه پاک و ست می‌شود؛ بالای ۷ سالم است و زیر ۶ خطای ۶ می‌آید</t>
        </is>
      </c>
      <c r="I8" s="22" t="inlineStr">
        <is>
          <t>بدون پرپر دور مرز</t>
        </is>
      </c>
      <c r="J8" s="22" t="inlineStr">
        <is>
          <t>رفتار تمیز در هر سه نقطه = قبول؛ پرپر زدن رو ۶٫۵ = رد</t>
        </is>
      </c>
      <c r="K8" s="22" t="inlineStr"/>
      <c r="L8" s="20" t="inlineStr">
        <is>
          <t>در انتظار</t>
        </is>
      </c>
      <c r="M8" s="22" t="inlineStr"/>
      <c r="N8" s="22" t="inlineStr"/>
      <c r="O8" s="24" t="inlineStr">
        <is>
          <t>TESTER: fill</t>
        </is>
      </c>
      <c r="P8" s="24" t="inlineStr"/>
      <c r="Q8" s="25" t="inlineStr">
        <is>
          <t>2026-09-23</t>
        </is>
      </c>
    </row>
    <row r="9" ht="40.5" customHeight="1">
      <c r="A9" s="16" t="inlineStr">
        <is>
          <t>FL-005</t>
        </is>
      </c>
      <c r="B9" s="17" t="inlineStr">
        <is>
          <t>آینه در شارژر</t>
        </is>
      </c>
      <c r="C9" s="18" t="inlineStr">
        <is>
          <t>بالا</t>
        </is>
      </c>
      <c r="D9" s="26" t="inlineStr">
        <is>
          <t>خطای ۶ را مثل FL-001 ساخته‌ای و فعال است</t>
        </is>
      </c>
      <c r="E9" s="17" t="inlineStr">
        <is>
          <t>گام ۱: یک آمپرمتر دستی سریِ مسیر شارژ بگذار یا جریان شارژ پنل را نگاه کن.
گام ۲: تا وقتی خطا هست جریان را زیر نظر بگیر.
گام ۳: باتری را وصل کن و ببین شارژ کی برمی‌گردد.</t>
        </is>
      </c>
      <c r="F9" s="19" t="inlineStr">
        <is>
          <t>نگه‌داشتن خطای ۶ و بعد وصل باتری</t>
        </is>
      </c>
      <c r="G9" s="19" t="inlineStr">
        <is>
          <t>دو دقیقه</t>
        </is>
      </c>
      <c r="H9" s="17" t="inlineStr">
        <is>
          <t>تا وقتی خطای ۶ هست جریان شارژ صفر می‌ماند؛ شارژر بیکار است و فقط با برگشت باتری دوباره راه می‌افتد</t>
        </is>
      </c>
      <c r="I9" s="17" t="inlineStr">
        <is>
          <t>توقف کامل تا بازیابی</t>
        </is>
      </c>
      <c r="J9" s="17" t="inlineStr">
        <is>
          <t>جریان صفر در تمام مدت خطا = قبول؛ هر جریان شارژی حین خطا = رد</t>
        </is>
      </c>
      <c r="K9" s="17" t="inlineStr"/>
      <c r="L9" s="20" t="inlineStr">
        <is>
          <t>در انتظار</t>
        </is>
      </c>
      <c r="M9" s="17" t="inlineStr"/>
      <c r="N9" s="17" t="inlineStr"/>
      <c r="O9" s="19" t="inlineStr">
        <is>
          <t>TESTER: fill</t>
        </is>
      </c>
      <c r="P9" s="19" t="inlineStr"/>
      <c r="Q9" s="21" t="inlineStr">
        <is>
          <t>2026-09-23</t>
        </is>
      </c>
    </row>
    <row r="10" ht="40.5" customHeight="1">
      <c r="A10" s="16" t="inlineStr">
        <is>
          <t>FL-007</t>
        </is>
      </c>
      <c r="B10" s="17" t="inlineStr">
        <is>
          <t>فریز در مود دستی</t>
        </is>
      </c>
      <c r="C10" s="18" t="inlineStr">
        <is>
          <t>بالا</t>
        </is>
      </c>
      <c r="D10" s="17" t="inlineStr">
        <is>
          <t>دستگاه روشن و از پنل، مود تست دستی شارژر را می‌توانی روشن کنی</t>
        </is>
      </c>
      <c r="E10" s="17" t="inlineStr">
        <is>
          <t>گام ۱: از پنل مود تست دستی شارژر را فعال کن.
گام ۲: در همین مود سیم باتری را بکش و چند ثانیه صبر کن.
گام ۳: باتری را وصل کن.</t>
        </is>
      </c>
      <c r="F10" s="19" t="inlineStr">
        <is>
          <t>قطع و وصل باتری داخل مود دستی</t>
        </is>
      </c>
      <c r="G10" s="19" t="inlineStr">
        <is>
          <t>یک دقیقه</t>
        </is>
      </c>
      <c r="H10" s="17" t="inlineStr">
        <is>
          <t>در مود دستی خطای ۶ ساخته نمی‌شود و چراغ قرمز قطع باتری نمی‌آید</t>
        </is>
      </c>
      <c r="I10" s="17" t="inlineStr">
        <is>
          <t>بدون قفل در مود دستی</t>
        </is>
      </c>
      <c r="J10" s="17" t="inlineStr">
        <is>
          <t>نیامدن خطا در مود دستی = قبول؛ آمدن خطای ۶ = رد</t>
        </is>
      </c>
      <c r="K10" s="17" t="inlineStr"/>
      <c r="L10" s="20" t="inlineStr">
        <is>
          <t>در انتظار</t>
        </is>
      </c>
      <c r="M10" s="17" t="inlineStr"/>
      <c r="N10" s="17" t="inlineStr"/>
      <c r="O10" s="19" t="inlineStr">
        <is>
          <t>TESTER: fill</t>
        </is>
      </c>
      <c r="P10" s="19" t="inlineStr"/>
      <c r="Q10" s="21" t="inlineStr">
        <is>
          <t>2026-09-23</t>
        </is>
      </c>
    </row>
    <row r="11" ht="54" customHeight="1">
      <c r="A11" s="16" t="inlineStr">
        <is>
          <t>FL-008</t>
        </is>
      </c>
      <c r="B11" s="22" t="inlineStr">
        <is>
          <t>خروج از مود دستی</t>
        </is>
      </c>
      <c r="C11" s="24" t="inlineStr">
        <is>
          <t>متوسط</t>
        </is>
      </c>
      <c r="D11" s="27" t="inlineStr">
        <is>
          <t>از FL-007 ادامه بده؛ مود دستی فعال است</t>
        </is>
      </c>
      <c r="E11" s="27" t="inlineStr">
        <is>
          <t>گام ۱: از پنل از مود تست دستی خارج شو.
گام ۲: حالا سیم باتری را حین شارژ بکش.
گام ۳: چراغ‌ها را ببین.</t>
        </is>
      </c>
      <c r="F11" s="24" t="inlineStr">
        <is>
          <t>خروج از مود دستی و قطع باتری</t>
        </is>
      </c>
      <c r="G11" s="24" t="inlineStr">
        <is>
          <t>یک دقیقه</t>
        </is>
      </c>
      <c r="H11" s="22" t="inlineStr">
        <is>
          <t>بعد از خروج از مود دستی، قطع باتری دوباره مثل حالت عادی خطای ۶ می‌سازد</t>
        </is>
      </c>
      <c r="I11" s="22" t="inlineStr">
        <is>
          <t>برگشت رفتار عادی</t>
        </is>
      </c>
      <c r="J11" s="27" t="inlineStr">
        <is>
          <t>ساخته‌شدن دوبارهٔ خطای ۶ = قبول؛ نساختن = رد</t>
        </is>
      </c>
      <c r="K11" s="22" t="inlineStr"/>
      <c r="L11" s="20" t="inlineStr">
        <is>
          <t>در انتظار</t>
        </is>
      </c>
      <c r="M11" s="22" t="inlineStr"/>
      <c r="N11" s="22" t="inlineStr"/>
      <c r="O11" s="24" t="inlineStr">
        <is>
          <t>TESTER: fill</t>
        </is>
      </c>
      <c r="P11" s="24" t="inlineStr"/>
      <c r="Q11" s="25" t="inlineStr">
        <is>
          <t>2026-09-23</t>
        </is>
      </c>
    </row>
    <row r="12" ht="54" customHeight="1">
      <c r="A12" s="16" t="inlineStr">
        <is>
          <t>FL-010</t>
        </is>
      </c>
      <c r="B12" s="22" t="inlineStr">
        <is>
          <t>تله‌متری</t>
        </is>
      </c>
      <c r="C12" s="24" t="inlineStr">
        <is>
          <t>متوسط</t>
        </is>
      </c>
      <c r="D12" s="22" t="inlineStr">
        <is>
          <t>پنل باز است و تله‌متری زنده را می‌بینی</t>
        </is>
      </c>
      <c r="E12" s="22" t="inlineStr">
        <is>
          <t>گام ۱: حین شارژ سیم باتری را بکش تا خطای ۶ بیاید.
گام ۲: در پنل نگاه کن خطای ۶ و توقف شارژ دیده می‌شود.
گام ۳: باتری را وصل کن و پاک‌شدن خطا را در پنل ببین.</t>
        </is>
      </c>
      <c r="F12" s="24" t="inlineStr">
        <is>
          <t>ساختن و پاک‌کردن خطای ۶ جلوی پنل</t>
        </is>
      </c>
      <c r="G12" s="24" t="inlineStr">
        <is>
          <t>دو دقیقه</t>
        </is>
      </c>
      <c r="H12" s="22" t="inlineStr">
        <is>
          <t>پنل همان چیزی را نشان می‌دهد که روی دستگاه می‌بینی: خطای ۶ می‌آید و با برگشت باتری پاک می‌شود</t>
        </is>
      </c>
      <c r="I12" s="22" t="inlineStr">
        <is>
          <t>هم‌گام با چراغ‌های دستگاه</t>
        </is>
      </c>
      <c r="J12" s="22" t="inlineStr">
        <is>
          <t>یکی‌بودن پنل و چراغ‌ها = قبول؛ اختلاف پنل با واقعیت = رد</t>
        </is>
      </c>
      <c r="K12" s="22" t="inlineStr"/>
      <c r="L12" s="20" t="inlineStr">
        <is>
          <t>در انتظار</t>
        </is>
      </c>
      <c r="M12" s="22" t="inlineStr"/>
      <c r="N12" s="22" t="inlineStr"/>
      <c r="O12" s="24" t="inlineStr">
        <is>
          <t>TESTER: fill</t>
        </is>
      </c>
      <c r="P12" s="24" t="inlineStr"/>
      <c r="Q12" s="25" t="inlineStr">
        <is>
          <t>2026-09-23</t>
        </is>
      </c>
    </row>
    <row r="13" ht="54" customHeight="1">
      <c r="Q13" s="29">
        <f>IF(OR(L16="",L16="در انتظار"),"",IF(Q16="",TODAY(),Q16))</f>
        <v/>
      </c>
    </row>
    <row r="14" ht="54" customHeight="1">
      <c r="Q14" s="29">
        <f>IF(OR(L17="",L17="در انتظار"),"",IF(Q17="",TODAY(),Q17))</f>
        <v/>
      </c>
    </row>
    <row r="15" ht="40.5" customHeight="1">
      <c r="Q15" s="29">
        <f>IF(OR(L18="",L18="در انتظار"),"",IF(Q18="",TODAY(),Q18))</f>
        <v/>
      </c>
    </row>
    <row r="16">
      <c r="Q16" s="29">
        <f>IF(OR(L19="",L19="در انتظار"),"",IF(Q19="",TODAY(),Q19))</f>
        <v/>
      </c>
    </row>
    <row r="17">
      <c r="Q17" s="29">
        <f>IF(OR(L20="",L20="در انتظار"),"",IF(Q20="",TODAY(),Q20))</f>
        <v/>
      </c>
    </row>
    <row r="18">
      <c r="Q18" s="29">
        <f>IF(OR(L21="",L21="در انتظار"),"",IF(Q21="",TODAY(),Q21))</f>
        <v/>
      </c>
    </row>
    <row r="19">
      <c r="Q19" s="29">
        <f>IF(OR(L22="",L22="در انتظار"),"",IF(Q22="",TODAY(),Q22))</f>
        <v/>
      </c>
    </row>
    <row r="20">
      <c r="Q20" s="29">
        <f>IF(OR(L23="",L23="در انتظار"),"",IF(Q23="",TODAY(),Q23))</f>
        <v/>
      </c>
    </row>
    <row r="21">
      <c r="Q21" s="29">
        <f>IF(OR(L24="",L24="در انتظار"),"",IF(Q24="",TODAY(),Q24))</f>
        <v/>
      </c>
    </row>
    <row r="22">
      <c r="Q22" s="29">
        <f>IF(OR(L25="",L25="در انتظار"),"",IF(Q25="",TODAY(),Q25))</f>
        <v/>
      </c>
    </row>
    <row r="23">
      <c r="Q23" s="29">
        <f>IF(OR(L26="",L26="در انتظار"),"",IF(Q26="",TODAY(),Q26))</f>
        <v/>
      </c>
    </row>
    <row r="24">
      <c r="Q24" s="29">
        <f>IF(OR(L27="",L27="در انتظار"),"",IF(Q27="",TODAY(),Q27))</f>
        <v/>
      </c>
    </row>
    <row r="25">
      <c r="Q25" s="29">
        <f>IF(OR(L28="",L28="در انتظار"),"",IF(Q28="",TODAY(),Q28))</f>
        <v/>
      </c>
    </row>
    <row r="26">
      <c r="Q26" s="29">
        <f>IF(OR(L29="",L29="در انتظار"),"",IF(Q29="",TODAY(),Q29))</f>
        <v/>
      </c>
    </row>
    <row r="27">
      <c r="Q27" s="29">
        <f>IF(OR(L30="",L30="در انتظار"),"",IF(Q30="",TODAY(),Q30))</f>
        <v/>
      </c>
    </row>
    <row r="28">
      <c r="Q28" s="29">
        <f>IF(OR(L31="",L31="در انتظار"),"",IF(Q31="",TODAY(),Q31))</f>
        <v/>
      </c>
    </row>
    <row r="29">
      <c r="Q29" s="29">
        <f>IF(OR(L32="",L32="در انتظار"),"",IF(Q32="",TODAY(),Q32))</f>
        <v/>
      </c>
    </row>
    <row r="30">
      <c r="Q30" s="29">
        <f>IF(OR(L33="",L33="در انتظار"),"",IF(Q33="",TODAY(),Q33))</f>
        <v/>
      </c>
    </row>
    <row r="31">
      <c r="Q31" s="29">
        <f>IF(OR(L34="",L34="در انتظار"),"",IF(Q34="",TODAY(),Q34))</f>
        <v/>
      </c>
    </row>
    <row r="32">
      <c r="Q32" s="29">
        <f>IF(OR(L35="",L35="در انتظار"),"",IF(Q35="",TODAY(),Q35))</f>
        <v/>
      </c>
    </row>
    <row r="33">
      <c r="Q33" s="29">
        <f>IF(OR(L36="",L36="در انتظار"),"",IF(Q36="",TODAY(),Q36))</f>
        <v/>
      </c>
    </row>
    <row r="34">
      <c r="Q34" s="29">
        <f>IF(OR(L37="",L37="در انتظار"),"",IF(Q37="",TODAY(),Q37))</f>
        <v/>
      </c>
    </row>
    <row r="35">
      <c r="Q35" s="29">
        <f>IF(OR(L38="",L38="در انتظار"),"",IF(Q38="",TODAY(),Q38))</f>
        <v/>
      </c>
    </row>
    <row r="36">
      <c r="Q36" s="29">
        <f>IF(OR(L39="",L39="در انتظار"),"",IF(Q39="",TODAY(),Q39))</f>
        <v/>
      </c>
    </row>
    <row r="37">
      <c r="Q37" s="29">
        <f>IF(OR(L40="",L40="در انتظار"),"",IF(Q40="",TODAY(),Q40))</f>
        <v/>
      </c>
    </row>
    <row r="38">
      <c r="Q38" s="29">
        <f>IF(OR(L41="",L41="در انتظار"),"",IF(Q41="",TODAY(),Q41))</f>
        <v/>
      </c>
    </row>
    <row r="39">
      <c r="Q39" s="29">
        <f>IF(OR(L42="",L42="در انتظار"),"",IF(Q42="",TODAY(),Q42))</f>
        <v/>
      </c>
    </row>
    <row r="40">
      <c r="Q40" s="29">
        <f>IF(OR(L43="",L43="در انتظار"),"",IF(Q43="",TODAY(),Q43))</f>
        <v/>
      </c>
    </row>
    <row r="41">
      <c r="Q41" s="29">
        <f>IF(OR(L44="",L44="در انتظار"),"",IF(Q44="",TODAY(),Q44))</f>
        <v/>
      </c>
    </row>
    <row r="42">
      <c r="Q42" s="29">
        <f>IF(OR(L45="",L45="در انتظار"),"",IF(Q45="",TODAY(),Q45))</f>
        <v/>
      </c>
    </row>
    <row r="43">
      <c r="Q43" s="29">
        <f>IF(OR(L46="",L46="در انتظار"),"",IF(Q46="",TODAY(),Q46))</f>
        <v/>
      </c>
    </row>
    <row r="44">
      <c r="Q44" s="29">
        <f>IF(OR(L47="",L47="در انتظار"),"",IF(Q47="",TODAY(),Q47))</f>
        <v/>
      </c>
    </row>
    <row r="45">
      <c r="Q45" s="29">
        <f>IF(OR(L48="",L48="در انتظار"),"",IF(Q48="",TODAY(),Q48))</f>
        <v/>
      </c>
    </row>
    <row r="46">
      <c r="Q46" s="29">
        <f>IF(OR(L49="",L49="در انتظار"),"",IF(Q49="",TODAY(),Q49))</f>
        <v/>
      </c>
    </row>
    <row r="47">
      <c r="Q47" s="29">
        <f>IF(OR(L50="",L50="در انتظار"),"",IF(Q50="",TODAY(),Q50))</f>
        <v/>
      </c>
    </row>
    <row r="48">
      <c r="Q48" s="29">
        <f>IF(OR(L51="",L51="در انتظار"),"",IF(Q51="",TODAY(),Q51))</f>
        <v/>
      </c>
    </row>
    <row r="49">
      <c r="Q49" s="29">
        <f>IF(OR(L52="",L52="در انتظار"),"",IF(Q52="",TODAY(),Q52))</f>
        <v/>
      </c>
    </row>
    <row r="50">
      <c r="Q50" s="29">
        <f>IF(OR(L53="",L53="در انتظار"),"",IF(Q53="",TODAY(),Q53))</f>
        <v/>
      </c>
    </row>
    <row r="51">
      <c r="Q51" s="29">
        <f>IF(OR(L54="",L54="در انتظار"),"",IF(Q54="",TODAY(),Q54))</f>
        <v/>
      </c>
    </row>
    <row r="52">
      <c r="Q52" s="29">
        <f>IF(OR(L55="",L55="در انتظار"),"",IF(Q55="",TODAY(),Q55))</f>
        <v/>
      </c>
    </row>
  </sheetData>
  <autoFilter ref="A4:Q54"/>
  <mergeCells count="3">
    <mergeCell ref="A3:Q3"/>
    <mergeCell ref="A2:Q2"/>
    <mergeCell ref="A1:Q1"/>
  </mergeCells>
  <dataValidations count="2">
    <dataValidation sqref="C5:C95" showDropDown="0" showInputMessage="0" showErrorMessage="0" allowBlank="1" type="list">
      <formula1>='فهرست‌ها'!$B$9:$B$11</formula1>
    </dataValidation>
    <dataValidation sqref="L5:L95" showDropDown="0" showInputMessage="0" showErrorMessage="0" allowBlank="1" prompt="وضعیت تست را از فهرست انتخاب کنید" type="list">
      <formula1>='فهرست‌ها'!$A$2:$A$7</formula1>
    </dataValidation>
  </dataValidations>
  <hyperlinks>
    <hyperlink ref="D7" location="'برنامه تست'!A5"/>
    <hyperlink ref="D9" location="'برنامه تست'!A5"/>
    <hyperlink ref="D11" location="'برنامه تست'!A10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Q25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43" t="inlineStr">
        <is>
          <t>تست‌های برنامه‌نویسی و هاست (جدا از ولیدیشن عملی برد)</t>
        </is>
      </c>
    </row>
    <row r="2" ht="42" customHeight="1">
      <c r="B2" s="44" t="inlineStr">
        <is>
          <t>این شیت جدا از ولیدیشن عملی برد است: چک‌های کدنویسی، تست‌های هاست، بازبینی کد و تزریق با دیباگر. این‌ها با گیت‌های check_ai_rules و check_firmware_syntax و تست‌های هاست پوشش داده می‌شوند؛ برای بررسی عملکرد روی برد واقعی لازم نیستند.</t>
        </is>
      </c>
    </row>
    <row r="3"/>
    <row r="4" ht="30" customHeight="1">
      <c r="A4" s="14" t="inlineStr">
        <is>
          <t>شناسه</t>
        </is>
      </c>
      <c r="B4" s="14" t="inlineStr">
        <is>
          <t>دسته</t>
        </is>
      </c>
      <c r="C4" s="14" t="inlineStr">
        <is>
          <t>اولویت</t>
        </is>
      </c>
      <c r="D4" s="14" t="inlineStr">
        <is>
          <t>پیش‌شرط</t>
        </is>
      </c>
      <c r="E4" s="14" t="inlineStr">
        <is>
          <t>روش اجرای دقیق</t>
        </is>
      </c>
      <c r="F4" s="14" t="inlineStr">
        <is>
          <t>ورودی‌ها / شرایط</t>
        </is>
      </c>
      <c r="G4" s="14" t="inlineStr">
        <is>
          <t>مدت مشاهده</t>
        </is>
      </c>
      <c r="H4" s="14" t="inlineStr">
        <is>
          <t>رفتار مورد انتظار</t>
        </is>
      </c>
      <c r="I4" s="14" t="inlineStr">
        <is>
          <t>وضعیت حفظ / latch</t>
        </is>
      </c>
      <c r="J4" s="14" t="inlineStr">
        <is>
          <t>معیار قبولی</t>
        </is>
      </c>
      <c r="K4" s="14" t="inlineStr">
        <is>
          <t>نتیجهٔ واقعی / اندازه‌گیری</t>
        </is>
      </c>
      <c r="L4" s="14" t="inlineStr">
        <is>
          <t>وضعیت</t>
        </is>
      </c>
      <c r="M4" s="14" t="inlineStr">
        <is>
          <t>شرح ایراد / تفاوت</t>
        </is>
      </c>
      <c r="N4" s="14" t="inlineStr">
        <is>
          <t>مدرک تست / scope</t>
        </is>
      </c>
      <c r="O4" s="14" t="inlineStr">
        <is>
          <t>commit</t>
        </is>
      </c>
      <c r="P4" s="14" t="inlineStr">
        <is>
          <t>نام تست‌کننده</t>
        </is>
      </c>
      <c r="Q4" s="14" t="inlineStr">
        <is>
          <t>تاریخ</t>
        </is>
      </c>
    </row>
    <row r="5" ht="54" customHeight="1">
      <c r="A5" s="16" t="inlineStr">
        <is>
          <t>FL-009</t>
        </is>
      </c>
      <c r="B5" s="17" t="inlineStr">
        <is>
          <t>تزریق دستی</t>
        </is>
      </c>
      <c r="C5" s="19" t="inlineStr">
        <is>
          <t>پایین</t>
        </is>
      </c>
      <c r="D5" s="17" t="inlineStr">
        <is>
          <t>دیباگر وصل</t>
        </is>
      </c>
      <c r="E5" s="17" t="inlineStr">
        <is>
          <t>گام ۱: دیباگر را وصل کن و مسیر تست func__Fault_Set/Clear را آماده کن.
گام ۲: چند بیت دلخواه را یک بار Set و یک بار Clear کن.
گام ۳: ماسک را با func__Fault_Get بخوان و func__Fault_Any را چک کن.
گام ۴: ماسک باید دقیقاً همان بیت‌هایی باشد که ست کردی و Any با بودن/نبودن بیت درست جواب دهد.</t>
        </is>
      </c>
      <c r="F5" s="19" t="inlineStr">
        <is>
          <t>بیت‌های دلخواه</t>
        </is>
      </c>
      <c r="G5" s="19" t="inlineStr">
        <is>
          <t>—</t>
        </is>
      </c>
      <c r="H5" s="17" t="inlineStr">
        <is>
          <t>ماسک دقیقاً Set/Clear می‌شود</t>
        </is>
      </c>
      <c r="I5" s="17" t="inlineStr">
        <is>
          <t>—</t>
        </is>
      </c>
      <c r="J5" s="17" t="inlineStr">
        <is>
          <t>Get/Any مطابق</t>
        </is>
      </c>
      <c r="K5" s="17" t="n"/>
      <c r="L5" s="20" t="inlineStr">
        <is>
          <t>در انتظار</t>
        </is>
      </c>
      <c r="M5" s="17" t="n"/>
      <c r="N5" s="17" t="n"/>
      <c r="O5" s="19" t="inlineStr">
        <is>
          <t>TESTER: fill</t>
        </is>
      </c>
      <c r="P5" s="19" t="n"/>
      <c r="Q5" s="21" t="inlineStr">
        <is>
          <t>2026-09-23</t>
        </is>
      </c>
    </row>
    <row r="6">
      <c r="A6" s="16" t="inlineStr">
        <is>
          <t>FA-020</t>
        </is>
      </c>
      <c r="B6" s="17" t="inlineStr">
        <is>
          <t>snapshot zeroing</t>
        </is>
      </c>
      <c r="C6" s="18" t="inlineStr">
        <is>
          <t>بالا</t>
        </is>
      </c>
      <c r="D6" s="17" t="inlineStr">
        <is>
          <t>valid=false</t>
        </is>
      </c>
      <c r="E6" s="17" t="inlineStr">
        <is>
          <t>گام ۱: یک snapshot نامعتبر بساز: valid=false و هر 9 فیلد صفر.
گام ۲: آن را 2 ثانیه به Fault_Evaluate بده.
گام ۳: ماسک خطا را بخوان: هیچ Set یا Clear کاذبی نباید اتفاق افتاده باشد؛ تابع فقط valid را چک می‌کند و بر اساس فیلدهای صفر تصمیم نمی‌گیرد.</t>
        </is>
      </c>
      <c r="F6" s="19" t="inlineStr">
        <is>
          <t>valid=false</t>
        </is>
      </c>
      <c r="G6" s="19" t="inlineStr">
        <is>
          <t>2s</t>
        </is>
      </c>
      <c r="H6" s="17" t="inlineStr">
        <is>
          <t>بدون Set/Clear کاذب؛ فقط valid چک شود؛ هر 9 فیلد صفر شده باشد</t>
        </is>
      </c>
      <c r="I6" s="17" t="inlineStr">
        <is>
          <t>—</t>
        </is>
      </c>
      <c r="J6" s="17" t="inlineStr">
        <is>
          <t>بدون fault کاذب</t>
        </is>
      </c>
      <c r="K6" s="17" t="n"/>
      <c r="L6" s="28" t="inlineStr">
        <is>
          <t>نیاز به تکرار</t>
        </is>
      </c>
      <c r="M6" s="17" t="n"/>
      <c r="N6" s="17" t="n"/>
      <c r="O6" s="19" t="inlineStr">
        <is>
          <t>62f3782</t>
        </is>
      </c>
      <c r="P6" s="19" t="n"/>
      <c r="Q6" s="21">
        <f>IF(OR(L6="",L6="در انتظار"),"",IF(Q6="",TODAY(),Q6))</f>
        <v/>
      </c>
    </row>
    <row r="7">
      <c r="Q7" s="29">
        <f>IF(OR(L7="",L7="در انتظار"),"",IF(Q7="",TODAY(),Q7))</f>
        <v/>
      </c>
    </row>
    <row r="8">
      <c r="Q8" s="29">
        <f>IF(OR(L8="",L8="در انتظار"),"",IF(Q8="",TODAY(),Q8))</f>
        <v/>
      </c>
    </row>
    <row r="9">
      <c r="Q9" s="29">
        <f>IF(OR(L9="",L9="در انتظار"),"",IF(Q9="",TODAY(),Q9))</f>
        <v/>
      </c>
    </row>
    <row r="10">
      <c r="Q10" s="29">
        <f>IF(OR(L10="",L10="در انتظار"),"",IF(Q10="",TODAY(),Q10))</f>
        <v/>
      </c>
    </row>
    <row r="11">
      <c r="Q11" s="29">
        <f>IF(OR(L11="",L11="در انتظار"),"",IF(Q11="",TODAY(),Q11))</f>
        <v/>
      </c>
    </row>
    <row r="12">
      <c r="Q12" s="29">
        <f>IF(OR(L12="",L12="در انتظار"),"",IF(Q12="",TODAY(),Q12))</f>
        <v/>
      </c>
    </row>
    <row r="13">
      <c r="Q13" s="29">
        <f>IF(OR(L13="",L13="در انتظار"),"",IF(Q13="",TODAY(),Q13))</f>
        <v/>
      </c>
    </row>
    <row r="14">
      <c r="Q14" s="29">
        <f>IF(OR(L14="",L14="در انتظار"),"",IF(Q14="",TODAY(),Q14))</f>
        <v/>
      </c>
    </row>
    <row r="15">
      <c r="Q15" s="29">
        <f>IF(OR(L15="",L15="در انتظار"),"",IF(Q15="",TODAY(),Q15))</f>
        <v/>
      </c>
    </row>
    <row r="16">
      <c r="Q16" s="29">
        <f>IF(OR(L16="",L16="در انتظار"),"",IF(Q16="",TODAY(),Q16))</f>
        <v/>
      </c>
    </row>
    <row r="17">
      <c r="Q17" s="29">
        <f>IF(OR(L17="",L17="در انتظار"),"",IF(Q17="",TODAY(),Q17))</f>
        <v/>
      </c>
    </row>
    <row r="18">
      <c r="Q18" s="29">
        <f>IF(OR(L18="",L18="در انتظار"),"",IF(Q18="",TODAY(),Q18))</f>
        <v/>
      </c>
    </row>
    <row r="19">
      <c r="Q19" s="29">
        <f>IF(OR(L19="",L19="در انتظار"),"",IF(Q19="",TODAY(),Q19))</f>
        <v/>
      </c>
    </row>
    <row r="20">
      <c r="Q20" s="29">
        <f>IF(OR(L20="",L20="در انتظار"),"",IF(Q20="",TODAY(),Q20))</f>
        <v/>
      </c>
    </row>
    <row r="21">
      <c r="Q21" s="29">
        <f>IF(OR(L21="",L21="در انتظار"),"",IF(Q21="",TODAY(),Q21))</f>
        <v/>
      </c>
    </row>
    <row r="22">
      <c r="Q22" s="29">
        <f>IF(OR(L22="",L22="در انتظار"),"",IF(Q22="",TODAY(),Q22))</f>
        <v/>
      </c>
    </row>
    <row r="23">
      <c r="Q23" s="29">
        <f>IF(OR(L23="",L23="در انتظار"),"",IF(Q23="",TODAY(),Q23))</f>
        <v/>
      </c>
    </row>
    <row r="24">
      <c r="Q24" s="29">
        <f>IF(OR(L24="",L24="در انتظار"),"",IF(Q24="",TODAY(),Q24))</f>
        <v/>
      </c>
    </row>
    <row r="25">
      <c r="Q25" s="29">
        <f>IF(OR(L25="",L25="در انتظار"),"",IF(Q25="",TODAY(),Q25))</f>
        <v/>
      </c>
    </row>
  </sheetData>
  <autoFilter ref="A4:Q5"/>
  <dataValidations count="1">
    <dataValidation sqref="L5 L6 L7 L8 L9 L10 L11 L12 L13 L14 L15 L16 L17 L18 L19 L20 L21 L22 L23 L24 L25" showDropDown="0" showInputMessage="0" showErrorMessage="0" allowBlank="1" type="list">
      <formula1>='فهرست‌ها'!$A$2:$A$7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E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30" customHeight="1">
      <c r="A1" s="14" t="inlineStr">
        <is>
          <t>مرجع سریع سناریوها و ثابت‌های ماژول Fault</t>
        </is>
      </c>
      <c r="B1" s="40" t="n"/>
      <c r="C1" s="40" t="n"/>
      <c r="D1" s="40" t="n"/>
      <c r="E1" s="41" t="n"/>
    </row>
    <row r="2"/>
    <row r="3">
      <c r="A3" s="30" t="inlineStr">
        <is>
          <t>موضوع</t>
        </is>
      </c>
      <c r="B3" s="30" t="inlineStr">
        <is>
          <t>شرط / مقدار</t>
        </is>
      </c>
      <c r="C3" s="30" t="inlineStr">
        <is>
          <t>رفتار مورد انتظار</t>
        </is>
      </c>
      <c r="D3" s="30" t="inlineStr">
        <is>
          <t>ثابت / محل کد</t>
        </is>
      </c>
      <c r="E3" s="30" t="inlineStr">
        <is>
          <t>توضیح</t>
        </is>
      </c>
    </row>
    <row r="4">
      <c r="A4" s="31" t="inlineStr">
        <is>
          <t>قاعدهٔ پمپ</t>
        </is>
      </c>
      <c r="B4" s="31" t="inlineStr">
        <is>
          <t>&gt;14.8V حین BULK/ABSORB، 150ms</t>
        </is>
      </c>
      <c r="C4" s="31" t="inlineStr">
        <is>
          <t>قفل FAULT_CHARGER_BAT_LOST</t>
        </is>
      </c>
      <c r="D4" s="31" t="inlineStr">
        <is>
          <t>FAULT_BAT_DISCONNECT_MV / FAULT_BAT_DISCONNECT_DEBOUNCE_MS</t>
        </is>
      </c>
      <c r="E4" s="31" t="inlineStr">
        <is>
          <t>فقط کانال فعال</t>
        </is>
      </c>
    </row>
    <row r="5">
      <c r="A5" s="31" t="inlineStr">
        <is>
          <t>قاعدهٔ غیبت</t>
        </is>
      </c>
      <c r="B5" s="31" t="inlineStr">
        <is>
          <t>هر نیم &lt;6V با ورودی سالم، 1s</t>
        </is>
      </c>
      <c r="C5" s="31" t="inlineStr">
        <is>
          <t>قفل FAULT_CHARGER_BAT_LOST</t>
        </is>
      </c>
      <c r="D5" s="31" t="inlineStr">
        <is>
          <t>FAULT_BAT_ABSENT_MV / FAULT_BAT_ABSENT_DEBOUNCE_MS</t>
        </is>
      </c>
      <c r="E5" s="31" t="inlineStr">
        <is>
          <t>هرکدام، نه هر دو</t>
        </is>
      </c>
    </row>
    <row r="6">
      <c r="A6" s="31" t="inlineStr">
        <is>
          <t>بازیابی</t>
        </is>
      </c>
      <c r="B6" s="31" t="inlineStr">
        <is>
          <t>هر دو نیم ≥7V بدون پمپ، 1s</t>
        </is>
      </c>
      <c r="C6" s="31" t="inlineStr">
        <is>
          <t>پاک شدن بیت</t>
        </is>
      </c>
      <c r="D6" s="31" t="inlineStr">
        <is>
          <t>FAULT_BATTERY_BACK_MV / FAULT_BAT_RECOVER_MS</t>
        </is>
      </c>
      <c r="E6" s="31" t="inlineStr">
        <is>
          <t>هیسترزیس 1V</t>
        </is>
      </c>
    </row>
    <row r="7">
      <c r="A7" s="31" t="inlineStr">
        <is>
          <t>فریز مود دستی</t>
        </is>
      </c>
      <c r="B7" s="31" t="inlineStr">
        <is>
          <t>IsManualTestModeActive</t>
        </is>
      </c>
      <c r="C7" s="31" t="inlineStr">
        <is>
          <t>بدون Set/Clear، تمپ صفر</t>
        </is>
      </c>
      <c r="D7" s="42" t="inlineStr">
        <is>
          <t>fault.c (v1.2)</t>
        </is>
      </c>
      <c r="E7" s="31" t="inlineStr">
        <is>
          <t>پمپ عمدی عادی‌سازی شد</t>
        </is>
      </c>
    </row>
    <row r="8">
      <c r="A8" s="31" t="inlineStr">
        <is>
          <t>بیت‌های ماسک</t>
        </is>
      </c>
      <c r="B8" s="42" t="inlineStr">
        <is>
          <t>0..6 در app_types.h</t>
        </is>
      </c>
      <c r="C8" s="31" t="inlineStr">
        <is>
          <t>FAULT_CHARGER_BAT_LOST (بیت ۶)</t>
        </is>
      </c>
      <c r="D8" s="31" t="inlineStr">
        <is>
          <t>FAULT_*</t>
        </is>
      </c>
      <c r="E8" s="31" t="inlineStr">
        <is>
          <t>0x40 در تله‌متری</t>
        </is>
      </c>
    </row>
  </sheetData>
  <mergeCells count="1">
    <mergeCell ref="A1:E1"/>
  </mergeCells>
  <hyperlinks>
    <hyperlink xmlns:r="http://schemas.openxmlformats.org/officeDocument/2006/relationships" ref="D7" r:id="rId1"/>
    <hyperlink xmlns:r="http://schemas.openxmlformats.org/officeDocument/2006/relationships" ref="B8" r:id="rId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M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2" t="inlineStr">
        <is>
          <t>ثبت ایرادهای مشاهده‌شده — ماژول Fault</t>
        </is>
      </c>
    </row>
    <row r="2" ht="30" customHeight="1">
      <c r="A2" s="14" t="inlineStr">
        <is>
          <t>برای هر وضعیت «رد» یا تفاوت مهم، یک ردیف با شناسهٔ یکتا ثبت و پس از اصلاح دوباره تست شود.</t>
        </is>
      </c>
      <c r="B2" s="40" t="n"/>
      <c r="C2" s="40" t="n"/>
      <c r="D2" s="40" t="n"/>
      <c r="E2" s="40" t="n"/>
      <c r="F2" s="40" t="n"/>
      <c r="G2" s="40" t="n"/>
      <c r="H2" s="40" t="n"/>
      <c r="I2" s="40" t="n"/>
      <c r="J2" s="40" t="n"/>
      <c r="K2" s="40" t="n"/>
      <c r="L2" s="40" t="n"/>
      <c r="M2" s="41" t="n"/>
    </row>
    <row r="3">
      <c r="A3" s="30" t="inlineStr">
        <is>
          <t>شماره ایراد</t>
        </is>
      </c>
      <c r="B3" s="30" t="inlineStr">
        <is>
          <t>شناسه تست</t>
        </is>
      </c>
      <c r="C3" s="30" t="inlineStr">
        <is>
          <t>تاریخ کشف</t>
        </is>
      </c>
      <c r="D3" s="30" t="inlineStr">
        <is>
          <t>شدت</t>
        </is>
      </c>
      <c r="E3" s="30" t="inlineStr">
        <is>
          <t>شرح کوتاه ایراد</t>
        </is>
      </c>
      <c r="F3" s="30" t="inlineStr">
        <is>
          <t>مراحل بازتولید</t>
        </is>
      </c>
      <c r="G3" s="30" t="inlineStr">
        <is>
          <t>انتظار</t>
        </is>
      </c>
      <c r="H3" s="30" t="inlineStr">
        <is>
          <t>واقعیت</t>
        </is>
      </c>
      <c r="I3" s="30" t="inlineStr">
        <is>
          <t>مدرک/مسیر عکس یا scope</t>
        </is>
      </c>
      <c r="J3" s="30" t="inlineStr">
        <is>
          <t>commit firmware</t>
        </is>
      </c>
      <c r="K3" s="30" t="inlineStr">
        <is>
          <t>محل احتمالی</t>
        </is>
      </c>
      <c r="L3" s="30" t="inlineStr">
        <is>
          <t>وضعیت ایراد</t>
        </is>
      </c>
      <c r="M3" s="30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/>
  </sheetPr>
  <dimension ref="A1:C19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2" t="inlineStr">
        <is>
          <t>تأیید نهایی اعتبارسنجی — ماژول Fault</t>
        </is>
      </c>
    </row>
    <row r="2">
      <c r="A2" s="13" t="inlineStr">
        <is>
          <t>این صفحه فقط پس از تکمیل تست‌ها و بسته‌شدن ایرادها پر می‌شود.</t>
        </is>
      </c>
    </row>
    <row r="3">
      <c r="A3" s="13" t="inlineStr">
        <is>
          <t>مشخصات تست</t>
        </is>
      </c>
    </row>
    <row r="4">
      <c r="A4" s="13" t="inlineStr">
        <is>
          <t>پروژه</t>
        </is>
      </c>
      <c r="B4" s="13" t="inlineStr">
        <is>
          <t>ChangeOver</t>
        </is>
      </c>
    </row>
    <row r="5">
      <c r="A5" s="13" t="inlineStr">
        <is>
          <t>ماژول</t>
        </is>
      </c>
      <c r="B5" s="13" t="inlineStr">
        <is>
          <t>Fault — تشخیص متمرکز قطع باتری</t>
        </is>
      </c>
    </row>
    <row r="6">
      <c r="A6" s="13" t="inlineStr">
        <is>
          <t>تاریخ ساخت فرم</t>
        </is>
      </c>
      <c r="B6" s="13" t="inlineStr">
        <is>
          <t>2026-09-23 (1.0 — شامل فریز v1.2)</t>
        </is>
      </c>
    </row>
    <row r="7">
      <c r="A7" s="13" t="inlineStr">
        <is>
          <t>نسخه فرم</t>
        </is>
      </c>
      <c r="B7" s="13" t="inlineStr">
        <is>
          <t>1.0</t>
        </is>
      </c>
    </row>
    <row r="8">
      <c r="A8" s="13" t="inlineStr">
        <is>
          <t>commit firmware</t>
        </is>
      </c>
      <c r="B8" s="13" t="inlineStr">
        <is>
          <t>TESTER: fill</t>
        </is>
      </c>
    </row>
    <row r="9">
      <c r="A9" s="13" t="inlineStr">
        <is>
          <t>ابزار</t>
        </is>
      </c>
      <c r="B9" s="13" t="inlineStr">
        <is>
          <t>پنل ESP + مولتی‌متر + سیم‌کشی تست</t>
        </is>
      </c>
    </row>
    <row r="10"/>
    <row r="11">
      <c r="A11" s="32" t="inlineStr">
        <is>
          <t>خلاصهٔ خودکار وضعیت تست‌ها</t>
        </is>
      </c>
    </row>
    <row r="12">
      <c r="A12" s="30" t="inlineStr">
        <is>
          <t>شاخص</t>
        </is>
      </c>
      <c r="B12" s="30" t="inlineStr">
        <is>
          <t>مقدار</t>
        </is>
      </c>
      <c r="C12" s="30" t="inlineStr">
        <is>
          <t>توضیح</t>
        </is>
      </c>
    </row>
    <row r="13">
      <c r="A13" s="33" t="inlineStr">
        <is>
          <t>کل تست‌ها</t>
        </is>
      </c>
      <c r="B13" s="33" t="n">
        <v>10</v>
      </c>
      <c r="C13" s="33" t="inlineStr">
        <is>
          <t>همهٔ ردیف‌های برنامه تست</t>
        </is>
      </c>
    </row>
    <row r="14">
      <c r="A14" s="33" t="inlineStr">
        <is>
          <t>قبول</t>
        </is>
      </c>
      <c r="B14" s="33">
        <f>COUNTIF('برنامه تست'!L:L,"قبول")</f>
        <v/>
      </c>
      <c r="C14" s="33" t="inlineStr">
        <is>
          <t>COUNTIF برنامه تست</t>
        </is>
      </c>
    </row>
    <row r="15">
      <c r="A15" s="33" t="inlineStr">
        <is>
          <t>رد</t>
        </is>
      </c>
      <c r="B15" s="33">
        <f>COUNTIF('برنامه تست'!L:L,"رد")</f>
        <v/>
      </c>
      <c r="C15" s="33" t="inlineStr">
        <is>
          <t>COUNTIF رد</t>
        </is>
      </c>
    </row>
    <row r="16">
      <c r="A16" s="33" t="inlineStr">
        <is>
          <t>در انتظار</t>
        </is>
      </c>
      <c r="B16" s="33">
        <f>COUNTIF('برنامه تست'!L:L,"در انتظار")</f>
        <v/>
      </c>
      <c r="C16" s="33" t="inlineStr">
        <is>
          <t>پیش از تست برد</t>
        </is>
      </c>
    </row>
    <row r="17">
      <c r="A17" s="33" t="inlineStr">
        <is>
          <t>نرخ قبولی</t>
        </is>
      </c>
      <c r="B17" s="33">
        <f>IF(10=0,0,COUNTIF('برنامه تست'!L:L,"قبول")/10)</f>
        <v/>
      </c>
      <c r="C17" s="33" t="inlineStr">
        <is>
          <t>قبول/کل</t>
        </is>
      </c>
    </row>
    <row r="18"/>
    <row r="19">
      <c r="A19" s="32" t="inlineStr">
        <is>
          <t>امضا و تأیید: تست‌کننده ______  بازبین ______  تاریخ ______</t>
        </is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B17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4" t="inlineStr">
        <is>
          <t>وضعیت</t>
        </is>
      </c>
    </row>
    <row r="2">
      <c r="A2" s="35" t="inlineStr">
        <is>
          <t>در انتظار</t>
        </is>
      </c>
    </row>
    <row r="3">
      <c r="A3" s="35" t="inlineStr">
        <is>
          <t>انجام شد</t>
        </is>
      </c>
    </row>
    <row r="4">
      <c r="A4" s="35" t="inlineStr">
        <is>
          <t>قبول</t>
        </is>
      </c>
    </row>
    <row r="5">
      <c r="A5" s="35" t="inlineStr">
        <is>
          <t>رد</t>
        </is>
      </c>
    </row>
    <row r="6">
      <c r="A6" s="35" t="inlineStr">
        <is>
          <t>مسدود</t>
        </is>
      </c>
    </row>
    <row r="7">
      <c r="A7" t="inlineStr">
        <is>
          <t>نیاز به تکرار</t>
        </is>
      </c>
    </row>
    <row r="8">
      <c r="A8" s="34" t="inlineStr">
        <is>
          <t>اولویت</t>
        </is>
      </c>
    </row>
    <row r="9">
      <c r="B9" s="35" t="inlineStr">
        <is>
          <t>بالا</t>
        </is>
      </c>
    </row>
    <row r="10">
      <c r="B10" s="35" t="inlineStr">
        <is>
          <t>متوسط</t>
        </is>
      </c>
    </row>
    <row r="11">
      <c r="B11" s="35" t="inlineStr">
        <is>
          <t>پایین</t>
        </is>
      </c>
    </row>
    <row r="12"/>
    <row r="13">
      <c r="A13" s="34" t="inlineStr">
        <is>
          <t>شدت</t>
        </is>
      </c>
    </row>
    <row r="14">
      <c r="A14" s="35" t="inlineStr">
        <is>
          <t>بحرانی</t>
        </is>
      </c>
    </row>
    <row r="15">
      <c r="A15" s="35" t="inlineStr">
        <is>
          <t>بالا</t>
        </is>
      </c>
    </row>
    <row r="16">
      <c r="A16" s="35" t="inlineStr">
        <is>
          <t>متوسط</t>
        </is>
      </c>
    </row>
    <row r="17">
      <c r="A17" s="35" t="inlineStr">
        <is>
          <t>پایین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36" t="inlineStr">
        <is>
          <t>ماشین حالت ماژول خطا (Fault)</t>
        </is>
      </c>
    </row>
    <row r="2"/>
    <row r="3" ht="24" customHeight="1">
      <c r="A3" s="37" t="inlineStr">
        <is>
          <t>حالت‌ها و گذارهای همین ماژول</t>
        </is>
      </c>
      <c r="B3" s="38" t="inlineStr">
        <is>
          <t>Fault_State_Machine.xlsx</t>
        </is>
      </c>
    </row>
    <row r="4" ht="24" customHeight="1">
      <c r="A4" s="37" t="inlineStr">
        <is>
          <t>ماشین حالت کل برنامه (نمای سیستمی)</t>
        </is>
      </c>
      <c r="B4" s="38" t="inlineStr">
        <is>
          <t>../../../Documentation/System_State_Machine.xlsx</t>
        </is>
      </c>
    </row>
    <row r="5" ht="24" customHeight="1">
      <c r="A5" s="37" t="inlineStr">
        <is>
          <t>راهنمای رنگ‌ها</t>
        </is>
      </c>
      <c r="B5" s="39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37" t="inlineStr">
        <is>
          <t>بازتولید</t>
        </is>
      </c>
      <c r="B6" s="38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6" r:id="rId3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Q5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15" t="inlineStr">
        <is>
          <t>برنامهٔ تست آزمایشگاهی — ماژول Fault</t>
        </is>
      </c>
    </row>
    <row r="2">
      <c r="A2" s="13" t="inlineStr">
        <is>
          <t>وضعیت فقط یکی از: در انتظار / قبول / رد / مسدود / نیاز به تکرار. تست Host جایگزین تست برد نیست.</t>
        </is>
      </c>
    </row>
    <row r="3">
      <c r="A3" s="13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 ht="30" customHeight="1">
      <c r="A4" s="14" t="inlineStr">
        <is>
          <t>شناسه</t>
        </is>
      </c>
      <c r="B4" s="14" t="inlineStr">
        <is>
          <t>دسته</t>
        </is>
      </c>
      <c r="C4" s="14" t="inlineStr">
        <is>
          <t>اولویت</t>
        </is>
      </c>
      <c r="D4" s="14" t="inlineStr">
        <is>
          <t>پیش‌شرط</t>
        </is>
      </c>
      <c r="E4" s="14" t="inlineStr">
        <is>
          <t>روش اجرای دقیق</t>
        </is>
      </c>
      <c r="F4" s="14" t="inlineStr">
        <is>
          <t>ورودی‌ها / شرایط</t>
        </is>
      </c>
      <c r="G4" s="14" t="inlineStr">
        <is>
          <t>مدت مشاهده</t>
        </is>
      </c>
      <c r="H4" s="14" t="inlineStr">
        <is>
          <t>رفتار مورد انتظار</t>
        </is>
      </c>
      <c r="I4" s="14" t="inlineStr">
        <is>
          <t>وضعیت حفظ / latch</t>
        </is>
      </c>
      <c r="J4" s="14" t="inlineStr">
        <is>
          <t>معیار قبولی</t>
        </is>
      </c>
      <c r="K4" s="14" t="inlineStr">
        <is>
          <t>نتیجهٔ واقعی / اندازه‌گیری</t>
        </is>
      </c>
      <c r="L4" s="14" t="inlineStr">
        <is>
          <t>وضعیت</t>
        </is>
      </c>
      <c r="M4" s="14" t="inlineStr">
        <is>
          <t>شرح ایراد / تفاوت</t>
        </is>
      </c>
      <c r="N4" s="14" t="inlineStr">
        <is>
          <t>مدرک تست / scope</t>
        </is>
      </c>
      <c r="O4" s="14" t="inlineStr">
        <is>
          <t>commit</t>
        </is>
      </c>
      <c r="P4" s="14" t="inlineStr">
        <is>
          <t>نام تست‌کننده</t>
        </is>
      </c>
      <c r="Q4" s="14" t="inlineStr">
        <is>
          <t>تاریخ</t>
        </is>
      </c>
    </row>
    <row r="5" ht="54" customHeight="1">
      <c r="A5" s="16" t="inlineStr">
        <is>
          <t>FL-006</t>
        </is>
      </c>
      <c r="B5" s="22" t="inlineStr">
        <is>
          <t>snapshot نامعتبر</t>
        </is>
      </c>
      <c r="C5" s="23" t="inlineStr">
        <is>
          <t>بالا</t>
        </is>
      </c>
      <c r="D5" s="22" t="inlineStr">
        <is>
          <t>ADC در warm-up یا نامعتبر</t>
        </is>
      </c>
      <c r="E5" s="22" t="inlineStr">
        <is>
          <t>گام ۱: ADC را در حالت warm-up نگه دار یا کاری کن snapshot نامعتبر باشد.
گام ۲: رفتار ست/پاک شدن بیت‌ها را در همین مدت نگاه کن.
گام ۳: تا وقتی snapshot معتبر نیست هیچ Set و Clear نباید اتفاق بیفتد و وضعیت قبلی ماسک باید حفظ شود.</t>
        </is>
      </c>
      <c r="F5" s="24" t="inlineStr">
        <is>
          <t>—</t>
        </is>
      </c>
      <c r="G5" s="24" t="inlineStr">
        <is>
          <t>—</t>
        </is>
      </c>
      <c r="H5" s="22" t="inlineStr">
        <is>
          <t>هیچ Set/Clear؛ وضعیت قبلی حفظ</t>
        </is>
      </c>
      <c r="I5" s="22" t="inlineStr">
        <is>
          <t>—</t>
        </is>
      </c>
      <c r="J5" s="22" t="inlineStr">
        <is>
          <t>بدون تغییر ماسک</t>
        </is>
      </c>
      <c r="K5" s="22" t="n"/>
      <c r="L5" s="20" t="inlineStr">
        <is>
          <t>در انتظار</t>
        </is>
      </c>
      <c r="M5" s="22" t="n"/>
      <c r="N5" s="22" t="n"/>
      <c r="O5" s="24" t="inlineStr">
        <is>
          <t>TESTER: fill</t>
        </is>
      </c>
      <c r="P5" s="24" t="n"/>
      <c r="Q5" s="25">
        <f>IF(OR(L5="",L5="در انتظار"),"",IF(Q5="",TODAY(),Q5))</f>
        <v/>
      </c>
    </row>
    <row r="6" ht="54" customHeight="1"/>
    <row r="7" ht="54" customHeight="1"/>
    <row r="8" ht="54" customHeight="1"/>
    <row r="9" ht="40.5" customHeight="1"/>
    <row r="10" ht="40.5" customHeight="1"/>
    <row r="11" ht="54" customHeight="1"/>
    <row r="12" ht="54" customHeight="1"/>
    <row r="13" ht="54" customHeight="1"/>
    <row r="14" ht="54" customHeight="1"/>
    <row r="15" ht="40.5" customHeight="1"/>
  </sheetData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2026-10-16T17:06:58Z</dcterms:modified>
</cp:coreProperties>
</file>