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راهنما" sheetId="1" state="visible" r:id="rId1"/>
    <sheet xmlns:r="http://schemas.openxmlformats.org/officeDocument/2006/relationships" name="برنامه تست" sheetId="2" state="visible" r:id="rId2"/>
    <sheet xmlns:r="http://schemas.openxmlformats.org/officeDocument/2006/relationships" name="تست‌های آزمایشگاهی" sheetId="3" state="visible" r:id="rId3"/>
    <sheet xmlns:r="http://schemas.openxmlformats.org/officeDocument/2006/relationships" name="تست‌های برنامه‌نویسی" sheetId="4" state="visible" r:id="rId4"/>
    <sheet xmlns:r="http://schemas.openxmlformats.org/officeDocument/2006/relationships" name="مراجع سناریو" sheetId="5" state="visible" r:id="rId5"/>
    <sheet xmlns:r="http://schemas.openxmlformats.org/officeDocument/2006/relationships" name="ثبت ایراد" sheetId="6" state="visible" r:id="rId6"/>
    <sheet xmlns:r="http://schemas.openxmlformats.org/officeDocument/2006/relationships" name="تأیید نهایی" sheetId="7" state="visible" r:id="rId7"/>
    <sheet xmlns:r="http://schemas.openxmlformats.org/officeDocument/2006/relationships" name="فهرست‌ها" sheetId="8" state="visible" r:id="rId8"/>
    <sheet xmlns:r="http://schemas.openxmlformats.org/officeDocument/2006/relationships" name="ماشین حالت" sheetId="9" state="visible" r:id="rId9"/>
  </sheets>
  <definedNames>
    <definedName name="_xlnm._FilterDatabase" localSheetId="1" hidden="1">'برنامه تست'!$A$4:$Q$61</definedName>
    <definedName name="_xlnm.Print_Titles" localSheetId="1">'برنامه تست'!$4:$4</definedName>
    <definedName name="_xlnm._FilterDatabase" localSheetId="2" hidden="1">'تست‌های آزمایشگاهی'!$A$4:$Q$8</definedName>
    <definedName name="_xlnm.Print_Titles" localSheetId="2">'تست‌های آزمایشگاهی'!$4:$4</definedName>
    <definedName name="_xlnm._FilterDatabase" localSheetId="3" hidden="1">'تست‌های برنامه‌نویسی'!$A$4:$Q$7</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2">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
      <name val="Vazirmatn"/>
      <color rgb="00808080"/>
      <sz val="11"/>
    </font>
    <font>
      <name val="Vazirmatn"/>
      <b val="1"/>
      <sz val="11"/>
    </font>
    <font>
      <name val="Vazirmatn"/>
      <i val="1"/>
      <color rgb="00404040"/>
      <sz val="10"/>
    </font>
  </fonts>
  <fills count="13">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C6EFCE"/>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103">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0" borderId="2" applyAlignment="1" pivotButton="0" quotePrefix="0" xfId="0">
      <alignment horizontal="center" vertical="center" wrapText="1"/>
    </xf>
    <xf numFmtId="0" fontId="13" fillId="7" borderId="2" applyAlignment="1" pivotButton="0" quotePrefix="0" xfId="0">
      <alignment horizontal="right" vertical="center" wrapText="1"/>
    </xf>
    <xf numFmtId="0" fontId="8" fillId="8" borderId="2" applyAlignment="1" pivotButton="0" quotePrefix="0" xfId="0">
      <alignment horizontal="center" vertical="center" wrapText="1"/>
    </xf>
    <xf numFmtId="0" fontId="8" fillId="9"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8" fillId="0" borderId="0"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7" borderId="2" applyAlignment="1" pivotButton="0" quotePrefix="0" xfId="0">
      <alignment horizontal="right" vertical="center" wrapText="1"/>
    </xf>
    <xf numFmtId="0" fontId="25" fillId="7" borderId="2" applyAlignment="1" pivotButton="0" quotePrefix="0" xfId="0">
      <alignment horizontal="center" vertical="center" wrapText="1"/>
    </xf>
    <xf numFmtId="0" fontId="7" fillId="7"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7" borderId="2" applyAlignment="1" pivotButton="0" quotePrefix="0" xfId="0">
      <alignment horizontal="center" vertical="center" wrapText="1"/>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164" fontId="7" fillId="0" borderId="2" applyAlignment="1" pivotButton="0" quotePrefix="0" xfId="0">
      <alignment horizontal="center" vertical="center" wrapText="1"/>
    </xf>
    <xf numFmtId="0" fontId="6" fillId="7" borderId="2" applyAlignment="1" pivotButton="0" quotePrefix="0" xfId="0">
      <alignment horizontal="right" vertical="center" wrapText="1"/>
    </xf>
    <xf numFmtId="0" fontId="6" fillId="0" borderId="2" applyAlignment="1" pivotButton="0" quotePrefix="0" xfId="0">
      <alignment horizontal="right" vertical="center" wrapText="1"/>
    </xf>
    <xf numFmtId="0" fontId="5" fillId="8"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6" fillId="0" borderId="2" applyAlignment="1" pivotButton="0" quotePrefix="0" xfId="0">
      <alignment horizontal="center" vertical="center" wrapText="1"/>
    </xf>
    <xf numFmtId="0" fontId="5" fillId="9" borderId="2" applyAlignment="1" pivotButton="0" quotePrefix="0" xfId="0">
      <alignment horizontal="center"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10" borderId="2" applyAlignment="1" pivotButton="0" quotePrefix="0" xfId="0">
      <alignment horizontal="center" vertical="center" wrapText="1"/>
    </xf>
    <xf numFmtId="0" fontId="7" fillId="11" borderId="2" applyAlignment="1" pivotButton="0" quotePrefix="0" xfId="0">
      <alignment horizontal="right" vertical="center" wrapText="1"/>
    </xf>
    <xf numFmtId="0" fontId="25" fillId="11" borderId="2" applyAlignment="1" pivotButton="0" quotePrefix="0" xfId="0">
      <alignment horizontal="center" vertical="center" wrapText="1"/>
    </xf>
    <xf numFmtId="0" fontId="7" fillId="11" borderId="2" applyAlignment="1" pivotButton="0" quotePrefix="0" xfId="0">
      <alignment horizontal="center" vertical="center" wrapText="1"/>
    </xf>
    <xf numFmtId="164" fontId="7" fillId="11" borderId="2" applyAlignment="1" pivotButton="0" quotePrefix="0" xfId="0">
      <alignment horizontal="center" vertical="center" wrapText="1"/>
    </xf>
    <xf numFmtId="0" fontId="6" fillId="11" borderId="2" applyAlignment="1" pivotButton="0" quotePrefix="0" xfId="0">
      <alignment horizontal="right" vertical="center" wrapText="1"/>
    </xf>
    <xf numFmtId="0" fontId="4" fillId="4" borderId="0" pivotButton="0" quotePrefix="0" xfId="0"/>
    <xf numFmtId="0" fontId="6" fillId="11" borderId="2" applyAlignment="1" pivotButton="0" quotePrefix="0" xfId="0">
      <alignment horizontal="center" vertical="center" wrapText="1"/>
    </xf>
    <xf numFmtId="0" fontId="4" fillId="4" borderId="2" applyAlignment="1" pivotButton="0" quotePrefix="0" xfId="0">
      <alignment horizontal="center" vertical="center" wrapText="1"/>
    </xf>
    <xf numFmtId="0" fontId="5" fillId="6" borderId="0" pivotButton="0" quotePrefix="0" xfId="0"/>
    <xf numFmtId="0" fontId="21" fillId="10" borderId="2" applyAlignment="1" pivotButton="0" quotePrefix="0" xfId="0">
      <alignment horizontal="right" vertical="center" wrapText="1"/>
    </xf>
    <xf numFmtId="0" fontId="28" fillId="0" borderId="2" applyAlignment="1" pivotButton="0" quotePrefix="0" xfId="0">
      <alignment horizontal="right" vertical="center" wrapText="1"/>
    </xf>
    <xf numFmtId="0" fontId="21" fillId="4" borderId="0" applyAlignment="1" pivotButton="0" quotePrefix="0" xfId="0">
      <alignment horizontal="center" vertical="center" wrapText="1"/>
    </xf>
    <xf numFmtId="0" fontId="30" fillId="7" borderId="2" applyAlignment="1" pivotButton="0" quotePrefix="0" xfId="0">
      <alignment horizontal="right" vertical="center" wrapText="1"/>
    </xf>
    <xf numFmtId="0" fontId="30" fillId="12" borderId="2" applyAlignment="1" pivotButton="0" quotePrefix="0" xfId="0">
      <alignment horizontal="center" vertical="center"/>
    </xf>
    <xf numFmtId="0" fontId="29" fillId="0" borderId="2" applyAlignment="1" pivotButton="0" quotePrefix="0" xfId="0">
      <alignment horizontal="right" vertical="center" wrapText="1"/>
    </xf>
    <xf numFmtId="0" fontId="31"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rger.h" TargetMode="External" Id="rId1"/></Relationships>
</file>

<file path=xl/worksheets/_rels/sheet5.xml.rels><Relationships xmlns="http://schemas.openxmlformats.org/package/2006/relationships"><Relationship Type="http://schemas.openxmlformats.org/officeDocument/2006/relationships/hyperlink" Target="charger.h" TargetMode="External" Id="rId1"/></Relationships>
</file>

<file path=xl/worksheets/_rels/sheet9.xml.rels><Relationships xmlns="http://schemas.openxmlformats.org/package/2006/relationships"><Relationship Type="http://schemas.openxmlformats.org/officeDocument/2006/relationships/hyperlink" Target="Charger_State_Machine.xlsx" TargetMode="External" Id="rId1"/><Relationship Type="http://schemas.openxmlformats.org/officeDocument/2006/relationships/hyperlink" Target="../../../Documentation/System_State_Machine.xlsx" TargetMode="External" Id="rId2"/></Relationships>
</file>

<file path=xl/worksheets/sheet1.xml><?xml version="1.0" encoding="utf-8"?>
<worksheet xmlns="http://schemas.openxmlformats.org/spreadsheetml/2006/main">
  <sheetPr>
    <tabColor rgb="007F7F7F"/>
    <outlinePr summaryBelow="1" summaryRight="1"/>
    <pageSetUpPr/>
  </sheetPr>
  <dimension ref="A1:B14"/>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85" t="inlineStr">
        <is>
          <t>برگه تست و اعتبارسنجی عملی ماژول Charger</t>
        </is>
      </c>
    </row>
    <row r="2">
      <c r="A2" s="50" t="inlineStr">
        <is>
          <t>Charger | دو شارژر جدا داریم. هر کدام برای یک باتری ۱۲ ولت است.
کانال ۱ برای باتری بالا (VHIGH) و کانال ۲ برای باتری پایین (VLOW) است.
تنظیم‌ها از پنل (ESP) زنده عوض می‌شوند. یک مود تست دستی هم داریم (نسخه 1.2).</t>
        </is>
      </c>
    </row>
    <row r="3" ht="30" customHeight="1">
      <c r="A3" s="86" t="inlineStr">
        <is>
          <t>هدف فایل</t>
        </is>
      </c>
    </row>
    <row r="4">
      <c r="A4" s="50" t="inlineStr"/>
    </row>
    <row r="5">
      <c r="A5" s="50" t="inlineStr">
        <is>
          <t>تست‌ها دور رفتار هر کانال نوشته شده‌اند؛ چیزی که می‌شود دید:
وضعیت کانال را در پنل (تله‌متری ESP) می‌بینی.
پهنای پالس (duty) را با اسکوپ روی PA0 و PA6 می‌بینی.
رله از نوع NC است (در حالت عادی وصل است) و پنل ESP هم هست.</t>
        </is>
      </c>
    </row>
    <row r="6">
      <c r="A6" s="52" t="inlineStr">
        <is>
          <t>عددهای مرجع در فایل charger.h:
جریان تنظیم: حدود 630 تا 650 میلی‌آمپر.
خطای سخت: 950 میلی‌آمپر.
ولتاژ جذب (ابزورب): 14.3 و 14.4 و 14.6 ولت.
ولتاژ شناور (فلوت): 13.5 ولت.
برگشت به شارژ: 12.8 ولت.
سقف پهنای پالس (duty): 500 در هزار.
ددتایم مود دستی: 3000 میلی‌ثانیه.</t>
        </is>
      </c>
    </row>
    <row r="7">
      <c r="A7" s="50" t="inlineStr">
        <is>
          <t>مود دستی را فقط با بار مقاومتی یا بار الکترونیکیِ دارای محدودکنندهٔ ولتاژ تست کن.
مقاومت آزاد شبیه باتری نیست؛ با آن تست نکن.
جریان منبع ورودی هم باید محدود شده باشد.</t>
        </is>
      </c>
    </row>
    <row r="8">
      <c r="A8" s="50" t="inlineStr"/>
    </row>
    <row r="9">
      <c r="A9" s="50" t="inlineStr">
        <is>
          <t>هشدار: مود دستی بدون باتری فقط با بار الکترونیکیِ دارای محدودکنندهٔ ولتاژ مجاز است. با مقاومت آزاد هرگز تست نکن.</t>
        </is>
      </c>
    </row>
    <row r="10">
      <c r="A10" s="50" t="inlineStr">
        <is>
          <t>هشدار: در تست‌های اول، جریان منبع ورودی را محدود کن.
محدودکردن جریان ورودی جای حفاظت خروجیِ برنامه را نمی‌گیرد.</t>
        </is>
      </c>
    </row>
    <row r="12">
      <c r="A12" s="82"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4">
      <c r="A14" s="96" t="inlineStr">
        <is>
          <t>پیش‌بینی زندهٔ برنامه</t>
        </is>
      </c>
      <c r="B14" s="97"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10">
    <mergeCell ref="A8"/>
    <mergeCell ref="A6"/>
    <mergeCell ref="A9"/>
    <mergeCell ref="A4"/>
    <mergeCell ref="A3"/>
    <mergeCell ref="A7"/>
    <mergeCell ref="A2"/>
    <mergeCell ref="A10"/>
    <mergeCell ref="A5"/>
    <mergeCell ref="A1"/>
  </mergeCells>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5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85" t="inlineStr">
        <is>
          <t>برنامهٔ تست عملی — ماژول Charger</t>
        </is>
      </c>
      <c r="T1" s="98" t="inlineStr">
        <is>
          <t>ورودی‌های پیش‌بینی — خانه‌های زرد را عوض کن و ستون «پیش‌بینی زنده» را ببین</t>
        </is>
      </c>
    </row>
    <row r="2">
      <c r="A2" s="50" t="inlineStr">
        <is>
          <t>وضعیت فقط یکی از: در انتظار / قبول / رد / مسدود / نیاز به تکرار. تست Host جایگزین تست برد نیست.</t>
        </is>
      </c>
      <c r="T2" s="99" t="inlineStr">
        <is>
          <t>ولتاژ باتری کانال (میلی‌ولت)</t>
        </is>
      </c>
      <c r="U2" s="100" t="n">
        <v>12900</v>
      </c>
    </row>
    <row r="3">
      <c r="A3" s="50" t="inlineStr">
        <is>
          <t>برای هر ردیف پیش‌شرط، ورودی، انتظار و معیار قبولی صریح است؛ نتیجهٔ واقعی فقط با اندازه‌گیری روی برد پر می‌شود.</t>
        </is>
      </c>
      <c r="T3" s="99" t="inlineStr">
        <is>
          <t>ورودی حاضر است؟ (1/0)</t>
        </is>
      </c>
      <c r="U3" s="100" t="n">
        <v>1</v>
      </c>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 شرایط</t>
        </is>
      </c>
      <c r="G4" s="86" t="inlineStr">
        <is>
          <t>مدت مشاهده</t>
        </is>
      </c>
      <c r="H4" s="86" t="inlineStr">
        <is>
          <t>رفتار مورد انتظار</t>
        </is>
      </c>
      <c r="I4" s="86" t="inlineStr">
        <is>
          <t>می‌ماند یا پاک می‌شود</t>
        </is>
      </c>
      <c r="J4" s="86" t="inlineStr">
        <is>
          <t>چه چیزی باید ببینید تا بگویید درست است</t>
        </is>
      </c>
      <c r="K4" s="86" t="inlineStr">
        <is>
          <t>نتیجهٔ واقعی / اندازه‌گیری</t>
        </is>
      </c>
      <c r="L4" s="86" t="inlineStr">
        <is>
          <t>وضعیت</t>
        </is>
      </c>
      <c r="M4" s="86" t="inlineStr">
        <is>
          <t>شرح ایراد / تفاوت</t>
        </is>
      </c>
      <c r="N4" s="86" t="inlineStr">
        <is>
          <t>مدرک تست</t>
        </is>
      </c>
      <c r="O4" s="86" t="inlineStr">
        <is>
          <t>نسخهٔ برنامه</t>
        </is>
      </c>
      <c r="P4" s="86" t="inlineStr">
        <is>
          <t>نام تست‌کننده</t>
        </is>
      </c>
      <c r="Q4" s="86" t="inlineStr">
        <is>
          <t>تاریخ</t>
        </is>
      </c>
      <c r="R4" s="86" t="inlineStr">
        <is>
          <t>پیش‌بینی زندهٔ برنامه (فرمول)</t>
        </is>
      </c>
      <c r="T4" s="99" t="inlineStr">
        <is>
          <t>ولتاژ ورودی (ولت)</t>
        </is>
      </c>
      <c r="U4" s="100" t="n">
        <v>24</v>
      </c>
    </row>
    <row r="5" ht="54" customHeight="1">
      <c r="A5" s="55" t="inlineStr">
        <is>
          <t>CH-042</t>
        </is>
      </c>
      <c r="B5" s="56" t="inlineStr">
        <is>
          <t>شروع شارژ با وصل ورودی</t>
        </is>
      </c>
      <c r="C5" s="57" t="inlineStr">
        <is>
          <t>بالا</t>
        </is>
      </c>
      <c r="D5" s="56" t="inlineStr">
        <is>
          <t>باتری نیمه‌خالی وصل و جاافتاده؛ ورودی قطع</t>
        </is>
      </c>
      <c r="E5" s="56" t="inlineStr">
        <is>
          <t>گام ۱: با ورودیِ قطع مطمئن شو شارژی در کار نیست (جریان صفر).
گام ۲: ورودی ۲۴ ولت را وصل کن.
گام ۳: تا یک دقیقه نگاه کن؛ شارژ باید خودش شروع شود.
گام ۴: ورودی را قطع کن؛ شارژ باید بایستد.</t>
        </is>
      </c>
      <c r="F5" s="58" t="inlineStr">
        <is>
          <t>ورودی ۲۴ ولت وصل و قطع</t>
        </is>
      </c>
      <c r="G5" s="58" t="inlineStr">
        <is>
          <t>یک دقیقه</t>
        </is>
      </c>
      <c r="H5" s="56" t="inlineStr">
        <is>
          <t>با وصل ورودی شارژ خودکار شروع و با قطع آن متوقف می‌شود</t>
        </is>
      </c>
      <c r="I5" s="56" t="inlineStr">
        <is>
          <t>—</t>
        </is>
      </c>
      <c r="J5" s="56" t="inlineStr">
        <is>
          <t>باید ببینید:
با وصل ورودی، جریان شارژ در پنل (یا با مولتی‌متر) بالا می‌رود و چراغ زرد چشمک می‌زند.
با قطع ورودی، جریان صفر می‌شود.
اگر شارژ شروع نشد یا با قطع ورودی ادامه داشت، قبول نیست.</t>
        </is>
      </c>
      <c r="K5" s="56" t="n"/>
      <c r="L5" s="59" t="inlineStr">
        <is>
          <t>در انتظار</t>
        </is>
      </c>
      <c r="M5" s="56" t="n"/>
      <c r="N5" s="56" t="n"/>
      <c r="O5" s="58" t="n"/>
      <c r="P5" s="58" t="n"/>
      <c r="Q5" s="60">
        <f>IF(OR(L5="",L5="در انتظار"),"",IF(Q5="",TODAY(),Q5))</f>
        <v/>
      </c>
      <c r="R5" s="97">
        <f>IF($U$3=1,"با وصل ورودی شارژ شروع می‌شود: جریان بالا می‌رود و زرد چشمک می‌زند","با قطع ورودی شارژ صفر می‌شود")</f>
        <v/>
      </c>
      <c r="T5" s="99" t="inlineStr">
        <is>
          <t>مود دستی؟ (1/0)</t>
        </is>
      </c>
      <c r="U5" s="100" t="n">
        <v>0</v>
      </c>
    </row>
    <row r="6" ht="54" customHeight="1">
      <c r="A6" s="55" t="inlineStr">
        <is>
          <t>CH-004</t>
        </is>
      </c>
      <c r="B6" s="87" t="inlineStr">
        <is>
          <t>تنظیم BULK</t>
        </is>
      </c>
      <c r="C6" s="88" t="inlineStr">
        <is>
          <t>بالا</t>
        </is>
      </c>
      <c r="D6" s="87" t="inlineStr">
        <is>
          <t>یک باتری نیمه‌خالی واقعی وصل است و برق شهر برقرار؛ آمپرمتر دستی یا پنل برای دیدن جریان آماده است</t>
        </is>
      </c>
      <c r="E6" s="87" t="inlineStr">
        <is>
          <t>گام ۱: شارژ را شروع کن و بگذار یک دقیقه جا بیفتد.
گام ۲: جریان شارژ را از پنل یا آمپرمتر دستی بخوان.
گام ۳: یک دقیقه دیگر نگاه کن که جریان ثابت مانده یا نه.</t>
        </is>
      </c>
      <c r="F6" s="89" t="inlineStr">
        <is>
          <t>باتری نیمه‌خالی در حال شارژ</t>
        </is>
      </c>
      <c r="G6" s="89" t="inlineStr">
        <is>
          <t>دو دقیقه</t>
        </is>
      </c>
      <c r="H6" s="87" t="inlineStr">
        <is>
          <t>جریان شارژ نزدیک سقف تنظیم‌شده (حدود ۰٫۶۴ آمپر) می‌ایستد و پایدار می‌ماند؛ بالا و پایین نمی‌پرد</t>
        </is>
      </c>
      <c r="I6" s="87" t="inlineStr">
        <is>
          <t>پایدار تا وقتی باتری پرتر شود</t>
        </is>
      </c>
      <c r="J6" s="87" t="inlineStr">
        <is>
          <t>باید ببینید: جریان شارژ (در پنل یا با مولتی‌متر) نزدیک سقف تنظیم‌شده می‌ایستد و پایدار می‌ماند و بالا و پایین نمی‌پرد. اگر نوسان شدید داشت یا خیلی کمتر یا بیشتر بود، قبول نیست.</t>
        </is>
      </c>
      <c r="K6" s="56" t="n"/>
      <c r="L6" s="59" t="inlineStr">
        <is>
          <t>در انتظار</t>
        </is>
      </c>
      <c r="M6" s="56" t="n"/>
      <c r="N6" s="56" t="n"/>
      <c r="O6" s="89" t="inlineStr">
        <is>
          <t>(بعد از تست پر شود)</t>
        </is>
      </c>
      <c r="P6" s="58" t="n"/>
      <c r="Q6" s="90">
        <f>IF(OR(L6="",L6="در انتظار"),"",IF(Q6="",TODAY(),Q6))</f>
        <v/>
      </c>
      <c r="R6" s="97">
        <f>IF($U$3=0,"ورودی نیست: شارژ متوقف و جریان صفر",IF($U$2&gt;=14600,"بالای جذب: جریان کم و کنترل سقفی (۱۴٫۶ ولت)",IF($U$2&gt;=14300,"جذب (ABSORB): نگه‌داشتن روی ۱۴٫۴ ولت با جریان کاهشی",IF($U$2&gt;13500,"شارژ (بالک): جریان کامل تا رسیدن به ۱۴٫۳ ولت",IF($U$2&gt;=12800,"اگر کامل شده باشد شناور ۱۳٫۵ ولت؛ وگرنه شارژ ادامه دارد","شارژ (بالک) با جریان کامل")))))</f>
        <v/>
      </c>
      <c r="T6" s="99" t="inlineStr">
        <is>
          <t>جریان کانال (میلی‌آمپر)</t>
        </is>
      </c>
      <c r="U6" s="100" t="n">
        <v>500</v>
      </c>
    </row>
    <row r="7" ht="54" customHeight="1">
      <c r="A7" s="55" t="inlineStr">
        <is>
          <t>CH-005</t>
        </is>
      </c>
      <c r="B7" s="56" t="inlineStr">
        <is>
          <t>ABSORB</t>
        </is>
      </c>
      <c r="C7" s="57" t="inlineStr">
        <is>
          <t>بالا</t>
        </is>
      </c>
      <c r="D7" s="56" t="inlineStr">
        <is>
          <t>باتری تقریباً پر است و شارژ ادامه دارد</t>
        </is>
      </c>
      <c r="E7" s="56" t="inlineStr">
        <is>
          <t>گام ۱: باتری نزدیک‌به‌پر را به شارژ نگه دار.
گام ۲: ولتاژ باتری را با مولتی‌متر و جریان شارژ را با پنل زیر نظر بگیر.</t>
        </is>
      </c>
      <c r="F7" s="58" t="inlineStr">
        <is>
          <t>باتری تقریباً پر در شارژ</t>
        </is>
      </c>
      <c r="G7" s="58" t="inlineStr">
        <is>
          <t>ده دقیقه</t>
        </is>
      </c>
      <c r="H7" s="56" t="inlineStr">
        <is>
          <t>ولتاژ باتری تقریباً ثابت می‌ماند و جریان شارژ آرام‌آرام کم می‌شود (شارژ ملایم پایانی)</t>
        </is>
      </c>
      <c r="I7" s="56" t="inlineStr">
        <is>
          <t>تا رسیدن به حالت نگهداری</t>
        </is>
      </c>
      <c r="J7" s="56" t="inlineStr">
        <is>
          <t>باید ببینید: ولتاژ باتری تقریباً ثابت می‌ماند و جریان شارژ آرام‌آرام کم می‌شود. اگر ولتاژ از حد شارژ بالا رفت، قبول نیست.</t>
        </is>
      </c>
      <c r="K7" s="61" t="n"/>
      <c r="L7" s="59" t="inlineStr">
        <is>
          <t>در انتظار</t>
        </is>
      </c>
      <c r="M7" s="61" t="n"/>
      <c r="N7" s="61" t="n"/>
      <c r="O7" s="58" t="inlineStr">
        <is>
          <t>(بعد از تست پر شود)</t>
        </is>
      </c>
      <c r="P7" s="63" t="n"/>
      <c r="Q7" s="60">
        <f>IF(OR(L7="",L7="در انتظار"),"",IF(Q7="",TODAY(),Q7))</f>
        <v/>
      </c>
      <c r="R7" s="97">
        <f>IF($U$3=0,"ورودی نیست: شارژ متوقف و جریان صفر",IF($U$2&gt;=14600,"بالای جذب: جریان کم و کنترل سقفی (۱۴٫۶ ولت)",IF($U$2&gt;=14300,"جذب (ABSORB): نگه‌داشتن روی ۱۴٫۴ ولت با جریان کاهشی",IF($U$2&gt;13500,"شارژ (بالک): جریان کامل تا رسیدن به ۱۴٫۳ ولت",IF($U$2&gt;=12800,"اگر کامل شده باشد شناور ۱۳٫۵ ولت؛ وگرنه شارژ ادامه دارد","شارژ (بالک) با جریان کامل")))))</f>
        <v/>
      </c>
      <c r="T7" s="99" t="inlineStr">
        <is>
          <t>دیوتی کانال (درصد)</t>
        </is>
      </c>
      <c r="U7" s="100" t="n">
        <v>30</v>
      </c>
    </row>
    <row r="8" ht="54" customHeight="1">
      <c r="A8" s="55" t="inlineStr">
        <is>
          <t>CH-012</t>
        </is>
      </c>
      <c r="B8" s="87" t="inlineStr">
        <is>
          <t>اعتبار sense باتری</t>
        </is>
      </c>
      <c r="C8" s="88" t="inlineStr">
        <is>
          <t>متوسط</t>
        </is>
      </c>
      <c r="D8" s="87" t="inlineStr">
        <is>
          <t>دستگاه در حال شارژ یک باتری واقعی است</t>
        </is>
      </c>
      <c r="E8" s="87" t="inlineStr">
        <is>
          <t>گام ۱: حین شارژ، سیم حس‌کردن ولتاژ باتری را جدا کن.
گام ۲: به شارژر نگاه کن؛ نباید کورکورانه به شارژ ادامه دهد.
گام ۳: سیم را وصل کن و برگشت شارژ را ببین.</t>
        </is>
      </c>
      <c r="F8" s="89" t="inlineStr">
        <is>
          <t>قطع و وصل سیم حس ولتاژ باتری</t>
        </is>
      </c>
      <c r="G8" s="89" t="inlineStr">
        <is>
          <t>دو دقیقه</t>
        </is>
      </c>
      <c r="H8" s="87" t="inlineStr">
        <is>
          <t>با قطع سیم حس، شارژ متوقف می‌ماند؛ با وصل آن، شارژ عادی برمی‌گردد</t>
        </is>
      </c>
      <c r="I8" s="87" t="inlineStr">
        <is>
          <t>توقف تا برگشت حس</t>
        </is>
      </c>
      <c r="J8" s="87" t="inlineStr">
        <is>
          <t>باید ببینید: با قطع سیم حس، شارژ متوقف می‌ماند و با وصل آن شارژ عادی برمی‌گردد. اگر بی‌حس هم شارژ ادامه داشت، قبول نیست.</t>
        </is>
      </c>
      <c r="K8" s="56" t="n"/>
      <c r="L8" s="59" t="inlineStr">
        <is>
          <t>در انتظار</t>
        </is>
      </c>
      <c r="M8" s="56" t="n"/>
      <c r="N8" s="56" t="n"/>
      <c r="O8" s="89" t="inlineStr">
        <is>
          <t>(بعد از تست پر شود)</t>
        </is>
      </c>
      <c r="P8" s="58" t="n"/>
      <c r="Q8" s="90">
        <f>IF(OR(L8="",L8="در انتظار"),"",IF(Q8="",TODAY(),Q8))</f>
        <v/>
      </c>
      <c r="R8" s="101" t="inlineStr">
        <is>
          <t>—</t>
        </is>
      </c>
      <c r="T8" s="102" t="inlineStr">
        <is>
          <t>پیش‌بینی برای حالت پایدار است؛ چشمک و زمان‌بندی را با چشم و کرنومتر چک کن و با برد مقایسه کن.</t>
        </is>
      </c>
    </row>
    <row r="9" ht="54" customHeight="1">
      <c r="A9" s="55" t="inlineStr">
        <is>
          <t>CH-013</t>
        </is>
      </c>
      <c r="B9" s="56" t="inlineStr">
        <is>
          <t>مود دستی: ورود</t>
        </is>
      </c>
      <c r="C9" s="57" t="inlineStr">
        <is>
          <t>متوسط</t>
        </is>
      </c>
      <c r="D9" s="56" t="inlineStr">
        <is>
          <t>پنل وصل است و دستگاه روشن</t>
        </is>
      </c>
      <c r="E9" s="56" t="inlineStr">
        <is>
          <t>گام ۱: از پنل مود تست دستی شارژر را روشن کن.
گام ۲: نگاه کن شارژ خودکار کنار می‌رود و شارژر فقط به فرمان دستی گوش می‌دهد.
گام ۳: یک فرمان دستی کوچک بده و اجراش را ببین.</t>
        </is>
      </c>
      <c r="F9" s="58" t="inlineStr">
        <is>
          <t>روشن‌کردن مود دستی از پنل</t>
        </is>
      </c>
      <c r="G9" s="58" t="inlineStr">
        <is>
          <t>دو دقیقه</t>
        </is>
      </c>
      <c r="H9" s="56" t="inlineStr">
        <is>
          <t>شارژر وارد مود دستی می‌شود و فقط فرمان دستی را اجرا می‌کند</t>
        </is>
      </c>
      <c r="I9" s="56" t="inlineStr">
        <is>
          <t>تا خروج از مود</t>
        </is>
      </c>
      <c r="J9" s="56" t="inlineStr">
        <is>
          <t>باید ببینید: شارژر وارد مود دستی می‌شود و فقط فرمان دستی پنل را اجرا می‌کند. اگر شارژ خودکار ادامه داشت، قبول نیست.</t>
        </is>
      </c>
      <c r="K9" s="61" t="n"/>
      <c r="L9" s="59" t="inlineStr">
        <is>
          <t>در انتظار</t>
        </is>
      </c>
      <c r="M9" s="61" t="n"/>
      <c r="N9" s="61" t="n"/>
      <c r="O9" s="58" t="inlineStr">
        <is>
          <t>(بعد از تست پر شود)</t>
        </is>
      </c>
      <c r="P9" s="63" t="n"/>
      <c r="Q9" s="60">
        <f>IF(OR(L9="",L9="در انتظار"),"",IF(Q9="",TODAY(),Q9))</f>
        <v/>
      </c>
      <c r="R9" s="97">
        <f>IF($U$5=1,"مود دستی فعال: کانال فقط با دستور پنل کار می‌کند و تشخیص خطا فریز است","مود عادی شارژ است")</f>
        <v/>
      </c>
    </row>
    <row r="10" ht="54" customHeight="1">
      <c r="A10" s="55" t="inlineStr">
        <is>
          <t>CH-018</t>
        </is>
      </c>
      <c r="B10" s="87" t="inlineStr">
        <is>
          <t>خروج از مود دستی</t>
        </is>
      </c>
      <c r="C10" s="88" t="inlineStr">
        <is>
          <t>متوسط</t>
        </is>
      </c>
      <c r="D10" s="87" t="inlineStr">
        <is>
          <t>شارژر در مود تست دستی است</t>
        </is>
      </c>
      <c r="E10" s="87" t="inlineStr">
        <is>
          <t>گام ۱: از پنل از مود دستی خارج شو.
گام ۲: یک باتری نیمه‌خالی را زیر نظر بگیر.</t>
        </is>
      </c>
      <c r="F10" s="89" t="inlineStr">
        <is>
          <t>خروج از مود دستی</t>
        </is>
      </c>
      <c r="G10" s="89" t="inlineStr">
        <is>
          <t>پنج دقیقه</t>
        </is>
      </c>
      <c r="H10" s="87" t="inlineStr">
        <is>
          <t>شارژ خودکار عادی از سر گرفته می‌شود و باتری مثل همیشه شارژ می‌شود</t>
        </is>
      </c>
      <c r="I10" s="87" t="inlineStr">
        <is>
          <t>برگشت به خودکار</t>
        </is>
      </c>
      <c r="J10" s="87" t="inlineStr">
        <is>
          <t>باید ببینید: شارژ خودکار عادی از سر گرفته می‌شود و باتری مثل همیشه شارژ می‌شود. اگر در مود دستی ماند، قبول نیست.</t>
        </is>
      </c>
      <c r="K10" s="56" t="n"/>
      <c r="L10" s="59" t="inlineStr">
        <is>
          <t>در انتظار</t>
        </is>
      </c>
      <c r="M10" s="56" t="n"/>
      <c r="N10" s="56" t="n"/>
      <c r="O10" s="89" t="inlineStr">
        <is>
          <t>(بعد از تست پر شود)</t>
        </is>
      </c>
      <c r="P10" s="58" t="n"/>
      <c r="Q10" s="90">
        <f>IF(OR(L10="",L10="در انتظار"),"",IF(Q10="",TODAY(),Q10))</f>
        <v/>
      </c>
      <c r="R10" s="101" t="inlineStr">
        <is>
          <t>—</t>
        </is>
      </c>
    </row>
    <row r="11" ht="54" customHeight="1">
      <c r="A11" s="55" t="inlineStr">
        <is>
          <t>CH-037</t>
        </is>
      </c>
      <c r="B11" s="56" t="inlineStr">
        <is>
          <t>ورودی خارج بازه 22-30V</t>
        </is>
      </c>
      <c r="C11" s="57" t="inlineStr">
        <is>
          <t>متوسط</t>
        </is>
      </c>
      <c r="D11" s="56" t="inlineStr">
        <is>
          <t>ورودی از منبع آزمایشگاهی می‌آید تا ولتاژش را عوض کنی؛ باتری وصل است</t>
        </is>
      </c>
      <c r="E11" s="56" t="inlineStr">
        <is>
          <t>گام ۱: ولتاژ ورودی را زیر ۲۲ ولت بیاور؛ شارژ نباید شروع شود.
گام ۲: به ۲۴ ولت برگردان؛ شارژ باید شروع شود.
گام ۳: ولتاژ را بالای ۳۰ ببر؛ شارژ باید بایستد.
گام ۴: به ۲۴ برگردان؛ شارژ باید خودش برگردد.</t>
        </is>
      </c>
      <c r="F11" s="58" t="inlineStr">
        <is>
          <t>ورودی: پایین، ۲۴، بالا، ۲۴ ولت</t>
        </is>
      </c>
      <c r="G11" s="58" t="inlineStr">
        <is>
          <t>پنج دقیقه</t>
        </is>
      </c>
      <c r="H11" s="56" t="inlineStr">
        <is>
          <t>خارج از بازهٔ سالم شارژ نداریم و با برگشت ورودی به ۲۴ ولت شارژ خودش برمی‌گردد</t>
        </is>
      </c>
      <c r="I11" s="56" t="inlineStr">
        <is>
          <t>بدون قفل</t>
        </is>
      </c>
      <c r="J11" s="56" t="inlineStr">
        <is>
          <t>باید ببینید: خارج از بازهٔ سالم ورودی شارژی نیست و با برگشت ورودی به ۲۴ ولت شارژ خودش برمی‌گردد. اگر خارج از بازه شارژ کرد یا برنگشت، قبول نیست.</t>
        </is>
      </c>
      <c r="K11" s="56" t="n"/>
      <c r="L11" s="67" t="inlineStr">
        <is>
          <t>نیاز به تکرار</t>
        </is>
      </c>
      <c r="M11" s="56" t="n"/>
      <c r="N11" s="56" t="n"/>
      <c r="O11" s="58" t="inlineStr">
        <is>
          <t>thermal</t>
        </is>
      </c>
      <c r="P11" s="58" t="n"/>
      <c r="Q11" s="60">
        <f>IF(OR(L11="",L11="در انتظار"),"",IF(Q11="",TODAY(),Q11))</f>
        <v/>
      </c>
      <c r="R11" s="97">
        <f>IF(OR($U$4&lt;22,$U$4&gt;30),"بیرون از بازهٔ ۲۲ تا ۳۰ ولت: کانال شارژ نمی‌کند","داخل بازهٔ ۲۲ تا ۳۰ ولت: شارژ مجاز است")</f>
        <v/>
      </c>
    </row>
    <row r="12" ht="54" customHeight="1">
      <c r="A12" s="55" t="inlineStr">
        <is>
          <t>CH-040</t>
        </is>
      </c>
      <c r="B12" s="87" t="inlineStr">
        <is>
          <t>سناریوی ۶: باتری خراب دیگر شارژ نمی‌شود</t>
        </is>
      </c>
      <c r="C12" s="88" t="inlineStr">
        <is>
          <t>متوسط</t>
        </is>
      </c>
      <c r="D12" s="87" t="inlineStr">
        <is>
          <t>از پنل زمان سناریوی باتری خراب (شناسهٔ ۱۲۵) را موقتاً روی چند دقیقه بگذار؛ یک باتری خالی وصل است</t>
        </is>
      </c>
      <c r="E12" s="87" t="inlineStr">
        <is>
          <t>گام ۱: باتری خالی را به شارژ بزن و نگذار در این مدت به شارژ کامل برسد.
گام ۲: بعد از گذشت زمان تنظیم‌شده، ببین شارژ همان کانال متوقف شده و قرمز ثابت آمده.
گام ۳: برق را قطع و وصل کن؛ شارژ آن باتری نباید دوباره شروع شود.
گام ۴: باتری را با سالم عوض کن؛ شارژ باید عادی شروع شود.
گام ۵: شناسهٔ ۱۲۵ را به مقدار واقعی (یک شبانه‌روز) برگردان.</t>
        </is>
      </c>
      <c r="F12" s="89" t="inlineStr">
        <is>
          <t>شارژ باتری خالی با زمان کوتاه‌شده</t>
        </is>
      </c>
      <c r="G12" s="89" t="inlineStr">
        <is>
          <t>چند دقیقه + زمان تنظیم‌شده</t>
        </is>
      </c>
      <c r="H12" s="87" t="inlineStr">
        <is>
          <t>بعد از زمان، آن باتری دیگر شارژ نمی‌شود تا وقتی واقعاً عوض شود</t>
        </is>
      </c>
      <c r="I12" s="87" t="inlineStr">
        <is>
          <t>قفل تا تعویض باتری</t>
        </is>
      </c>
      <c r="J12" s="87" t="inlineStr">
        <is>
          <t>باید ببینید: بعد از زمان تنظیم‌شده، آن باتری دیگر شارژ نمی‌شود تا وقتی واقعاً عوض شود؛ با باتری سالم شارژ عادی شروع می‌شود. اگر همان باتری دوباره شارژ شد، قبول نیست.</t>
        </is>
      </c>
      <c r="K12" s="56" t="n"/>
      <c r="L12" s="67" t="inlineStr">
        <is>
          <t>در انتظار</t>
        </is>
      </c>
      <c r="M12" s="56" t="n"/>
      <c r="N12" s="56" t="n"/>
      <c r="O12" s="58" t="n"/>
      <c r="P12" s="58" t="n"/>
      <c r="Q12" s="90">
        <f>IF(OR(L12="",L12="در انتظار"),"",IF(Q12="",TODAY(),Q12))</f>
        <v/>
      </c>
      <c r="R12" s="101" t="inlineStr">
        <is>
          <t>—</t>
        </is>
      </c>
    </row>
    <row r="13" ht="54" customHeight="1">
      <c r="A13" s="55" t="inlineStr">
        <is>
          <t>CH-041</t>
        </is>
      </c>
      <c r="B13" s="56" t="inlineStr">
        <is>
          <t>خطای ۷: کانال بی‌جریان قفل فنی می‌سازد</t>
        </is>
      </c>
      <c r="C13" s="57" t="inlineStr">
        <is>
          <t>متوسط</t>
        </is>
      </c>
      <c r="D13" s="56" t="inlineStr">
        <is>
          <t>دستگاه در حال شارژ است و فیوز خروجی هر کانال را می‌شناسی</t>
        </is>
      </c>
      <c r="E13" s="56" t="inlineStr">
        <is>
          <t>گام ۱: فیوز خروجی یک کانال را دربیاور.
گام ۲: چند ثانیه صبر کن: شارژ کلاً باید قفل شود و هر سه چراغ با هم چشمک بزنند.
گام ۳: فیوز را جا بزن؛ درست نباید بشود.
گام ۴: خاموش و روشن کن؛ شارژ عادی باید برگردد.</t>
        </is>
      </c>
      <c r="F13" s="58" t="inlineStr">
        <is>
          <t>دربیاوردن فیوز یک کانال حین شارژ</t>
        </is>
      </c>
      <c r="G13" s="58" t="inlineStr">
        <is>
          <t>پنج دقیقه</t>
        </is>
      </c>
      <c r="H13" s="56" t="inlineStr">
        <is>
          <t>خطای فنی ۷ قفل می‌شود و فقط با خاموش/روشن پاک می‌شود</t>
        </is>
      </c>
      <c r="I13" s="56" t="inlineStr">
        <is>
          <t>قفل تا ریست</t>
        </is>
      </c>
      <c r="J13" s="56" t="inlineStr">
        <is>
          <t>باید ببینید: خطای فنی قفل می‌شود و فقط با خاموش و روشن‌کردن دستگاه پاک می‌شود. اگر شارژ بی‌جریان ادامه داشت، قبول نیست.</t>
        </is>
      </c>
      <c r="K13" s="56" t="n"/>
      <c r="L13" s="67" t="inlineStr">
        <is>
          <t>در انتظار</t>
        </is>
      </c>
      <c r="M13" s="56" t="n"/>
      <c r="N13" s="56" t="n"/>
      <c r="O13" s="58" t="n"/>
      <c r="P13" s="58" t="n"/>
      <c r="Q13" s="60">
        <f>IF(OR(L13="",L13="در انتظار"),"",IF(Q13="",TODAY(),Q13))</f>
        <v/>
      </c>
      <c r="R13" s="97">
        <f>IF(AND($U$7&gt;20,$U$6=0,$U$2&gt;=6000),"امضای خطای فنی کامل است: کانال قفل و خطای ۷","خطای فنی نیست: دست‌کم یکی از شرط‌ها نیست (دیوتی بالای ۲۰٪، جریان صفر، ولتاژ بالای ۶ ولت)")</f>
        <v/>
      </c>
    </row>
    <row r="14" ht="54" customHeight="1">
      <c r="A14" s="55" t="inlineStr">
        <is>
          <t>CH-006</t>
        </is>
      </c>
      <c r="B14" s="87" t="inlineStr">
        <is>
          <t>شستشوی ABSORB</t>
        </is>
      </c>
      <c r="C14" s="89" t="inlineStr">
        <is>
          <t>متوسط</t>
        </is>
      </c>
      <c r="D14" s="87" t="inlineStr">
        <is>
          <t>باتری در شارژ پایانی (جذب) است</t>
        </is>
      </c>
      <c r="E14" s="87" t="inlineStr">
        <is>
          <t>گام ۱: حین شارژ پایانی، یک مصرف کوتاه و واقعی از باتری بکش (مثلاً یک لامپ را چند ثانیه روشن کن) و بردار.
گام ۲: رفتار شارژر را نگاه کن.</t>
        </is>
      </c>
      <c r="F14" s="89" t="inlineStr">
        <is>
          <t>مصرف کوتاه حین شارژ پایانی</t>
        </is>
      </c>
      <c r="G14" s="89" t="inlineStr">
        <is>
          <t>پنج دقیقه</t>
        </is>
      </c>
      <c r="H14" s="87" t="inlineStr">
        <is>
          <t>شارژر به شارژ تند برنمی‌گردد؛ همان شارژ پایانی آرام را ادامه می‌دهد تا باتری کامل شود</t>
        </is>
      </c>
      <c r="I14" s="87" t="inlineStr">
        <is>
          <t>بدون برگشت به شارژ تند</t>
        </is>
      </c>
      <c r="J14" s="87" t="inlineStr">
        <is>
          <t>باید ببینید: شارژر به شارژ تند برنمی‌گردد و همان شارژ پایانی آرام را ادامه می‌دهد تا باتری کامل شود. اگر به جریان کامل برگشت، قبول نیست.</t>
        </is>
      </c>
      <c r="K14" s="56" t="n"/>
      <c r="L14" s="59" t="inlineStr">
        <is>
          <t>در انتظار</t>
        </is>
      </c>
      <c r="M14" s="56" t="n"/>
      <c r="N14" s="56" t="n"/>
      <c r="O14" s="89" t="inlineStr">
        <is>
          <t>(بعد از تست پر شود)</t>
        </is>
      </c>
      <c r="P14" s="58" t="n"/>
      <c r="Q14" s="90">
        <f>IF(OR(L14="",L14="در انتظار"),"",IF(Q14="",TODAY(),Q14))</f>
        <v/>
      </c>
      <c r="R14" s="97">
        <f>IF($U$3=0,"ورودی نیست: شارژ متوقف و جریان صفر",IF($U$2&gt;=14600,"بالای جذب: جریان کم و کنترل سقفی (۱۴٫۶ ولت)",IF($U$2&gt;=14300,"جذب (ABSORB): نگه‌داشتن روی ۱۴٫۴ ولت با جریان کاهشی",IF($U$2&gt;13500,"شارژ (بالک): جریان کامل تا رسیدن به ۱۴٫۳ ولت",IF($U$2&gt;=12800,"اگر کامل شده باشد شناور ۱۳٫۵ ولت؛ وگرنه شارژ ادامه دارد","شارژ (بالک) با جریان کامل")))))</f>
        <v/>
      </c>
    </row>
    <row r="15" ht="54" customHeight="1">
      <c r="A15" s="55" t="inlineStr">
        <is>
          <t>CH-007</t>
        </is>
      </c>
      <c r="B15" s="56" t="inlineStr">
        <is>
          <t>FLOAT و reentry</t>
        </is>
      </c>
      <c r="C15" s="58" t="inlineStr">
        <is>
          <t>متوسط</t>
        </is>
      </c>
      <c r="D15" s="56" t="inlineStr">
        <is>
          <t>باتری کاملاً پر شده و شارژ به حالت نگهداری رسیده (جریان خیلی کم)</t>
        </is>
      </c>
      <c r="E15" s="56" t="inlineStr">
        <is>
          <t>گام ۱: بگذار باتری کامل پر و شارژ آرام شود.
گام ۲: یک بار واقعی روی خروجی بکش تا باتری کمی خالی شود.
گام ۳: نگاه کن شارژ دوباره کی و چطور شروع می‌شود.</t>
        </is>
      </c>
      <c r="F15" s="58" t="inlineStr">
        <is>
          <t>باتری پر، بعد کمی مصرف واقعی</t>
        </is>
      </c>
      <c r="G15" s="58" t="inlineStr">
        <is>
          <t>ده دقیقه</t>
        </is>
      </c>
      <c r="H15" s="56" t="inlineStr">
        <is>
          <t>در حالت پر، جریان نگهداری خیلی کم است؛ با کمی خالی‌شدن، شارژ خودش دوباره شروع می‌شود</t>
        </is>
      </c>
      <c r="I15" s="56" t="inlineStr">
        <is>
          <t>رفت‌وبرگشت خودکار پر/شارژ</t>
        </is>
      </c>
      <c r="J15" s="56" t="inlineStr">
        <is>
          <t>باید ببینید: در حالت پر جریان نگهداری خیلی کم است و با کمی خالی‌شدن باتری، شارژ خودش دوباره شروع می‌شود. اگر دوباره شارژ نشد یا بی‌وقفه شارژ کرد، قبول نیست.</t>
        </is>
      </c>
      <c r="K15" s="61" t="n"/>
      <c r="L15" s="59" t="inlineStr">
        <is>
          <t>در انتظار</t>
        </is>
      </c>
      <c r="M15" s="61" t="n"/>
      <c r="N15" s="61" t="n"/>
      <c r="O15" s="58" t="inlineStr">
        <is>
          <t>(بعد از تست پر شود)</t>
        </is>
      </c>
      <c r="P15" s="63" t="n"/>
      <c r="Q15" s="60">
        <f>IF(OR(L15="",L15="در انتظار"),"",IF(Q15="",TODAY(),Q15))</f>
        <v/>
      </c>
      <c r="R15" s="97">
        <f>IF($U$2&lt;=12800,"زیر ۱۲٫۸ ولت: شارژ دوباره شروع می‌شود (برگشت به شارژ)",IF($U$2&lt;13500,"بین ۱۲٫۸ و ۱۳٫۵ ولت: شناور می‌ماند و شارژ تازه شروع نمی‌شود","بالای ۱۳٫۵ ولت: در جذب/شناور کامل است"))</f>
        <v/>
      </c>
    </row>
    <row r="16" ht="54" customHeight="1">
      <c r="A16" s="55" t="inlineStr">
        <is>
          <t>CH-014</t>
        </is>
      </c>
      <c r="B16" s="87" t="inlineStr">
        <is>
          <t>مود دستی: ددمن لینک</t>
        </is>
      </c>
      <c r="C16" s="88" t="inlineStr">
        <is>
          <t>متوسط</t>
        </is>
      </c>
      <c r="D16" s="87" t="inlineStr">
        <is>
          <t>شارژر در مود تست دستی و در حال اجرای فرمان دستی است</t>
        </is>
      </c>
      <c r="E16" s="91" t="inlineStr">
        <is>
          <t>گام ۱: کابل ارتباطی پنل (ESP) را بکش تا فرمان تازه‌ای نرسد.
گام ۲: کرنومتر بگیر و شارژر را نگاه کن.
گام ۳: کابل را وصل کن.</t>
        </is>
      </c>
      <c r="F16" s="89" t="inlineStr">
        <is>
          <t>قطع ارتباط پنل حین مود دستی</t>
        </is>
      </c>
      <c r="G16" s="89" t="inlineStr">
        <is>
          <t>دو دقیقه</t>
        </is>
      </c>
      <c r="H16" s="87" t="inlineStr">
        <is>
          <t>بعد از چند ثانیه بی‌ارتباطی، شارژ دستی خودش متوقف می‌شود؛ نباید بی‌صاحب ادامه دهد</t>
        </is>
      </c>
      <c r="I16" s="87" t="inlineStr">
        <is>
          <t>توقف خودکار با قطع ارتباط</t>
        </is>
      </c>
      <c r="J16" s="87" t="inlineStr">
        <is>
          <t>باید ببینید: بعد از چند ثانیه قطع ارتباط، شارژ دستی خودش متوقف می‌شود و بی‌صاحب ادامه نمی‌دهد. اگر بی‌ارتباط هم ادامه داد، قبول نیست.</t>
        </is>
      </c>
      <c r="K16" s="56" t="n"/>
      <c r="L16" s="59" t="inlineStr">
        <is>
          <t>در انتظار</t>
        </is>
      </c>
      <c r="M16" s="56" t="n"/>
      <c r="N16" s="56" t="n"/>
      <c r="O16" s="89" t="inlineStr">
        <is>
          <t>(بعد از تست پر شود)</t>
        </is>
      </c>
      <c r="P16" s="58" t="n"/>
      <c r="Q16" s="90">
        <f>IF(OR(L16="",L16="در انتظار"),"",IF(Q16="",TODAY(),Q16))</f>
        <v/>
      </c>
      <c r="R16" s="101" t="inlineStr">
        <is>
          <t>—</t>
        </is>
      </c>
    </row>
    <row r="17" ht="54" customHeight="1">
      <c r="A17" s="55" t="inlineStr">
        <is>
          <t>CH-016</t>
        </is>
      </c>
      <c r="B17" s="56" t="inlineStr">
        <is>
          <t>مود دستی: قطع 15V</t>
        </is>
      </c>
      <c r="C17" s="57" t="inlineStr">
        <is>
          <t>متوسط</t>
        </is>
      </c>
      <c r="D17" s="56" t="inlineStr">
        <is>
          <t>شارژر در مود تست دستی در حال کار است</t>
        </is>
      </c>
      <c r="E17" s="56" t="inlineStr">
        <is>
          <t>گام ۱: برق طبقهٔ قدرت شارژر را قطع کن (همان کاری که در تعمیرات می‌کنی).
گام ۲: رفتار کانال را ببین.
گام ۳: برق را برگردان.</t>
        </is>
      </c>
      <c r="F17" s="58" t="inlineStr">
        <is>
          <t>قطع و وصل برق طبقهٔ قدرت در مود دستی</t>
        </is>
      </c>
      <c r="G17" s="58" t="inlineStr">
        <is>
          <t>یک دقیقه</t>
        </is>
      </c>
      <c r="H17" s="56" t="inlineStr">
        <is>
          <t>کانال همان لحظه بیکار و بی‌خطر می‌شود و با برگشت برق، رفتار عادی برمی‌گردد</t>
        </is>
      </c>
      <c r="I17" s="56" t="inlineStr">
        <is>
          <t>بدون قفل اضافه</t>
        </is>
      </c>
      <c r="J17" s="56" t="inlineStr">
        <is>
          <t>باید ببینید: کانال همان لحظه بیکار و بی‌خطر می‌شود و با برگشت برق رفتار عادی برمی‌گردد. اگر رفتار غیرعادی دیدید، قبول نیست.</t>
        </is>
      </c>
      <c r="K17" s="56" t="n"/>
      <c r="L17" s="59" t="inlineStr">
        <is>
          <t>در انتظار</t>
        </is>
      </c>
      <c r="M17" s="56" t="n"/>
      <c r="N17" s="56" t="n"/>
      <c r="O17" s="58" t="inlineStr">
        <is>
          <t>(بعد از تست پر شود)</t>
        </is>
      </c>
      <c r="P17" s="58" t="n"/>
      <c r="Q17" s="60">
        <f>IF(OR(L17="",L17="در انتظار"),"",IF(Q17="",TODAY(),Q17))</f>
        <v/>
      </c>
      <c r="R17" s="101" t="inlineStr">
        <is>
          <t>—</t>
        </is>
      </c>
    </row>
    <row r="18" ht="54" customHeight="1">
      <c r="A18" s="55" t="inlineStr">
        <is>
          <t>CH-017</t>
        </is>
      </c>
      <c r="B18" s="87" t="inlineStr">
        <is>
          <t>مود دستی: قطع کانال</t>
        </is>
      </c>
      <c r="C18" s="89" t="inlineStr">
        <is>
          <t>متوسط</t>
        </is>
      </c>
      <c r="D18" s="87" t="inlineStr">
        <is>
          <t>هر دو کانال شارژر در مود دستی در حال کارند (دو باتری وصل)</t>
        </is>
      </c>
      <c r="E18" s="91" t="inlineStr">
        <is>
          <t>گام ۱: از پنل فقط یک کانال را خاموش کن.
گام ۲: هر دو کانال را نگاه کن.
گام ۳: کانال خاموش را دوباره روشن کن.</t>
        </is>
      </c>
      <c r="F18" s="89" t="inlineStr">
        <is>
          <t>خاموش/روشن کردن یک کانال از پنل</t>
        </is>
      </c>
      <c r="G18" s="89" t="inlineStr">
        <is>
          <t>دو دقیقه</t>
        </is>
      </c>
      <c r="H18" s="87" t="inlineStr">
        <is>
          <t>فقط همان کانال می‌ایستد و کانال دیگر بی‌تغییر ادامه می‌دهد</t>
        </is>
      </c>
      <c r="I18" s="87" t="inlineStr">
        <is>
          <t>استقلال دو کانال</t>
        </is>
      </c>
      <c r="J18" s="87" t="inlineStr">
        <is>
          <t>باید ببینید: فقط همان کانال می‌ایستد و کانال دیگر بی‌تغییر ادامه می‌دهد. اگر روی کانال دیگر اثر گذاشت، قبول نیست.</t>
        </is>
      </c>
      <c r="K18" s="61" t="n"/>
      <c r="L18" s="59" t="inlineStr">
        <is>
          <t>در انتظار</t>
        </is>
      </c>
      <c r="M18" s="61" t="n"/>
      <c r="N18" s="61" t="n"/>
      <c r="O18" s="89" t="inlineStr">
        <is>
          <t>(بعد از تست پر شود)</t>
        </is>
      </c>
      <c r="P18" s="63" t="n"/>
      <c r="Q18" s="90">
        <f>IF(OR(L18="",L18="در انتظار"),"",IF(Q18="",TODAY(),Q18))</f>
        <v/>
      </c>
      <c r="R18" s="101" t="inlineStr">
        <is>
          <t>—</t>
        </is>
      </c>
    </row>
    <row r="19" ht="54" customHeight="1">
      <c r="A19" s="55" t="inlineStr">
        <is>
          <t>CH-019</t>
        </is>
      </c>
      <c r="B19" s="56" t="inlineStr">
        <is>
          <t>سقف duty زنده</t>
        </is>
      </c>
      <c r="C19" s="58" t="inlineStr">
        <is>
          <t>متوسط</t>
        </is>
      </c>
      <c r="D19" s="56" t="inlineStr">
        <is>
          <t>دستگاه در حال شارژ یک باتری نیمه‌خالی است</t>
        </is>
      </c>
      <c r="E19" s="56" t="inlineStr">
        <is>
          <t>گام ۱: از پنل سقف توان شارژ را کمتر کن.
گام ۲: جریان شارژ را در پنل یا آمپرمتر ببین.
گام ۳: سقف را به حالت اول برگردان.</t>
        </is>
      </c>
      <c r="F19" s="58" t="inlineStr">
        <is>
          <t>کم و زیاد کردن سقف توان از پنل</t>
        </is>
      </c>
      <c r="G19" s="58" t="inlineStr">
        <is>
          <t>پنج دقیقه</t>
        </is>
      </c>
      <c r="H19" s="56" t="inlineStr">
        <is>
          <t>جریان شارژ به همان نسبت کم و زیاد می‌شود، بدون اینکه دستگاه خاموش یا خطادار شود</t>
        </is>
      </c>
      <c r="I19" s="56" t="inlineStr">
        <is>
          <t>بدون قفل</t>
        </is>
      </c>
      <c r="J19" s="56" t="inlineStr">
        <is>
          <t>باید ببینید: جریان شارژ به همان نسبت سقف کم و زیاد می‌شود و دستگاه خاموش یا خطادار نمی‌شود. اگر سقف بی‌اثر بود، قبول نیست.</t>
        </is>
      </c>
      <c r="K19" s="61" t="n"/>
      <c r="L19" s="59" t="inlineStr">
        <is>
          <t>در انتظار</t>
        </is>
      </c>
      <c r="M19" s="61" t="n"/>
      <c r="N19" s="61" t="n"/>
      <c r="O19" s="58" t="inlineStr">
        <is>
          <t>(بعد از تست پر شود)</t>
        </is>
      </c>
      <c r="P19" s="63" t="n"/>
      <c r="Q19" s="60">
        <f>IF(OR(L19="",L19="در انتظار"),"",IF(Q19="",TODAY(),Q19))</f>
        <v/>
      </c>
      <c r="R19" s="97">
        <f>"دیوتی از سقف زندهٔ پنل رد نمی‌شود؛ سقف فعلی که گذاشته‌ای: "&amp;$U$7&amp;" درصد"</f>
        <v/>
      </c>
    </row>
    <row r="20" ht="54" customHeight="1">
      <c r="A20" s="55" t="inlineStr">
        <is>
          <t>CH-036</t>
        </is>
      </c>
      <c r="B20" s="87" t="inlineStr">
        <is>
          <t>استراحت حرارتی 1h-&gt;10min</t>
        </is>
      </c>
      <c r="C20" s="88" t="inlineStr">
        <is>
          <t>متوسط</t>
        </is>
      </c>
      <c r="D20" s="87" t="inlineStr">
        <is>
          <t>دو باتری خالی واقعی وصل و هر دو کانال آمادهٔ شارژ سنگین‌اند</t>
        </is>
      </c>
      <c r="E20" s="87" t="inlineStr">
        <is>
          <t>گام ۱: هر دو کانال را با باتری خالی به شارژ بزن.
گام ۲: حدود یک ساعت شارژ سنگین را زیر نظر بگیر (هر از چندی سر بزن).
گام ۳: بعد از حدود یک ساعت، هر کانال باید حدود ده دقیقه استراحت کند: جریان صفر ولی باتری وصل می‌ماند.
گام ۴: بعد از استراحت، شارژ باید خودش ادامه پیدا کند.</t>
        </is>
      </c>
      <c r="F20" s="89" t="inlineStr">
        <is>
          <t>یک ساعت شارژ سنگین هر دو کانال</t>
        </is>
      </c>
      <c r="G20" s="89" t="inlineStr">
        <is>
          <t>حدود یک ساعت و نیم</t>
        </is>
      </c>
      <c r="H20" s="87" t="inlineStr">
        <is>
          <t>بعد از یک ساعت شارژ سنگین، هر کانال ده دقیقه استراحت می‌کند و بعد خودش به شارژ برمی‌گردد</t>
        </is>
      </c>
      <c r="I20" s="87" t="inlineStr">
        <is>
          <t>استراحت و ادامهٔ خودکار</t>
        </is>
      </c>
      <c r="J20" s="87" t="inlineStr">
        <is>
          <t>باید ببینید: بعد از حدود یک ساعت شارژ سنگین، کانال حدود ده دقیقه استراحت می‌کند و بعد خودش به شارژ برمی‌گردد. اگر بی‌وقفه چند ساعت شارژ کرد یا برای همیشه ایستاد، قبول نیست.</t>
        </is>
      </c>
      <c r="K20" s="61" t="n"/>
      <c r="L20" s="67" t="inlineStr">
        <is>
          <t>نیاز به تکرار</t>
        </is>
      </c>
      <c r="M20" s="61" t="n"/>
      <c r="N20" s="61" t="n"/>
      <c r="O20" s="89" t="inlineStr">
        <is>
          <t>thermal</t>
        </is>
      </c>
      <c r="P20" s="63" t="n"/>
      <c r="Q20" s="90">
        <f>IF(OR(L20="",L20="در انتظار"),"",IF(Q20="",TODAY(),Q20))</f>
        <v/>
      </c>
      <c r="R20" s="101" t="inlineStr">
        <is>
          <t>—</t>
        </is>
      </c>
    </row>
    <row r="21" ht="108" customHeight="1">
      <c r="A21" s="55" t="inlineStr">
        <is>
          <t>CH-043</t>
        </is>
      </c>
      <c r="B21" s="87" t="inlineStr">
        <is>
          <t>مکث ورودی و شمارندهٔ باتری خراب</t>
        </is>
      </c>
      <c r="C21" s="88" t="inlineStr">
        <is>
          <t>متوسط</t>
        </is>
      </c>
      <c r="D21" s="87" t="inlineStr">
        <is>
          <t>باتری نیمه‌خالی در حال شارژ است؛ منبع ورودی قابل تنظیم است؛ پنل وصل است.</t>
        </is>
      </c>
      <c r="E21" s="87" t="inlineStr">
        <is>
          <t>گام ۱: زمان مکث تشخیص باتری خراب را از پنل موقتاً روی ۵ ثانیه بگذار.
گام ۲: صبر کن شمارندهٔ زمان شارژ از ۱۰ ثانیه بیشتر شود.
گام ۳: ولتاژ ورودی را به زیر ۲۲ ولت ببر.
گام ۴: پس از ۳ ثانیه، ورودی را به ۲۴ ولت برگردان و شمارنده را ببین.
گام ۵: ورودی را دوباره به زیر ۲۲ ولت ببر.
گام ۶: پس از ۷ ثانیه، ورودی را به ۲۴ ولت برگردان و شمارنده را ببین.
گام ۷: زمان مکث را به مقدار عادی یک دقیقه برگردان.</t>
        </is>
      </c>
      <c r="F21" s="89" t="inlineStr">
        <is>
          <t>ورودی زیر ۲۲ ولت؛ مکث ۳ ثانیه و ۷ ثانیه؛ بازگشت به ۲۴ ولت</t>
        </is>
      </c>
      <c r="G21" s="89" t="inlineStr">
        <is>
          <t>حدود پنج دقیقه</t>
        </is>
      </c>
      <c r="H21" s="87" t="inlineStr">
        <is>
          <t>مکث کوتاه شمارنده را نگه می‌دارد؛ مکث ۵ ثانیه یا بیشتر آن را صفر می‌کند؛ پس از برگشت ورودی شارژ امن از سر گرفته می‌شود.</t>
        </is>
      </c>
      <c r="I21" s="87" t="inlineStr">
        <is>
          <t>کمتر از ۵ ثانیه: حفظ؛ ۵ ثانیه یا بیشتر: صفر</t>
        </is>
      </c>
      <c r="J21" s="87" t="inlineStr">
        <is>
          <t>باید ببینی: پس از مکث ۳ ثانیه‌ای شمارنده ادامه دارد؛ پس از مکث ۷ ثانیه‌ای صفر می‌شود؛ با برگشت ورودی شارژ دوباره و آرام شروع می‌شود.</t>
        </is>
      </c>
      <c r="K21" s="61" t="n"/>
      <c r="L21" s="67" t="inlineStr">
        <is>
          <t>در انتظار</t>
        </is>
      </c>
      <c r="M21" s="61" t="n"/>
      <c r="N21" s="61" t="n"/>
      <c r="O21" s="89" t="n"/>
      <c r="P21" s="63" t="n"/>
      <c r="Q21" s="90">
        <f>IF(OR(L21="",L21="در انتظار"),"",IF(Q21="",TODAY(),Q21))</f>
        <v/>
      </c>
      <c r="R21" s="101" t="inlineStr">
        <is>
          <t>—</t>
        </is>
      </c>
    </row>
    <row r="22">
      <c r="A22" s="83" t="n"/>
      <c r="B22" s="83" t="n"/>
      <c r="C22" s="83" t="n"/>
      <c r="D22" s="83" t="n"/>
      <c r="E22" s="83" t="n"/>
      <c r="F22" s="83" t="n"/>
      <c r="G22" s="83" t="n"/>
      <c r="H22" s="83" t="n"/>
      <c r="I22" s="83" t="n"/>
      <c r="J22" s="83" t="n"/>
      <c r="K22" s="83" t="n"/>
      <c r="L22" s="83" t="n"/>
      <c r="M22" s="83" t="n"/>
      <c r="N22" s="83" t="n"/>
      <c r="O22" s="83" t="n"/>
      <c r="P22" s="83" t="n"/>
      <c r="Q22" s="84" t="n"/>
    </row>
    <row r="23">
      <c r="A23" s="83" t="n"/>
      <c r="B23" s="83" t="n"/>
      <c r="C23" s="83" t="n"/>
      <c r="D23" s="83" t="n"/>
      <c r="E23" s="83" t="n"/>
      <c r="F23" s="83" t="n"/>
      <c r="G23" s="83" t="n"/>
      <c r="H23" s="83" t="n"/>
      <c r="I23" s="83" t="n"/>
      <c r="J23" s="83" t="n"/>
      <c r="K23" s="83" t="n"/>
      <c r="L23" s="83" t="n"/>
      <c r="M23" s="83" t="n"/>
      <c r="N23" s="83" t="n"/>
      <c r="O23" s="83" t="n"/>
      <c r="P23" s="83" t="n"/>
      <c r="Q23" s="84" t="n"/>
    </row>
    <row r="24">
      <c r="A24" s="83" t="n"/>
      <c r="B24" s="83" t="n"/>
      <c r="C24" s="83" t="n"/>
      <c r="D24" s="83" t="n"/>
      <c r="E24" s="83" t="n"/>
      <c r="F24" s="83" t="n"/>
      <c r="G24" s="83" t="n"/>
      <c r="H24" s="83" t="n"/>
      <c r="I24" s="83" t="n"/>
      <c r="J24" s="83" t="n"/>
      <c r="K24" s="83" t="n"/>
      <c r="L24" s="83" t="n"/>
      <c r="M24" s="83" t="n"/>
      <c r="N24" s="83" t="n"/>
      <c r="O24" s="83" t="n"/>
      <c r="P24" s="83" t="n"/>
      <c r="Q24" s="84" t="n"/>
    </row>
    <row r="25">
      <c r="A25" s="83" t="n"/>
      <c r="B25" s="83" t="n"/>
      <c r="C25" s="83" t="n"/>
      <c r="D25" s="83" t="n"/>
      <c r="E25" s="83" t="n"/>
      <c r="F25" s="83" t="n"/>
      <c r="G25" s="83" t="n"/>
      <c r="H25" s="83" t="n"/>
      <c r="I25" s="83" t="n"/>
      <c r="J25" s="83" t="n"/>
      <c r="K25" s="83" t="n"/>
      <c r="L25" s="83" t="n"/>
      <c r="M25" s="83" t="n"/>
      <c r="N25" s="83" t="n"/>
      <c r="O25" s="83" t="n"/>
      <c r="P25" s="83" t="n"/>
      <c r="Q25" s="84" t="n"/>
    </row>
    <row r="26">
      <c r="A26" s="83" t="n"/>
      <c r="B26" s="83" t="n"/>
      <c r="C26" s="83" t="n"/>
      <c r="D26" s="83" t="n"/>
      <c r="E26" s="83" t="n"/>
      <c r="F26" s="83" t="n"/>
      <c r="G26" s="83" t="n"/>
      <c r="H26" s="83" t="n"/>
      <c r="I26" s="83" t="n"/>
      <c r="J26" s="83" t="n"/>
      <c r="K26" s="83" t="n"/>
      <c r="L26" s="83" t="n"/>
      <c r="M26" s="83" t="n"/>
      <c r="N26" s="83" t="n"/>
      <c r="O26" s="83" t="n"/>
      <c r="P26" s="83" t="n"/>
      <c r="Q26" s="84" t="n"/>
    </row>
    <row r="27">
      <c r="A27" s="83" t="n"/>
      <c r="B27" s="83" t="n"/>
      <c r="C27" s="83" t="n"/>
      <c r="D27" s="83" t="n"/>
      <c r="E27" s="83" t="n"/>
      <c r="F27" s="83" t="n"/>
      <c r="G27" s="83" t="n"/>
      <c r="H27" s="83" t="n"/>
      <c r="I27" s="83" t="n"/>
      <c r="J27" s="83" t="n"/>
      <c r="K27" s="83" t="n"/>
      <c r="L27" s="83" t="n"/>
      <c r="M27" s="83" t="n"/>
      <c r="N27" s="83" t="n"/>
      <c r="O27" s="83" t="n"/>
      <c r="P27" s="83" t="n"/>
      <c r="Q27" s="84" t="n"/>
    </row>
    <row r="28">
      <c r="A28" s="83" t="n"/>
      <c r="B28" s="83" t="n"/>
      <c r="C28" s="83" t="n"/>
      <c r="D28" s="83" t="n"/>
      <c r="E28" s="83" t="n"/>
      <c r="F28" s="83" t="n"/>
      <c r="G28" s="83" t="n"/>
      <c r="H28" s="83" t="n"/>
      <c r="I28" s="83" t="n"/>
      <c r="J28" s="83" t="n"/>
      <c r="K28" s="83" t="n"/>
      <c r="L28" s="83" t="n"/>
      <c r="M28" s="83" t="n"/>
      <c r="N28" s="83" t="n"/>
      <c r="O28" s="83" t="n"/>
      <c r="P28" s="83" t="n"/>
      <c r="Q28" s="84" t="n"/>
    </row>
    <row r="29">
      <c r="A29" s="83" t="n"/>
      <c r="B29" s="83" t="n"/>
      <c r="C29" s="83" t="n"/>
      <c r="D29" s="83" t="n"/>
      <c r="E29" s="83" t="n"/>
      <c r="F29" s="83" t="n"/>
      <c r="G29" s="83" t="n"/>
      <c r="H29" s="83" t="n"/>
      <c r="I29" s="83" t="n"/>
      <c r="J29" s="83" t="n"/>
      <c r="K29" s="83" t="n"/>
      <c r="L29" s="83" t="n"/>
      <c r="M29" s="83" t="n"/>
      <c r="N29" s="83" t="n"/>
      <c r="O29" s="83" t="n"/>
      <c r="P29" s="83" t="n"/>
      <c r="Q29" s="84" t="n"/>
    </row>
    <row r="30">
      <c r="A30" s="83" t="n"/>
      <c r="B30" s="83" t="n"/>
      <c r="C30" s="83" t="n"/>
      <c r="D30" s="83" t="n"/>
      <c r="E30" s="83" t="n"/>
      <c r="F30" s="83" t="n"/>
      <c r="G30" s="83" t="n"/>
      <c r="H30" s="83" t="n"/>
      <c r="I30" s="83" t="n"/>
      <c r="J30" s="83" t="n"/>
      <c r="K30" s="83" t="n"/>
      <c r="L30" s="83" t="n"/>
      <c r="M30" s="83" t="n"/>
      <c r="N30" s="83" t="n"/>
      <c r="O30" s="83" t="n"/>
      <c r="P30" s="83" t="n"/>
      <c r="Q30" s="84" t="n"/>
    </row>
    <row r="31">
      <c r="A31" s="83" t="n"/>
      <c r="B31" s="83" t="n"/>
      <c r="C31" s="83" t="n"/>
      <c r="D31" s="83" t="n"/>
      <c r="E31" s="83" t="n"/>
      <c r="F31" s="83" t="n"/>
      <c r="G31" s="83" t="n"/>
      <c r="H31" s="83" t="n"/>
      <c r="I31" s="83" t="n"/>
      <c r="J31" s="83" t="n"/>
      <c r="K31" s="83" t="n"/>
      <c r="L31" s="83" t="n"/>
      <c r="M31" s="83" t="n"/>
      <c r="N31" s="83" t="n"/>
      <c r="O31" s="83" t="n"/>
      <c r="P31" s="83" t="n"/>
      <c r="Q31" s="84" t="n"/>
    </row>
    <row r="32">
      <c r="A32" s="83" t="n"/>
      <c r="B32" s="83" t="n"/>
      <c r="C32" s="83" t="n"/>
      <c r="D32" s="83" t="n"/>
      <c r="E32" s="83" t="n"/>
      <c r="F32" s="83" t="n"/>
      <c r="G32" s="83" t="n"/>
      <c r="H32" s="83" t="n"/>
      <c r="I32" s="83" t="n"/>
      <c r="J32" s="83" t="n"/>
      <c r="K32" s="83" t="n"/>
      <c r="L32" s="83" t="n"/>
      <c r="M32" s="83" t="n"/>
      <c r="N32" s="83" t="n"/>
      <c r="O32" s="83" t="n"/>
      <c r="P32" s="83" t="n"/>
      <c r="Q32" s="84" t="n"/>
    </row>
    <row r="33">
      <c r="A33" s="83" t="n"/>
      <c r="B33" s="83" t="n"/>
      <c r="C33" s="83" t="n"/>
      <c r="D33" s="83" t="n"/>
      <c r="E33" s="83" t="n"/>
      <c r="F33" s="83" t="n"/>
      <c r="G33" s="83" t="n"/>
      <c r="H33" s="83" t="n"/>
      <c r="I33" s="83" t="n"/>
      <c r="J33" s="83" t="n"/>
      <c r="K33" s="83" t="n"/>
      <c r="L33" s="83" t="n"/>
      <c r="M33" s="83" t="n"/>
      <c r="N33" s="83" t="n"/>
      <c r="O33" s="83" t="n"/>
      <c r="P33" s="83" t="n"/>
      <c r="Q33" s="84" t="n"/>
    </row>
    <row r="34">
      <c r="A34" s="83" t="n"/>
      <c r="B34" s="83" t="n"/>
      <c r="C34" s="83" t="n"/>
      <c r="D34" s="83" t="n"/>
      <c r="E34" s="83" t="n"/>
      <c r="F34" s="83" t="n"/>
      <c r="G34" s="83" t="n"/>
      <c r="H34" s="83" t="n"/>
      <c r="I34" s="83" t="n"/>
      <c r="J34" s="83" t="n"/>
      <c r="K34" s="83" t="n"/>
      <c r="L34" s="83" t="n"/>
      <c r="M34" s="83" t="n"/>
      <c r="N34" s="83" t="n"/>
      <c r="O34" s="83" t="n"/>
      <c r="P34" s="83" t="n"/>
      <c r="Q34" s="84" t="n"/>
    </row>
    <row r="35">
      <c r="A35" s="83" t="n"/>
      <c r="B35" s="83" t="n"/>
      <c r="C35" s="83" t="n"/>
      <c r="D35" s="83" t="n"/>
      <c r="E35" s="83" t="n"/>
      <c r="F35" s="83" t="n"/>
      <c r="G35" s="83" t="n"/>
      <c r="H35" s="83" t="n"/>
      <c r="I35" s="83" t="n"/>
      <c r="J35" s="83" t="n"/>
      <c r="K35" s="83" t="n"/>
      <c r="L35" s="83" t="n"/>
      <c r="M35" s="83" t="n"/>
      <c r="N35" s="83" t="n"/>
      <c r="O35" s="83" t="n"/>
      <c r="P35" s="83" t="n"/>
      <c r="Q35" s="84" t="n"/>
    </row>
    <row r="36">
      <c r="A36" s="83" t="n"/>
      <c r="B36" s="83" t="n"/>
      <c r="C36" s="83" t="n"/>
      <c r="D36" s="83" t="n"/>
      <c r="E36" s="83" t="n"/>
      <c r="F36" s="83" t="n"/>
      <c r="G36" s="83" t="n"/>
      <c r="H36" s="83" t="n"/>
      <c r="I36" s="83" t="n"/>
      <c r="J36" s="83" t="n"/>
      <c r="K36" s="83" t="n"/>
      <c r="L36" s="83" t="n"/>
      <c r="M36" s="83" t="n"/>
      <c r="N36" s="83" t="n"/>
      <c r="O36" s="83" t="n"/>
      <c r="P36" s="83" t="n"/>
      <c r="Q36" s="84" t="n"/>
    </row>
    <row r="37">
      <c r="A37" s="83" t="n"/>
      <c r="B37" s="83" t="n"/>
      <c r="C37" s="83" t="n"/>
      <c r="D37" s="83" t="n"/>
      <c r="E37" s="83" t="n"/>
      <c r="F37" s="83" t="n"/>
      <c r="G37" s="83" t="n"/>
      <c r="H37" s="83" t="n"/>
      <c r="I37" s="83" t="n"/>
      <c r="J37" s="83" t="n"/>
      <c r="K37" s="83" t="n"/>
      <c r="L37" s="83" t="n"/>
      <c r="M37" s="83" t="n"/>
      <c r="N37" s="83" t="n"/>
      <c r="O37" s="83" t="n"/>
      <c r="P37" s="83" t="n"/>
      <c r="Q37" s="84" t="n"/>
    </row>
    <row r="38">
      <c r="A38" s="83" t="n"/>
      <c r="B38" s="83" t="n"/>
      <c r="C38" s="83" t="n"/>
      <c r="D38" s="83" t="n"/>
      <c r="E38" s="83" t="n"/>
      <c r="F38" s="83" t="n"/>
      <c r="G38" s="83" t="n"/>
      <c r="H38" s="83" t="n"/>
      <c r="I38" s="83" t="n"/>
      <c r="J38" s="83" t="n"/>
      <c r="K38" s="83" t="n"/>
      <c r="L38" s="83" t="n"/>
      <c r="M38" s="83" t="n"/>
      <c r="N38" s="83" t="n"/>
      <c r="O38" s="83" t="n"/>
      <c r="P38" s="83" t="n"/>
      <c r="Q38" s="84" t="n"/>
    </row>
    <row r="39">
      <c r="A39" s="83" t="n"/>
      <c r="B39" s="83" t="n"/>
      <c r="C39" s="83" t="n"/>
      <c r="D39" s="83" t="n"/>
      <c r="E39" s="83" t="n"/>
      <c r="F39" s="83" t="n"/>
      <c r="G39" s="83" t="n"/>
      <c r="H39" s="83" t="n"/>
      <c r="I39" s="83" t="n"/>
      <c r="J39" s="83" t="n"/>
      <c r="K39" s="83" t="n"/>
      <c r="L39" s="83" t="n"/>
      <c r="M39" s="83" t="n"/>
      <c r="N39" s="83" t="n"/>
      <c r="O39" s="83" t="n"/>
      <c r="P39" s="83" t="n"/>
      <c r="Q39" s="84" t="n"/>
    </row>
    <row r="40">
      <c r="A40" s="83" t="n"/>
      <c r="B40" s="83" t="n"/>
      <c r="C40" s="83" t="n"/>
      <c r="D40" s="83" t="n"/>
      <c r="E40" s="83" t="n"/>
      <c r="F40" s="83" t="n"/>
      <c r="G40" s="83" t="n"/>
      <c r="H40" s="83" t="n"/>
      <c r="I40" s="83" t="n"/>
      <c r="J40" s="83" t="n"/>
      <c r="K40" s="83" t="n"/>
      <c r="L40" s="83" t="n"/>
      <c r="M40" s="83" t="n"/>
      <c r="N40" s="83" t="n"/>
      <c r="O40" s="83" t="n"/>
      <c r="P40" s="83" t="n"/>
      <c r="Q40" s="84" t="n"/>
    </row>
    <row r="41">
      <c r="A41" s="83" t="n"/>
      <c r="B41" s="83" t="n"/>
      <c r="C41" s="83" t="n"/>
      <c r="D41" s="83" t="n"/>
      <c r="E41" s="83" t="n"/>
      <c r="F41" s="83" t="n"/>
      <c r="G41" s="83" t="n"/>
      <c r="H41" s="83" t="n"/>
      <c r="I41" s="83" t="n"/>
      <c r="J41" s="83" t="n"/>
      <c r="K41" s="83" t="n"/>
      <c r="L41" s="83" t="n"/>
      <c r="M41" s="83" t="n"/>
      <c r="N41" s="83" t="n"/>
      <c r="O41" s="83" t="n"/>
      <c r="P41" s="83" t="n"/>
      <c r="Q41" s="84" t="n"/>
    </row>
    <row r="42">
      <c r="A42" s="83" t="n"/>
      <c r="B42" s="83" t="n"/>
      <c r="C42" s="83" t="n"/>
      <c r="D42" s="83" t="n"/>
      <c r="E42" s="83" t="n"/>
      <c r="F42" s="83" t="n"/>
      <c r="G42" s="83" t="n"/>
      <c r="H42" s="83" t="n"/>
      <c r="I42" s="83" t="n"/>
      <c r="J42" s="83" t="n"/>
      <c r="K42" s="83" t="n"/>
      <c r="L42" s="83" t="n"/>
      <c r="M42" s="83" t="n"/>
      <c r="N42" s="83" t="n"/>
      <c r="O42" s="83" t="n"/>
      <c r="P42" s="83" t="n"/>
      <c r="Q42" s="84" t="n"/>
    </row>
    <row r="43">
      <c r="A43" s="83" t="n"/>
      <c r="B43" s="83" t="n"/>
      <c r="C43" s="83" t="n"/>
      <c r="D43" s="83" t="n"/>
      <c r="E43" s="83" t="n"/>
      <c r="F43" s="83" t="n"/>
      <c r="G43" s="83" t="n"/>
      <c r="H43" s="83" t="n"/>
      <c r="I43" s="83" t="n"/>
      <c r="J43" s="83" t="n"/>
      <c r="K43" s="83" t="n"/>
      <c r="L43" s="83" t="n"/>
      <c r="M43" s="83" t="n"/>
      <c r="N43" s="83" t="n"/>
      <c r="O43" s="83" t="n"/>
      <c r="P43" s="83" t="n"/>
      <c r="Q43" s="84" t="n"/>
    </row>
    <row r="44">
      <c r="A44" s="83" t="n"/>
      <c r="B44" s="83" t="n"/>
      <c r="C44" s="83" t="n"/>
      <c r="D44" s="83" t="n"/>
      <c r="E44" s="83" t="n"/>
      <c r="F44" s="83" t="n"/>
      <c r="G44" s="83" t="n"/>
      <c r="H44" s="83" t="n"/>
      <c r="I44" s="83" t="n"/>
      <c r="J44" s="83" t="n"/>
      <c r="K44" s="83" t="n"/>
      <c r="L44" s="83" t="n"/>
      <c r="M44" s="83" t="n"/>
      <c r="N44" s="83" t="n"/>
      <c r="O44" s="83" t="n"/>
      <c r="P44" s="83" t="n"/>
      <c r="Q44" s="84" t="n"/>
    </row>
    <row r="45">
      <c r="A45" s="83" t="n"/>
      <c r="B45" s="83" t="n"/>
      <c r="C45" s="83" t="n"/>
      <c r="D45" s="83" t="n"/>
      <c r="E45" s="83" t="n"/>
      <c r="F45" s="83" t="n"/>
      <c r="G45" s="83" t="n"/>
      <c r="H45" s="83" t="n"/>
      <c r="I45" s="83" t="n"/>
      <c r="J45" s="83" t="n"/>
      <c r="K45" s="83" t="n"/>
      <c r="L45" s="83" t="n"/>
      <c r="M45" s="83" t="n"/>
      <c r="N45" s="83" t="n"/>
      <c r="O45" s="83" t="n"/>
      <c r="P45" s="83" t="n"/>
      <c r="Q45" s="84" t="n"/>
    </row>
    <row r="46">
      <c r="A46" s="83" t="n"/>
      <c r="B46" s="83" t="n"/>
      <c r="C46" s="83" t="n"/>
      <c r="D46" s="83" t="n"/>
      <c r="E46" s="83" t="n"/>
      <c r="F46" s="83" t="n"/>
      <c r="G46" s="83" t="n"/>
      <c r="H46" s="83" t="n"/>
      <c r="I46" s="83" t="n"/>
      <c r="J46" s="83" t="n"/>
      <c r="K46" s="83" t="n"/>
      <c r="L46" s="83" t="n"/>
      <c r="M46" s="83" t="n"/>
      <c r="N46" s="83" t="n"/>
      <c r="O46" s="83" t="n"/>
      <c r="P46" s="83" t="n"/>
      <c r="Q46" s="84" t="n"/>
    </row>
    <row r="47">
      <c r="A47" s="83" t="n"/>
      <c r="B47" s="83" t="n"/>
      <c r="C47" s="83" t="n"/>
      <c r="D47" s="83" t="n"/>
      <c r="E47" s="83" t="n"/>
      <c r="F47" s="83" t="n"/>
      <c r="G47" s="83" t="n"/>
      <c r="H47" s="83" t="n"/>
      <c r="I47" s="83" t="n"/>
      <c r="J47" s="83" t="n"/>
      <c r="K47" s="83" t="n"/>
      <c r="L47" s="83" t="n"/>
      <c r="M47" s="83" t="n"/>
      <c r="N47" s="83" t="n"/>
      <c r="O47" s="83" t="n"/>
      <c r="P47" s="83" t="n"/>
      <c r="Q47" s="84" t="n"/>
    </row>
    <row r="48">
      <c r="A48" s="83" t="n"/>
      <c r="B48" s="83" t="n"/>
      <c r="C48" s="83" t="n"/>
      <c r="D48" s="83" t="n"/>
      <c r="E48" s="83" t="n"/>
      <c r="F48" s="83" t="n"/>
      <c r="G48" s="83" t="n"/>
      <c r="H48" s="83" t="n"/>
      <c r="I48" s="83" t="n"/>
      <c r="J48" s="83" t="n"/>
      <c r="K48" s="83" t="n"/>
      <c r="L48" s="83" t="n"/>
      <c r="M48" s="83" t="n"/>
      <c r="N48" s="83" t="n"/>
      <c r="O48" s="83" t="n"/>
      <c r="P48" s="83" t="n"/>
      <c r="Q48" s="84" t="n"/>
    </row>
    <row r="49">
      <c r="A49" s="83" t="n"/>
      <c r="B49" s="83" t="n"/>
      <c r="C49" s="83" t="n"/>
      <c r="D49" s="83" t="n"/>
      <c r="E49" s="83" t="n"/>
      <c r="F49" s="83" t="n"/>
      <c r="G49" s="83" t="n"/>
      <c r="H49" s="83" t="n"/>
      <c r="I49" s="83" t="n"/>
      <c r="J49" s="83" t="n"/>
      <c r="K49" s="83" t="n"/>
      <c r="L49" s="83" t="n"/>
      <c r="M49" s="83" t="n"/>
      <c r="N49" s="83" t="n"/>
      <c r="O49" s="83" t="n"/>
      <c r="P49" s="83" t="n"/>
      <c r="Q49" s="84" t="n"/>
    </row>
    <row r="50">
      <c r="A50" s="83" t="n"/>
      <c r="B50" s="83" t="n"/>
      <c r="C50" s="83" t="n"/>
      <c r="D50" s="83" t="n"/>
      <c r="E50" s="83" t="n"/>
      <c r="F50" s="83" t="n"/>
      <c r="G50" s="83" t="n"/>
      <c r="H50" s="83" t="n"/>
      <c r="I50" s="83" t="n"/>
      <c r="J50" s="83" t="n"/>
      <c r="K50" s="83" t="n"/>
      <c r="L50" s="83" t="n"/>
      <c r="M50" s="83" t="n"/>
      <c r="N50" s="83" t="n"/>
      <c r="O50" s="83" t="n"/>
      <c r="P50" s="83" t="n"/>
      <c r="Q50" s="84" t="n"/>
    </row>
    <row r="51">
      <c r="A51" s="83" t="n"/>
      <c r="B51" s="83" t="n"/>
      <c r="C51" s="83" t="n"/>
      <c r="D51" s="83" t="n"/>
      <c r="E51" s="83" t="n"/>
      <c r="F51" s="83" t="n"/>
      <c r="G51" s="83" t="n"/>
      <c r="H51" s="83" t="n"/>
      <c r="I51" s="83" t="n"/>
      <c r="J51" s="83" t="n"/>
      <c r="K51" s="83" t="n"/>
      <c r="L51" s="83" t="n"/>
      <c r="M51" s="83" t="n"/>
      <c r="N51" s="83" t="n"/>
      <c r="O51" s="83" t="n"/>
      <c r="P51" s="83" t="n"/>
      <c r="Q51" s="84" t="n"/>
    </row>
    <row r="52">
      <c r="A52" s="83" t="n"/>
      <c r="B52" s="83" t="n"/>
      <c r="C52" s="83" t="n"/>
      <c r="D52" s="83" t="n"/>
      <c r="E52" s="83" t="n"/>
      <c r="F52" s="83" t="n"/>
      <c r="G52" s="83" t="n"/>
      <c r="H52" s="83" t="n"/>
      <c r="I52" s="83" t="n"/>
      <c r="J52" s="83" t="n"/>
      <c r="K52" s="83" t="n"/>
      <c r="L52" s="83" t="n"/>
      <c r="M52" s="83" t="n"/>
      <c r="N52" s="83" t="n"/>
      <c r="O52" s="83" t="n"/>
      <c r="P52" s="83" t="n"/>
      <c r="Q52" s="84" t="n"/>
    </row>
    <row r="53">
      <c r="A53" s="83" t="n"/>
      <c r="B53" s="83" t="n"/>
      <c r="C53" s="83" t="n"/>
      <c r="D53" s="83" t="n"/>
      <c r="E53" s="83" t="n"/>
      <c r="F53" s="83" t="n"/>
      <c r="G53" s="83" t="n"/>
      <c r="H53" s="83" t="n"/>
      <c r="I53" s="83" t="n"/>
      <c r="J53" s="83" t="n"/>
      <c r="K53" s="83" t="n"/>
      <c r="L53" s="83" t="n"/>
      <c r="M53" s="83" t="n"/>
      <c r="N53" s="83" t="n"/>
      <c r="O53" s="83" t="n"/>
      <c r="P53" s="83" t="n"/>
      <c r="Q53" s="84" t="n"/>
    </row>
    <row r="54">
      <c r="A54" s="83" t="n"/>
      <c r="B54" s="83" t="n"/>
      <c r="C54" s="83" t="n"/>
      <c r="D54" s="83" t="n"/>
      <c r="E54" s="83" t="n"/>
      <c r="F54" s="83" t="n"/>
      <c r="G54" s="83" t="n"/>
      <c r="H54" s="83" t="n"/>
      <c r="I54" s="83" t="n"/>
      <c r="J54" s="83" t="n"/>
      <c r="K54" s="83" t="n"/>
      <c r="L54" s="83" t="n"/>
      <c r="M54" s="83" t="n"/>
      <c r="N54" s="83" t="n"/>
      <c r="O54" s="83" t="n"/>
      <c r="P54" s="83" t="n"/>
      <c r="Q54" s="84" t="n"/>
    </row>
    <row r="55">
      <c r="A55" s="83" t="n"/>
      <c r="B55" s="83" t="n"/>
      <c r="C55" s="83" t="n"/>
      <c r="D55" s="83" t="n"/>
      <c r="E55" s="83" t="n"/>
      <c r="F55" s="83" t="n"/>
      <c r="G55" s="83" t="n"/>
      <c r="H55" s="83" t="n"/>
      <c r="I55" s="83" t="n"/>
      <c r="J55" s="83" t="n"/>
      <c r="K55" s="83" t="n"/>
      <c r="L55" s="83" t="n"/>
      <c r="M55" s="83" t="n"/>
      <c r="N55" s="83" t="n"/>
      <c r="O55" s="83" t="n"/>
      <c r="P55" s="83" t="n"/>
      <c r="Q55" s="84" t="n"/>
    </row>
    <row r="56">
      <c r="A56" s="83" t="n"/>
      <c r="B56" s="83" t="n"/>
      <c r="C56" s="83" t="n"/>
      <c r="D56" s="83" t="n"/>
      <c r="E56" s="83" t="n"/>
      <c r="F56" s="83" t="n"/>
      <c r="G56" s="83" t="n"/>
      <c r="H56" s="83" t="n"/>
      <c r="I56" s="83" t="n"/>
      <c r="J56" s="83" t="n"/>
      <c r="K56" s="83" t="n"/>
      <c r="L56" s="83" t="n"/>
      <c r="M56" s="83" t="n"/>
      <c r="N56" s="83" t="n"/>
      <c r="O56" s="83" t="n"/>
      <c r="P56" s="83" t="n"/>
      <c r="Q56" s="84" t="n"/>
    </row>
    <row r="57">
      <c r="A57" s="83" t="n"/>
      <c r="B57" s="83" t="n"/>
      <c r="C57" s="83" t="n"/>
      <c r="D57" s="83" t="n"/>
      <c r="E57" s="83" t="n"/>
      <c r="F57" s="83" t="n"/>
      <c r="G57" s="83" t="n"/>
      <c r="H57" s="83" t="n"/>
      <c r="I57" s="83" t="n"/>
      <c r="J57" s="83" t="n"/>
      <c r="K57" s="83" t="n"/>
      <c r="L57" s="83" t="n"/>
      <c r="M57" s="83" t="n"/>
      <c r="N57" s="83" t="n"/>
      <c r="O57" s="83" t="n"/>
      <c r="P57" s="83" t="n"/>
      <c r="Q57" s="84" t="n"/>
    </row>
  </sheetData>
  <autoFilter ref="A4:Q61"/>
  <mergeCells count="5">
    <mergeCell ref="A3:Q3"/>
    <mergeCell ref="T1:U1"/>
    <mergeCell ref="A2:Q2"/>
    <mergeCell ref="T8:U8"/>
    <mergeCell ref="A1:Q1"/>
  </mergeCells>
  <dataValidations count="2">
    <dataValidation sqref="C5:C20 C21" showDropDown="0" showInputMessage="0" showErrorMessage="0" allowBlank="1" type="list">
      <formula1>='فهرست‌ها'!$B$9:$B$11</formula1>
    </dataValidation>
    <dataValidation sqref="L5:L20 L21"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2" t="inlineStr">
        <is>
          <t>تست‌های آزمایشگاهی (پایه، اسیلوسکوپ و زمان‌بندی دقیق — جدا از تست عملی)</t>
        </is>
      </c>
      <c r="B1" s="54" t="n"/>
      <c r="C1" s="54" t="n"/>
      <c r="D1" s="54" t="n"/>
      <c r="E1" s="54" t="n"/>
      <c r="F1" s="54" t="n"/>
      <c r="G1" s="54" t="n"/>
      <c r="H1" s="54" t="n"/>
      <c r="I1" s="54" t="n"/>
      <c r="J1" s="54" t="n"/>
      <c r="K1" s="54" t="n"/>
      <c r="L1" s="54" t="n"/>
      <c r="M1" s="54" t="n"/>
      <c r="N1" s="54" t="n"/>
      <c r="O1" s="54" t="n"/>
      <c r="P1" s="54" t="n"/>
      <c r="Q1" s="54" t="n"/>
    </row>
    <row r="2" ht="42" customHeight="1">
      <c r="A2" s="70"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4" t="n"/>
      <c r="C2" s="54" t="n"/>
      <c r="D2" s="54" t="n"/>
      <c r="E2" s="54" t="n"/>
      <c r="F2" s="54" t="n"/>
      <c r="G2" s="54" t="n"/>
      <c r="H2" s="54" t="n"/>
      <c r="I2" s="54" t="n"/>
      <c r="J2" s="54" t="n"/>
      <c r="K2" s="54" t="n"/>
      <c r="L2" s="54" t="n"/>
      <c r="M2" s="54" t="n"/>
      <c r="N2" s="54" t="n"/>
      <c r="O2" s="54" t="n"/>
      <c r="P2" s="54" t="n"/>
      <c r="Q2" s="54" t="n"/>
    </row>
    <row r="3">
      <c r="A3" s="54" t="n"/>
      <c r="B3" s="54" t="n"/>
      <c r="C3" s="54" t="n"/>
      <c r="D3" s="54" t="n"/>
      <c r="E3" s="54" t="n"/>
      <c r="F3" s="54" t="n"/>
      <c r="G3" s="54" t="n"/>
      <c r="H3" s="54" t="n"/>
      <c r="I3" s="54" t="n"/>
      <c r="J3" s="54" t="n"/>
      <c r="K3" s="54" t="n"/>
      <c r="L3" s="54" t="n"/>
      <c r="M3" s="54" t="n"/>
      <c r="N3" s="54" t="n"/>
      <c r="O3" s="54" t="n"/>
      <c r="P3" s="54" t="n"/>
      <c r="Q3" s="54" t="n"/>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 شرایط</t>
        </is>
      </c>
      <c r="G4" s="86" t="inlineStr">
        <is>
          <t>مدت مشاهده</t>
        </is>
      </c>
      <c r="H4" s="86" t="inlineStr">
        <is>
          <t>رفتار مورد انتظار</t>
        </is>
      </c>
      <c r="I4" s="86" t="inlineStr">
        <is>
          <t>می‌ماند یا پاک می‌شود</t>
        </is>
      </c>
      <c r="J4" s="86" t="inlineStr">
        <is>
          <t>معیار قبولی</t>
        </is>
      </c>
      <c r="K4" s="86" t="inlineStr">
        <is>
          <t>نتیجهٔ واقعی / اندازه‌گیری</t>
        </is>
      </c>
      <c r="L4" s="86" t="inlineStr">
        <is>
          <t>وضعیت</t>
        </is>
      </c>
      <c r="M4" s="86" t="inlineStr">
        <is>
          <t>شرح ایراد / تفاوت</t>
        </is>
      </c>
      <c r="N4" s="86" t="inlineStr">
        <is>
          <t>مدرک تست</t>
        </is>
      </c>
      <c r="O4" s="86" t="inlineStr">
        <is>
          <t>نسخهٔ برنامه</t>
        </is>
      </c>
      <c r="P4" s="86" t="inlineStr">
        <is>
          <t>نام تست‌کننده</t>
        </is>
      </c>
      <c r="Q4" s="86" t="inlineStr">
        <is>
          <t>تاریخ</t>
        </is>
      </c>
    </row>
    <row r="5" ht="54" customHeight="1">
      <c r="A5" s="55" t="inlineStr">
        <is>
          <t>CH-002</t>
        </is>
      </c>
      <c r="B5" s="56" t="inlineStr">
        <is>
          <t>پیش‌فرض امن بوت</t>
        </is>
      </c>
      <c r="C5" s="57" t="inlineStr">
        <is>
          <t>بالا</t>
        </is>
      </c>
      <c r="D5" s="56" t="inlineStr">
        <is>
          <t>باتری و ورودی ۲۴V وصل، بوت تازه</t>
        </is>
      </c>
      <c r="E5" s="56" t="inlineStr">
        <is>
          <t>گام ۱: باتری و ورودی 24 ولت را وصل کن و برد را تازه بوت کن.
گام ۲: ولتاژ هر دو کانال باتری را چک کن که دست‌کم 12 ولت باشد (v_bat≥12V) و ورودی 24 ولت باشد.
گام ۳: از پنل، پالس PWM و وضعیت (state) هر دو کانال را نگاه کن و زمان را از لحظهٔ بوت بگیر.
گام ۴: تا 60 ثانیه نگاه کن: هر دو PWM باید تا پایان گیت 15 ثانیه‌ای ثبات اتصال صفر بمانند (15000±2000 میلی‌ثانیه).</t>
        </is>
      </c>
      <c r="F5" s="58" t="inlineStr">
        <is>
          <t>v_in=24V، هر دو v_bat≥12V</t>
        </is>
      </c>
      <c r="G5" s="58" t="inlineStr">
        <is>
          <t>60s</t>
        </is>
      </c>
      <c r="H5" s="56" t="inlineStr">
        <is>
          <t>هر دو PWM صفر تا پایان گیت ۱۵ ثانیهٔ ثبات اتصال</t>
        </is>
      </c>
      <c r="I5" s="56" t="inlineStr">
        <is>
          <t>حفظ تا شروع BULK</t>
        </is>
      </c>
      <c r="J5" s="56" t="inlineStr">
        <is>
          <t>PWM=0 تا 15000±2000ms</t>
        </is>
      </c>
      <c r="K5" s="56" t="n"/>
      <c r="L5" s="59" t="inlineStr">
        <is>
          <t>در انتظار</t>
        </is>
      </c>
      <c r="M5" s="56" t="n"/>
      <c r="N5" s="56" t="n"/>
      <c r="O5" s="58" t="inlineStr">
        <is>
          <t>(بعد از تست پر شود)</t>
        </is>
      </c>
      <c r="P5" s="58" t="n"/>
      <c r="Q5" s="60" t="inlineStr">
        <is>
          <t>2026-09-23</t>
        </is>
      </c>
    </row>
    <row r="6" ht="54" customHeight="1">
      <c r="A6" s="55" t="inlineStr">
        <is>
          <t>CH-003</t>
        </is>
      </c>
      <c r="B6" s="87" t="inlineStr">
        <is>
          <t>شروع BULK با رمپ</t>
        </is>
      </c>
      <c r="C6" s="88" t="inlineStr">
        <is>
          <t>بالا</t>
        </is>
      </c>
      <c r="D6" s="91" t="inlineStr">
        <is>
          <t>CH-002 پاس</t>
        </is>
      </c>
      <c r="E6" s="91" t="inlineStr">
        <is>
          <t>گام ۱: اول تست CH-002 را انجام بده و همان اتصال‌ها را نگه دار.
گام ۲: اسیلوسکوپ را روی گیت یک کانال بگذار.
گام ۳: بعد از تمام شدن گیت 15 ثانیه‌ای ثبات، پله‌های duty را 20 ثانیه ضبط کن.
گام ۴: duty باید با رمپ نرم از 1 درصد (10 پرمیل) شروع شود و پله‌پله بالا برود، نه اینکه یک‌باره بپرد.</t>
        </is>
      </c>
      <c r="F6" s="93" t="inlineStr">
        <is>
          <t>همان CH-002</t>
        </is>
      </c>
      <c r="G6" s="89" t="inlineStr">
        <is>
          <t>20s</t>
        </is>
      </c>
      <c r="H6" s="87" t="inlineStr">
        <is>
          <t>ورود BULK با رمپ نرم از ۱٪ (10‰)</t>
        </is>
      </c>
      <c r="I6" s="87" t="inlineStr">
        <is>
          <t>—</t>
        </is>
      </c>
      <c r="J6" s="87" t="inlineStr">
        <is>
          <t>پله‌های duty از 10‰ صعودی</t>
        </is>
      </c>
      <c r="K6" s="61" t="n"/>
      <c r="L6" s="59" t="inlineStr">
        <is>
          <t>در انتظار</t>
        </is>
      </c>
      <c r="M6" s="61" t="n"/>
      <c r="N6" s="61" t="n"/>
      <c r="O6" s="89" t="inlineStr">
        <is>
          <t>(بعد از تست پر شود)</t>
        </is>
      </c>
      <c r="P6" s="63" t="n"/>
      <c r="Q6" s="90" t="inlineStr">
        <is>
          <t>2026-09-23</t>
        </is>
      </c>
    </row>
    <row r="7" ht="54" customHeight="1">
      <c r="A7" s="55" t="inlineStr">
        <is>
          <t>CH-008</t>
        </is>
      </c>
      <c r="B7" s="56" t="inlineStr">
        <is>
          <t>خطای سخت جریان</t>
        </is>
      </c>
      <c r="C7" s="57" t="inlineStr">
        <is>
          <t>بالا</t>
        </is>
      </c>
      <c r="D7" s="56" t="inlineStr">
        <is>
          <t>در BULK</t>
        </is>
      </c>
      <c r="E7" s="56" t="inlineStr">
        <is>
          <t>گام ۱: شارژ را در حالت BULK راه بینداز.
گام ۲: بار را طوری تنظیم کن که جریان بدون فیلتر از 950 میلی‌آمپر بالاتر برود.
گام ۳: همان لحظه گیت کانال را با اسکوپ یا پنل نگاه کن (در حد 1 ثانیه).
گام ۴: PWM کانال باید فوراً صفر شود و کانال از نو شروع کند (ریست کانال).</t>
        </is>
      </c>
      <c r="F7" s="58" t="inlineStr">
        <is>
          <t>I_unfilt&gt;950mA</t>
        </is>
      </c>
      <c r="G7" s="58" t="inlineStr">
        <is>
          <t>1s</t>
        </is>
      </c>
      <c r="H7" s="56" t="inlineStr">
        <is>
          <t>ریست کانال (PWM صفر فوری و شروع دوباره)</t>
        </is>
      </c>
      <c r="I7" s="56" t="inlineStr">
        <is>
          <t>لحظه‌ای</t>
        </is>
      </c>
      <c r="J7" s="56" t="inlineStr">
        <is>
          <t>PWM=0 فوری</t>
        </is>
      </c>
      <c r="K7" s="56" t="n"/>
      <c r="L7" s="59" t="inlineStr">
        <is>
          <t>در انتظار</t>
        </is>
      </c>
      <c r="M7" s="56" t="n"/>
      <c r="N7" s="56" t="n"/>
      <c r="O7" s="58" t="inlineStr">
        <is>
          <t>(بعد از تست پر شود)</t>
        </is>
      </c>
      <c r="P7" s="58" t="n"/>
      <c r="Q7" s="60" t="inlineStr">
        <is>
          <t>2026-09-23</t>
        </is>
      </c>
    </row>
    <row r="8" ht="54" customHeight="1">
      <c r="A8" s="55" t="inlineStr">
        <is>
          <t>CH-039</t>
        </is>
      </c>
      <c r="B8" s="87" t="inlineStr">
        <is>
          <t>تعلیق شارژر هنگام ذخیرهٔ فلش</t>
        </is>
      </c>
      <c r="C8" s="88" t="inlineStr">
        <is>
          <t>بالا</t>
        </is>
      </c>
      <c r="D8" s="87" t="inlineStr">
        <is>
          <t>شارژ فعال (BULK)</t>
        </is>
      </c>
      <c r="E8" s="87" t="inlineStr">
        <is>
          <t>گام ۱: شارژ را در حالت BULK فعال کن و اسکوپ را روی گیت هر دو کانال بگذار.
گام ۲: یکی از این ذخیره‌های فلش را اتفاق بینداز: ذخیرهٔ NVM یا CalLut از پنل. یا صبر کن تا ذخیرهٔ دوره‌ای Diag خودش برسد (حدود هر 60 ثانیه).
گام ۳: لحظهٔ پاک‌کردن و نوشتن فلش را روی اسکوپ ببین. هر دو گیت PWM باید متوقف باشند و خروجی صفر باشد.
گام ۴: بلافاصله بعد از تمام‌شدن ذخیره، شارژ باید بدون پرش ادامه پیدا کند.
گام ۵: رکورد و تنظیم هم باید سالم ذخیره شده باشد. هیچ پالس PWM هنگام پاک‌کردن صفحه قبول نیست.</t>
        </is>
      </c>
      <c r="F8" s="89" t="inlineStr">
        <is>
          <t>شارژ فعال + ذخیرهٔ فلش</t>
        </is>
      </c>
      <c r="G8" s="89" t="inlineStr">
        <is>
          <t>2s</t>
        </is>
      </c>
      <c r="H8" s="87" t="inlineStr">
        <is>
          <t>دور پاک/نوشتن فلش هر دو گیت PWM متوقف و خروجی صفر شود؛ بلافاصله بعد از ذخیره شارژ بدون پرش ادامه یابد</t>
        </is>
      </c>
      <c r="I8" s="87" t="inlineStr">
        <is>
          <t>—</t>
        </is>
      </c>
      <c r="J8" s="87" t="inlineStr">
        <is>
          <t>هیچ پالس PWM حین پاک‌کردن صفحه دیده نشود و رکورد/تنظیم سالم ذخیره شود</t>
        </is>
      </c>
      <c r="K8" s="87" t="inlineStr">
        <is>
          <t>هاست 2026-10-15: هر دو گیت سبز (مسیر Diag با 2da0ed1 اضافه شد، NVM/CalLut از قبل بود)؛ تست برد: در انتظار</t>
        </is>
      </c>
      <c r="L8" s="59" t="inlineStr">
        <is>
          <t>در انتظار</t>
        </is>
      </c>
      <c r="M8" s="56" t="n"/>
      <c r="N8" s="56" t="n"/>
      <c r="O8" s="89" t="inlineStr">
        <is>
          <t>2da0ed1</t>
        </is>
      </c>
      <c r="P8" s="58" t="n"/>
      <c r="Q8" s="90" t="inlineStr">
        <is>
          <t>2026-10-15</t>
        </is>
      </c>
    </row>
    <row r="9">
      <c r="A9" s="55" t="inlineStr">
        <is>
          <t>CH-009</t>
        </is>
      </c>
      <c r="B9" s="56" t="inlineStr">
        <is>
          <t>تریپ JIT اول</t>
        </is>
      </c>
      <c r="C9" s="57" t="inlineStr">
        <is>
          <t>بالا</t>
        </is>
      </c>
      <c r="D9" s="56" t="inlineStr">
        <is>
          <t>شارژ فعال</t>
        </is>
      </c>
      <c r="E9" s="56" t="inlineStr">
        <is>
          <t>گام ۱: شارژ فعال باشد و اسکوپ روی گیت کانال باشد.
گام ۲: ورودی JIT همان کانال (PB2 یا PB6) را یک لبهٔ falling بده تا آستانهٔ LM393 (اضافه‌جریان واقعی) تریپ شود.
گام ۳: 10 ثانیه رفتار را نگاه کن: PWM همان کانال باید صفر شود.
گام ۴: بعد از 3000 میلی‌ثانیه lockout، ریتری باید با نصف duty قبلی شروع شود و وضعیت 5 (state=5) دیده شود.</t>
        </is>
      </c>
      <c r="F9" s="58" t="inlineStr">
        <is>
          <t>JIT falling (PB2/PB6)</t>
        </is>
      </c>
      <c r="G9" s="58" t="inlineStr">
        <is>
          <t>10s</t>
        </is>
      </c>
      <c r="H9" s="56" t="inlineStr">
        <is>
          <t>PWM همان کانال صفر؛ بعد از lockout 3000ms ریتری با نصف duty</t>
        </is>
      </c>
      <c r="I9" s="56" t="inlineStr">
        <is>
          <t>retry خودکار</t>
        </is>
      </c>
      <c r="J9" s="56" t="inlineStr">
        <is>
          <t>state=5 → ریتری 50٪ duty قبل</t>
        </is>
      </c>
      <c r="K9" s="61" t="n"/>
      <c r="L9" s="59" t="inlineStr">
        <is>
          <t>در انتظار</t>
        </is>
      </c>
      <c r="M9" s="61" t="n"/>
      <c r="N9" s="61" t="n"/>
      <c r="O9" s="58" t="inlineStr">
        <is>
          <t>(بعد از تست پر شود)</t>
        </is>
      </c>
      <c r="P9" s="63" t="n"/>
      <c r="Q9" s="60">
        <f>IF(OR(L9="",L9="در انتظار"),"",IF(Q9="",TODAY(),Q9))</f>
        <v/>
      </c>
    </row>
    <row r="10">
      <c r="A10" s="55" t="inlineStr">
        <is>
          <t>CH-010</t>
        </is>
      </c>
      <c r="B10" s="87" t="inlineStr">
        <is>
          <t>ریتری دوم</t>
        </is>
      </c>
      <c r="C10" s="89" t="inlineStr">
        <is>
          <t>متوسط</t>
        </is>
      </c>
      <c r="D10" s="87" t="inlineStr">
        <is>
          <t>تریپ دوم همان کانال</t>
        </is>
      </c>
      <c r="E10" s="91" t="inlineStr">
        <is>
          <t>گام ۱: تست CH-009 را انجام بده تا یک تریپ ثبت شده باشد و کانال در ریتری باشد.
گام ۲: در همان ریتری، JIT را دوباره تریپ کن.
گام ۳: 10 ثانیه duty را نگاه کن.
گام ۴: ریتری دوم نباید بیشتر از 10 درصد (100 پرمیل) duty داشته باشد.</t>
        </is>
      </c>
      <c r="F10" s="89" t="inlineStr">
        <is>
          <t>—</t>
        </is>
      </c>
      <c r="G10" s="89" t="inlineStr">
        <is>
          <t>10s</t>
        </is>
      </c>
      <c r="H10" s="87" t="inlineStr">
        <is>
          <t>ریتری دوم حداکثر 10٪ (100‰)</t>
        </is>
      </c>
      <c r="I10" s="87" t="inlineStr">
        <is>
          <t>—</t>
        </is>
      </c>
      <c r="J10" s="87" t="inlineStr">
        <is>
          <t>duty≤100‰</t>
        </is>
      </c>
      <c r="K10" s="56" t="n"/>
      <c r="L10" s="59" t="inlineStr">
        <is>
          <t>در انتظار</t>
        </is>
      </c>
      <c r="M10" s="56" t="n"/>
      <c r="N10" s="56" t="n"/>
      <c r="O10" s="89" t="inlineStr">
        <is>
          <t>(بعد از تست پر شود)</t>
        </is>
      </c>
      <c r="P10" s="58" t="n"/>
      <c r="Q10" s="90">
        <f>IF(OR(L10="",L10="در انتظار"),"",IF(Q10="",TODAY(),Q10))</f>
        <v/>
      </c>
    </row>
    <row r="11">
      <c r="A11" s="55" t="inlineStr">
        <is>
          <t>CH-011</t>
        </is>
      </c>
      <c r="B11" s="56" t="inlineStr">
        <is>
          <t>تریپ سوم FINAL</t>
        </is>
      </c>
      <c r="C11" s="57" t="inlineStr">
        <is>
          <t>بالا</t>
        </is>
      </c>
      <c r="D11" s="56" t="inlineStr">
        <is>
          <t>دو تریپ ثبت‌شده</t>
        </is>
      </c>
      <c r="E11" s="65" t="inlineStr">
        <is>
          <t>گام ۱: دو تریپ قبلی همان کانال (CH-009 و CH-010) ثبت شده باشد.
گام ۲: JIT را برای بار سوم تریپ کن.
گام ۳: وضعیت و رله را چک کن: باید FINAL_FAULT باشد (state=7)، هر دو PWM صفر و رله باز.
گام ۴: صبر کن و دست نزن؛ بدون ریبوت نباید برگردد. فقط ریبوت برد آن را پاک می‌کند.</t>
        </is>
      </c>
      <c r="F11" s="58" t="inlineStr">
        <is>
          <t>—</t>
        </is>
      </c>
      <c r="G11" s="58" t="inlineStr">
        <is>
          <t>—</t>
        </is>
      </c>
      <c r="H11" s="56" t="inlineStr">
        <is>
          <t>FINAL_FAULT: هر دو PWM صفر + رله باز؛ فقط ریبوت پاک می‌کند</t>
        </is>
      </c>
      <c r="I11" s="56" t="inlineStr">
        <is>
          <t>latch دائمی تا ریبوت</t>
        </is>
      </c>
      <c r="J11" s="56" t="inlineStr">
        <is>
          <t>state=7؛ رله باز؛ بدون ریبوت برنمی‌گردد</t>
        </is>
      </c>
      <c r="K11" s="61" t="n"/>
      <c r="L11" s="59" t="inlineStr">
        <is>
          <t>در انتظار</t>
        </is>
      </c>
      <c r="M11" s="61" t="n"/>
      <c r="N11" s="61" t="n"/>
      <c r="O11" s="58" t="inlineStr">
        <is>
          <t>(بعد از تست پر شود)</t>
        </is>
      </c>
      <c r="P11" s="63" t="n"/>
      <c r="Q11" s="60">
        <f>IF(OR(L11="",L11="در انتظار"),"",IF(Q11="",TODAY(),Q11))</f>
        <v/>
      </c>
    </row>
    <row r="12">
      <c r="A12" s="55" t="inlineStr">
        <is>
          <t>CH-015</t>
        </is>
      </c>
      <c r="B12" s="87" t="inlineStr">
        <is>
          <t>مود دستی: JIT و re-arm</t>
        </is>
      </c>
      <c r="C12" s="88" t="inlineStr">
        <is>
          <t>بالا</t>
        </is>
      </c>
      <c r="D12" s="87" t="inlineStr">
        <is>
          <t>در مود دستی</t>
        </is>
      </c>
      <c r="E12" s="91" t="inlineStr">
        <is>
          <t>گام ۱: در مود دستی (CH-013) JIT را تریپ کن تا کانال پارک شود.
گام ۲: 15 ثانیه نگاه کن: duty صفر و وضعیت 5 (state=5) می‌ماند و ریتری خودکار نباید اتفاق بیفتد.
گام ۳: از پنل همان duty را دوباره برای کانال بفرست؛ کانال باید دوباره مسلح شود و درایو برگردد.
گام ۴: این چرخه را تا تریپ سوم ادامه بده؛ تریپ سوم باید FINAL_FAULT بدهد.</t>
        </is>
      </c>
      <c r="F12" s="89" t="inlineStr">
        <is>
          <t>JIT trip در مود دستی</t>
        </is>
      </c>
      <c r="G12" s="89" t="inlineStr">
        <is>
          <t>15s</t>
        </is>
      </c>
      <c r="H12" s="87" t="inlineStr">
        <is>
          <t>پارک با duty صفر و state=5 بدون ریتری خودکار؛ ارسال مجدد duty کانال را مسلح می‌کند؛ سومین تریپ FINAL_FAULT</t>
        </is>
      </c>
      <c r="I12" s="87" t="inlineStr">
        <is>
          <t>پارک تا re-arm انسانی</t>
        </is>
      </c>
      <c r="J12" s="87" t="inlineStr">
        <is>
          <t>state=5 → بعد از ارسال duty، درایو برگردد</t>
        </is>
      </c>
      <c r="K12" s="61" t="n"/>
      <c r="L12" s="59" t="inlineStr">
        <is>
          <t>در انتظار</t>
        </is>
      </c>
      <c r="M12" s="61" t="n"/>
      <c r="N12" s="61" t="n"/>
      <c r="O12" s="89" t="inlineStr">
        <is>
          <t>(بعد از تست پر شود)</t>
        </is>
      </c>
      <c r="P12" s="63" t="n"/>
      <c r="Q12" s="90">
        <f>IF(OR(L12="",L12="در انتظار"),"",IF(Q12="",TODAY(),Q12))</f>
        <v/>
      </c>
    </row>
    <row r="13">
      <c r="A13" s="54" t="n"/>
      <c r="B13" s="54" t="n"/>
      <c r="C13" s="54" t="n"/>
      <c r="D13" s="54" t="n"/>
      <c r="E13" s="54" t="n"/>
      <c r="F13" s="54" t="n"/>
      <c r="G13" s="54" t="n"/>
      <c r="H13" s="54" t="n"/>
      <c r="I13" s="54" t="n"/>
      <c r="J13" s="54" t="n"/>
      <c r="K13" s="54" t="n"/>
      <c r="L13" s="54" t="n"/>
      <c r="M13" s="54" t="n"/>
      <c r="N13" s="54" t="n"/>
      <c r="O13" s="54" t="n"/>
      <c r="P13" s="54" t="n"/>
      <c r="Q13" s="68">
        <f>IF(OR(L13="",L13="در انتظار"),"",IF(Q13="",TODAY(),Q13))</f>
        <v/>
      </c>
    </row>
    <row r="14">
      <c r="A14" s="54" t="n"/>
      <c r="B14" s="54" t="n"/>
      <c r="C14" s="54" t="n"/>
      <c r="D14" s="54" t="n"/>
      <c r="E14" s="54" t="n"/>
      <c r="F14" s="54" t="n"/>
      <c r="G14" s="54" t="n"/>
      <c r="H14" s="54" t="n"/>
      <c r="I14" s="54" t="n"/>
      <c r="J14" s="54" t="n"/>
      <c r="K14" s="54" t="n"/>
      <c r="L14" s="54" t="n"/>
      <c r="M14" s="54" t="n"/>
      <c r="N14" s="54" t="n"/>
      <c r="O14" s="54" t="n"/>
      <c r="P14" s="54" t="n"/>
      <c r="Q14" s="68">
        <f>IF(OR(L14="",L14="در انتظار"),"",IF(Q14="",TODAY(),Q14))</f>
        <v/>
      </c>
    </row>
    <row r="15">
      <c r="A15" s="54" t="n"/>
      <c r="B15" s="54" t="n"/>
      <c r="C15" s="54" t="n"/>
      <c r="D15" s="54" t="n"/>
      <c r="E15" s="54" t="n"/>
      <c r="F15" s="54" t="n"/>
      <c r="G15" s="54" t="n"/>
      <c r="H15" s="54" t="n"/>
      <c r="I15" s="54" t="n"/>
      <c r="J15" s="54" t="n"/>
      <c r="K15" s="54" t="n"/>
      <c r="L15" s="54" t="n"/>
      <c r="M15" s="54" t="n"/>
      <c r="N15" s="54" t="n"/>
      <c r="O15" s="54" t="n"/>
      <c r="P15" s="54" t="n"/>
      <c r="Q15" s="68">
        <f>IF(OR(L15="",L15="در انتظار"),"",IF(Q15="",TODAY(),Q15))</f>
        <v/>
      </c>
    </row>
    <row r="16">
      <c r="A16" s="54" t="n"/>
      <c r="B16" s="54" t="n"/>
      <c r="C16" s="54" t="n"/>
      <c r="D16" s="54" t="n"/>
      <c r="E16" s="54" t="n"/>
      <c r="F16" s="54" t="n"/>
      <c r="G16" s="54" t="n"/>
      <c r="H16" s="54" t="n"/>
      <c r="I16" s="54" t="n"/>
      <c r="J16" s="54" t="n"/>
      <c r="K16" s="54" t="n"/>
      <c r="L16" s="54" t="n"/>
      <c r="M16" s="54" t="n"/>
      <c r="N16" s="54" t="n"/>
      <c r="O16" s="54" t="n"/>
      <c r="P16" s="54" t="n"/>
      <c r="Q16" s="68">
        <f>IF(OR(L16="",L16="در انتظار"),"",IF(Q16="",TODAY(),Q16))</f>
        <v/>
      </c>
    </row>
    <row r="17">
      <c r="A17" s="54" t="n"/>
      <c r="B17" s="54" t="n"/>
      <c r="C17" s="54" t="n"/>
      <c r="D17" s="54" t="n"/>
      <c r="E17" s="54" t="n"/>
      <c r="F17" s="54" t="n"/>
      <c r="G17" s="54" t="n"/>
      <c r="H17" s="54" t="n"/>
      <c r="I17" s="54" t="n"/>
      <c r="J17" s="54" t="n"/>
      <c r="K17" s="54" t="n"/>
      <c r="L17" s="54" t="n"/>
      <c r="M17" s="54" t="n"/>
      <c r="N17" s="54" t="n"/>
      <c r="O17" s="54" t="n"/>
      <c r="P17" s="54" t="n"/>
      <c r="Q17" s="68">
        <f>IF(OR(L17="",L17="در انتظار"),"",IF(Q17="",TODAY(),Q17))</f>
        <v/>
      </c>
    </row>
    <row r="18">
      <c r="A18" s="54" t="n"/>
      <c r="B18" s="54" t="n"/>
      <c r="C18" s="54" t="n"/>
      <c r="D18" s="54" t="n"/>
      <c r="E18" s="54" t="n"/>
      <c r="F18" s="54" t="n"/>
      <c r="G18" s="54" t="n"/>
      <c r="H18" s="54" t="n"/>
      <c r="I18" s="54" t="n"/>
      <c r="J18" s="54" t="n"/>
      <c r="K18" s="54" t="n"/>
      <c r="L18" s="54" t="n"/>
      <c r="M18" s="54" t="n"/>
      <c r="N18" s="54" t="n"/>
      <c r="O18" s="54" t="n"/>
      <c r="P18" s="54" t="n"/>
      <c r="Q18" s="68">
        <f>IF(OR(L18="",L18="در انتظار"),"",IF(Q18="",TODAY(),Q18))</f>
        <v/>
      </c>
    </row>
    <row r="19">
      <c r="A19" s="54" t="n"/>
      <c r="B19" s="54" t="n"/>
      <c r="C19" s="54" t="n"/>
      <c r="D19" s="54" t="n"/>
      <c r="E19" s="54" t="n"/>
      <c r="F19" s="54" t="n"/>
      <c r="G19" s="54" t="n"/>
      <c r="H19" s="54" t="n"/>
      <c r="I19" s="54" t="n"/>
      <c r="J19" s="54" t="n"/>
      <c r="K19" s="54" t="n"/>
      <c r="L19" s="54" t="n"/>
      <c r="M19" s="54" t="n"/>
      <c r="N19" s="54" t="n"/>
      <c r="O19" s="54" t="n"/>
      <c r="P19" s="54" t="n"/>
      <c r="Q19" s="68">
        <f>IF(OR(L19="",L19="در انتظار"),"",IF(Q19="",TODAY(),Q19))</f>
        <v/>
      </c>
    </row>
    <row r="20">
      <c r="A20" s="54" t="n"/>
      <c r="B20" s="54" t="n"/>
      <c r="C20" s="54" t="n"/>
      <c r="D20" s="54" t="n"/>
      <c r="E20" s="54" t="n"/>
      <c r="F20" s="54" t="n"/>
      <c r="G20" s="54" t="n"/>
      <c r="H20" s="54" t="n"/>
      <c r="I20" s="54" t="n"/>
      <c r="J20" s="54" t="n"/>
      <c r="K20" s="54" t="n"/>
      <c r="L20" s="54" t="n"/>
      <c r="M20" s="54" t="n"/>
      <c r="N20" s="54" t="n"/>
      <c r="O20" s="54" t="n"/>
      <c r="P20" s="54" t="n"/>
      <c r="Q20" s="68">
        <f>IF(OR(L20="",L20="در انتظار"),"",IF(Q20="",TODAY(),Q20))</f>
        <v/>
      </c>
    </row>
    <row r="21">
      <c r="A21" s="54" t="n"/>
      <c r="B21" s="54" t="n"/>
      <c r="C21" s="54" t="n"/>
      <c r="D21" s="54" t="n"/>
      <c r="E21" s="54" t="n"/>
      <c r="F21" s="54" t="n"/>
      <c r="G21" s="54" t="n"/>
      <c r="H21" s="54" t="n"/>
      <c r="I21" s="54" t="n"/>
      <c r="J21" s="54" t="n"/>
      <c r="K21" s="54" t="n"/>
      <c r="L21" s="54" t="n"/>
      <c r="M21" s="54" t="n"/>
      <c r="N21" s="54" t="n"/>
      <c r="O21" s="54" t="n"/>
      <c r="P21" s="54" t="n"/>
      <c r="Q21" s="68">
        <f>IF(OR(L21="",L21="در انتظار"),"",IF(Q21="",TODAY(),Q21))</f>
        <v/>
      </c>
    </row>
    <row r="22">
      <c r="A22" s="54" t="n"/>
      <c r="B22" s="54" t="n"/>
      <c r="C22" s="54" t="n"/>
      <c r="D22" s="54" t="n"/>
      <c r="E22" s="54" t="n"/>
      <c r="F22" s="54" t="n"/>
      <c r="G22" s="54" t="n"/>
      <c r="H22" s="54" t="n"/>
      <c r="I22" s="54" t="n"/>
      <c r="J22" s="54" t="n"/>
      <c r="K22" s="54" t="n"/>
      <c r="L22" s="54" t="n"/>
      <c r="M22" s="54" t="n"/>
      <c r="N22" s="54" t="n"/>
      <c r="O22" s="54" t="n"/>
      <c r="P22" s="54" t="n"/>
      <c r="Q22" s="68">
        <f>IF(OR(L22="",L22="در انتظار"),"",IF(Q22="",TODAY(),Q22))</f>
        <v/>
      </c>
    </row>
    <row r="23">
      <c r="A23" s="54" t="n"/>
      <c r="B23" s="54" t="n"/>
      <c r="C23" s="54" t="n"/>
      <c r="D23" s="54" t="n"/>
      <c r="E23" s="54" t="n"/>
      <c r="F23" s="54" t="n"/>
      <c r="G23" s="54" t="n"/>
      <c r="H23" s="54" t="n"/>
      <c r="I23" s="54" t="n"/>
      <c r="J23" s="54" t="n"/>
      <c r="K23" s="54" t="n"/>
      <c r="L23" s="54" t="n"/>
      <c r="M23" s="54" t="n"/>
      <c r="N23" s="54" t="n"/>
      <c r="O23" s="54" t="n"/>
      <c r="P23" s="54" t="n"/>
      <c r="Q23" s="68">
        <f>IF(OR(L23="",L23="در انتظار"),"",IF(Q23="",TODAY(),Q23))</f>
        <v/>
      </c>
    </row>
    <row r="24">
      <c r="A24" s="54" t="n"/>
      <c r="B24" s="54" t="n"/>
      <c r="C24" s="54" t="n"/>
      <c r="D24" s="54" t="n"/>
      <c r="E24" s="54" t="n"/>
      <c r="F24" s="54" t="n"/>
      <c r="G24" s="54" t="n"/>
      <c r="H24" s="54" t="n"/>
      <c r="I24" s="54" t="n"/>
      <c r="J24" s="54" t="n"/>
      <c r="K24" s="54" t="n"/>
      <c r="L24" s="54" t="n"/>
      <c r="M24" s="54" t="n"/>
      <c r="N24" s="54" t="n"/>
      <c r="O24" s="54" t="n"/>
      <c r="P24" s="54" t="n"/>
      <c r="Q24" s="68">
        <f>IF(OR(L24="",L24="در انتظار"),"",IF(Q24="",TODAY(),Q24))</f>
        <v/>
      </c>
    </row>
    <row r="25">
      <c r="A25" s="54" t="n"/>
      <c r="B25" s="54" t="n"/>
      <c r="C25" s="54" t="n"/>
      <c r="D25" s="54" t="n"/>
      <c r="E25" s="54" t="n"/>
      <c r="F25" s="54" t="n"/>
      <c r="G25" s="54" t="n"/>
      <c r="H25" s="54" t="n"/>
      <c r="I25" s="54" t="n"/>
      <c r="J25" s="54" t="n"/>
      <c r="K25" s="54" t="n"/>
      <c r="L25" s="54" t="n"/>
      <c r="M25" s="54" t="n"/>
      <c r="N25" s="54" t="n"/>
      <c r="O25" s="54" t="n"/>
      <c r="P25" s="54" t="n"/>
      <c r="Q25" s="68">
        <f>IF(OR(L25="",L25="در انتظار"),"",IF(Q25="",TODAY(),Q25))</f>
        <v/>
      </c>
    </row>
    <row r="26">
      <c r="A26" s="54" t="n"/>
      <c r="B26" s="54" t="n"/>
      <c r="C26" s="54" t="n"/>
      <c r="D26" s="54" t="n"/>
      <c r="E26" s="54" t="n"/>
      <c r="F26" s="54" t="n"/>
      <c r="G26" s="54" t="n"/>
      <c r="H26" s="54" t="n"/>
      <c r="I26" s="54" t="n"/>
      <c r="J26" s="54" t="n"/>
      <c r="K26" s="54" t="n"/>
      <c r="L26" s="54" t="n"/>
      <c r="M26" s="54" t="n"/>
      <c r="N26" s="54" t="n"/>
      <c r="O26" s="54" t="n"/>
      <c r="P26" s="54" t="n"/>
      <c r="Q26" s="68">
        <f>IF(OR(L26="",L26="در انتظار"),"",IF(Q26="",TODAY(),Q26))</f>
        <v/>
      </c>
    </row>
    <row r="27">
      <c r="A27" s="54" t="n"/>
      <c r="B27" s="54" t="n"/>
      <c r="C27" s="54" t="n"/>
      <c r="D27" s="54" t="n"/>
      <c r="E27" s="54" t="n"/>
      <c r="F27" s="54" t="n"/>
      <c r="G27" s="54" t="n"/>
      <c r="H27" s="54" t="n"/>
      <c r="I27" s="54" t="n"/>
      <c r="J27" s="54" t="n"/>
      <c r="K27" s="54" t="n"/>
      <c r="L27" s="54" t="n"/>
      <c r="M27" s="54" t="n"/>
      <c r="N27" s="54" t="n"/>
      <c r="O27" s="54" t="n"/>
      <c r="P27" s="54" t="n"/>
      <c r="Q27" s="68">
        <f>IF(OR(L27="",L27="در انتظار"),"",IF(Q27="",TODAY(),Q27))</f>
        <v/>
      </c>
    </row>
    <row r="28">
      <c r="A28" s="54" t="n"/>
      <c r="B28" s="54" t="n"/>
      <c r="C28" s="54" t="n"/>
      <c r="D28" s="54" t="n"/>
      <c r="E28" s="54" t="n"/>
      <c r="F28" s="54" t="n"/>
      <c r="G28" s="54" t="n"/>
      <c r="H28" s="54" t="n"/>
      <c r="I28" s="54" t="n"/>
      <c r="J28" s="54" t="n"/>
      <c r="K28" s="54" t="n"/>
      <c r="L28" s="54" t="n"/>
      <c r="M28" s="54" t="n"/>
      <c r="N28" s="54" t="n"/>
      <c r="O28" s="54" t="n"/>
      <c r="P28" s="54" t="n"/>
      <c r="Q28" s="6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F6" location="'تست‌های آزمایشگاهی'!A5"/>
    <hyperlink ref="E10" location="'تست‌های آزمایشگاهی'!A9"/>
    <hyperlink ref="E11" location="'تست‌های آزمایشگاهی'!A9"/>
    <hyperlink ref="E12" location="'برنامه تست'!A9"/>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92" t="inlineStr">
        <is>
          <t>تست‌های برنامه‌نویسی و هاست (جدا از ولیدیشن عملی برد)</t>
        </is>
      </c>
      <c r="B1" s="54" t="n"/>
      <c r="C1" s="54" t="n"/>
      <c r="D1" s="54" t="n"/>
      <c r="E1" s="54" t="n"/>
      <c r="F1" s="54" t="n"/>
      <c r="G1" s="54" t="n"/>
      <c r="H1" s="54" t="n"/>
      <c r="I1" s="54" t="n"/>
      <c r="J1" s="54" t="n"/>
      <c r="K1" s="54" t="n"/>
      <c r="L1" s="54" t="n"/>
      <c r="M1" s="54" t="n"/>
      <c r="N1" s="54" t="n"/>
      <c r="O1" s="54" t="n"/>
      <c r="P1" s="54" t="n"/>
      <c r="Q1" s="54" t="n"/>
    </row>
    <row r="2" ht="42" customHeight="1">
      <c r="A2" s="54" t="n"/>
      <c r="B2" s="70"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4" t="n"/>
      <c r="D2" s="54" t="n"/>
      <c r="E2" s="54" t="n"/>
      <c r="F2" s="54" t="n"/>
      <c r="G2" s="54" t="n"/>
      <c r="H2" s="54" t="n"/>
      <c r="I2" s="54" t="n"/>
      <c r="J2" s="54" t="n"/>
      <c r="K2" s="54" t="n"/>
      <c r="L2" s="54" t="n"/>
      <c r="M2" s="54" t="n"/>
      <c r="N2" s="54" t="n"/>
      <c r="O2" s="54" t="n"/>
      <c r="P2" s="54" t="n"/>
      <c r="Q2" s="54" t="n"/>
    </row>
    <row r="3">
      <c r="A3" s="54" t="n"/>
      <c r="B3" s="54" t="n"/>
      <c r="C3" s="54" t="n"/>
      <c r="D3" s="54" t="n"/>
      <c r="E3" s="54" t="n"/>
      <c r="F3" s="54" t="n"/>
      <c r="G3" s="54" t="n"/>
      <c r="H3" s="54" t="n"/>
      <c r="I3" s="54" t="n"/>
      <c r="J3" s="54" t="n"/>
      <c r="K3" s="54" t="n"/>
      <c r="L3" s="54" t="n"/>
      <c r="M3" s="54" t="n"/>
      <c r="N3" s="54" t="n"/>
      <c r="O3" s="54" t="n"/>
      <c r="P3" s="54" t="n"/>
      <c r="Q3" s="54" t="n"/>
    </row>
    <row r="4" ht="30" customHeight="1">
      <c r="A4" s="86" t="inlineStr">
        <is>
          <t>شناسه</t>
        </is>
      </c>
      <c r="B4" s="86" t="inlineStr">
        <is>
          <t>دسته</t>
        </is>
      </c>
      <c r="C4" s="86" t="inlineStr">
        <is>
          <t>اولویت</t>
        </is>
      </c>
      <c r="D4" s="86" t="inlineStr">
        <is>
          <t>پیش‌شرط</t>
        </is>
      </c>
      <c r="E4" s="86" t="inlineStr">
        <is>
          <t>روش اجرای دقیق</t>
        </is>
      </c>
      <c r="F4" s="86" t="inlineStr">
        <is>
          <t>ورودی‌ها / شرایط</t>
        </is>
      </c>
      <c r="G4" s="86" t="inlineStr">
        <is>
          <t>مدت مشاهده</t>
        </is>
      </c>
      <c r="H4" s="86" t="inlineStr">
        <is>
          <t>رفتار مورد انتظار</t>
        </is>
      </c>
      <c r="I4" s="86" t="inlineStr">
        <is>
          <t>می‌ماند یا پاک می‌شود</t>
        </is>
      </c>
      <c r="J4" s="86" t="inlineStr">
        <is>
          <t>معیار قبولی</t>
        </is>
      </c>
      <c r="K4" s="86" t="inlineStr">
        <is>
          <t>نتیجهٔ واقعی / اندازه‌گیری</t>
        </is>
      </c>
      <c r="L4" s="86" t="inlineStr">
        <is>
          <t>وضعیت</t>
        </is>
      </c>
      <c r="M4" s="86" t="inlineStr">
        <is>
          <t>شرح ایراد / تفاوت</t>
        </is>
      </c>
      <c r="N4" s="86" t="inlineStr">
        <is>
          <t>مدرک تست</t>
        </is>
      </c>
      <c r="O4" s="86" t="inlineStr">
        <is>
          <t>نسخهٔ برنامه</t>
        </is>
      </c>
      <c r="P4" s="86" t="inlineStr">
        <is>
          <t>نام تست‌کننده</t>
        </is>
      </c>
      <c r="Q4" s="86" t="inlineStr">
        <is>
          <t>تاریخ</t>
        </is>
      </c>
    </row>
    <row r="5" ht="54" customHeight="1">
      <c r="A5" s="55" t="inlineStr">
        <is>
          <t>CH-001</t>
        </is>
      </c>
      <c r="B5" s="56" t="inlineStr">
        <is>
          <t>نگاشت سخت‌افزار</t>
        </is>
      </c>
      <c r="C5" s="57" t="inlineStr">
        <is>
          <t>بالا</t>
        </is>
      </c>
      <c r="D5" s="56" t="inlineStr">
        <is>
          <t>برد خاموش</t>
        </is>
      </c>
      <c r="E5" s="65" t="inlineStr">
        <is>
          <t>گام ۱: شماتیک برد و فایل board_pins.h را کنار کد بگذار.
گام ۲: تک‌تک این نگاشت‌ها را با کد مقایسه کن:
PA0 با TIM2_CH1 است. PA6 با TIM3_CH1 است. PA1 و PA7 برای حس جریان‌اند. PB2 و PB6 برای JIT هستند.
گام ۳: رله از نوع NC است؛ یعنی وقتی سیم‌پیچش خاموش است، وصل است. همین را هم بررسی کن.
گام ۴: هر اختلافی بین شماتیک و کد دیدی، یادداشت کن. قبولی فقط با تطابق کامل است.</t>
        </is>
      </c>
      <c r="F5" s="58" t="inlineStr">
        <is>
          <t>PA0=TIM2_CH1، PA6=TIM3_CH1، PA1/PA7 سنس، PB2/PB6 JIT، رله NC</t>
        </is>
      </c>
      <c r="G5" s="58" t="inlineStr">
        <is>
          <t>—</t>
        </is>
      </c>
      <c r="H5" s="56" t="inlineStr">
        <is>
          <t>نگاشت مطابق شماتیک؛ رله با coil خاموش وصل (NC)</t>
        </is>
      </c>
      <c r="I5" s="56" t="inlineStr">
        <is>
          <t>نگاشت ثابت</t>
        </is>
      </c>
      <c r="J5" s="56" t="inlineStr">
        <is>
          <t>PASS: تطابق کامل</t>
        </is>
      </c>
      <c r="K5" s="61" t="n"/>
      <c r="L5" s="59" t="inlineStr">
        <is>
          <t>در انتظار</t>
        </is>
      </c>
      <c r="M5" s="61" t="n"/>
      <c r="N5" s="61" t="n"/>
      <c r="O5" s="58" t="inlineStr">
        <is>
          <t>(بعد از تست پر شود)</t>
        </is>
      </c>
      <c r="P5" s="63" t="n"/>
      <c r="Q5" s="60" t="inlineStr">
        <is>
          <t>2026-09-23</t>
        </is>
      </c>
    </row>
    <row r="6" ht="54" customHeight="1">
      <c r="A6" s="55" t="inlineStr">
        <is>
          <t>CH-035</t>
        </is>
      </c>
      <c r="B6" s="87" t="inlineStr">
        <is>
          <t>snapshot zeroing</t>
        </is>
      </c>
      <c r="C6" s="88" t="inlineStr">
        <is>
          <t>بالا</t>
        </is>
      </c>
      <c r="D6" s="87" t="inlineStr">
        <is>
          <t>snapshot نامعتبر</t>
        </is>
      </c>
      <c r="E6" s="87" t="inlineStr">
        <is>
          <t>گام ۱: یک snapshot نامعتبر بساز: valid=false و هر 9 فیلد صفر (همان الگوی task_control/task_protection).
گام ۲: آن را 5 ثانیه پیوسته به Charger_Evaluate بده.
گام ۳: duty هر دو کانال را نگاه کن: باید صفر بماند و شارژر safe-idle باشد.
گام ۴: نباید هیچ تصمیمی بر اساس ولتاژ/جریان زباله گرفته شود و overcurrent کاذب هم نباید بیاید.</t>
        </is>
      </c>
      <c r="F6" s="89" t="inlineStr">
        <is>
          <t>valid=false</t>
        </is>
      </c>
      <c r="G6" s="89" t="inlineStr">
        <is>
          <t>5s</t>
        </is>
      </c>
      <c r="H6" s="87" t="inlineStr">
        <is>
          <t>شارژر باید safe-idle بماند؛ duty صفر؛ بدون تصمیم بر اساس v_in/v_bat زباله؛ مانند task_protection هر 9 فیلد صفر</t>
        </is>
      </c>
      <c r="I6" s="87" t="inlineStr">
        <is>
          <t>safe-idle</t>
        </is>
      </c>
      <c r="J6" s="87" t="inlineStr">
        <is>
          <t>duty=0 بدون overcurrent کاذب</t>
        </is>
      </c>
      <c r="K6" s="56" t="n"/>
      <c r="L6" s="67" t="inlineStr">
        <is>
          <t>نیاز به تکرار</t>
        </is>
      </c>
      <c r="M6" s="56" t="n"/>
      <c r="N6" s="56" t="n"/>
      <c r="O6" s="89" t="inlineStr">
        <is>
          <t>62f3782</t>
        </is>
      </c>
      <c r="P6" s="58" t="n"/>
      <c r="Q6" s="90" t="inlineStr">
        <is>
          <t>2026-10-12</t>
        </is>
      </c>
    </row>
    <row r="7" ht="54" customHeight="1">
      <c r="A7" s="55" t="inlineStr">
        <is>
          <t>CH-038</t>
        </is>
      </c>
      <c r="B7" s="56" t="inlineStr">
        <is>
          <t>حفظ THERMAL_REST در SafeIdle</t>
        </is>
      </c>
      <c r="C7" s="58" t="inlineStr">
        <is>
          <t>متوسط</t>
        </is>
      </c>
      <c r="D7" s="56" t="inlineStr">
        <is>
          <t>کانال در استراحت حرارتی</t>
        </is>
      </c>
      <c r="E7" s="65" t="inlineStr">
        <is>
          <t>گام ۱: یک کانال را به استراحت حرارتی ببر (مثل تست CH-036) تا در THERMAL_REST باشد.
گام ۲: هنگام استراحت، دادهٔ نامعتبر بده (valid=false).
گام ۳: 2 ثانیه وضعیت را نگاه کن. باید THERMAL_REST بماند، نه اینکه به OFF برود.
گام ۴: بعد از معتبرشدن داده، استراحت باید سر جایش ادامه پیدا کند.
گام ۵: قبولی وقتی است که SafeIdle قفل حرارتی را پاک نکرده باشد.</t>
        </is>
      </c>
      <c r="F7" s="58" t="inlineStr">
        <is>
          <t>valid=false حین rest</t>
        </is>
      </c>
      <c r="G7" s="58" t="inlineStr">
        <is>
          <t>2s</t>
        </is>
      </c>
      <c r="H7" s="56" t="inlineStr">
        <is>
          <t>THERMAL_REST حفظ نه OFF</t>
        </is>
      </c>
      <c r="I7" s="56" t="inlineStr">
        <is>
          <t>—</t>
        </is>
      </c>
      <c r="J7" s="56" t="inlineStr">
        <is>
          <t>PASS: SafeIdle لچ حرارتی را پاک نکند</t>
        </is>
      </c>
      <c r="K7" s="61" t="n"/>
      <c r="L7" s="72" t="inlineStr">
        <is>
          <t>قبول</t>
        </is>
      </c>
      <c r="M7" s="61" t="n"/>
      <c r="N7" s="56" t="inlineStr">
        <is>
          <t>کد بازبینی</t>
        </is>
      </c>
      <c r="O7" s="58" t="inlineStr">
        <is>
          <t>thermal</t>
        </is>
      </c>
      <c r="P7" s="63" t="n"/>
      <c r="Q7" s="60" t="inlineStr">
        <is>
          <t>2026-10-12</t>
        </is>
      </c>
    </row>
    <row r="8" ht="82" customHeight="1">
      <c r="A8" s="55" t="inlineStr">
        <is>
          <t>CH-044</t>
        </is>
      </c>
      <c r="B8" s="56" t="inlineStr">
        <is>
          <t>تست میزبان شمارندهٔ مکث سناریوی ۶</t>
        </is>
      </c>
      <c r="C8" s="58" t="inlineStr">
        <is>
          <t>متوسط</t>
        </is>
      </c>
      <c r="D8" s="56" t="inlineStr">
        <is>
          <t>سورس Charger و شبیه‌ساز پیش‌نمایش در دسترس است؛ برد لازم نیست.</t>
        </is>
      </c>
      <c r="E8" s="65" t="inlineStr">
        <is>
          <t>گام ۱: تست‌های میزبان Charger را اجرا کن: `python3 Firmware/Modules/Charger/Tester/host_test_charger.py`.
گام ۲: تست سناریوی ۶ شبیه‌ساز را اجرا کن: `node tools/panel_preview_server.js --self-test`.</t>
        </is>
      </c>
      <c r="F8" s="58" t="inlineStr">
        <is>
          <t>ورودی نامعتبر ۱۵۰۰۰ و ۲۹۵۰۰ میلی‌ولت؛ مکث کوتاه‌تر و بلندتر از حد تنظیم‌شده</t>
        </is>
      </c>
      <c r="G8" s="58" t="inlineStr">
        <is>
          <t>کمتر از یک ثانیه</t>
        </is>
      </c>
      <c r="H8" s="56" t="inlineStr">
        <is>
          <t>ورودی نامعتبر به INPUT_WAIT می‌رود؛ مکث کوتاه شمارنده را نگه می‌دارد و مکثِ رسیده به حد، آن را صفر می‌کند؛ بازیابی از OFF شروع می‌شود.</t>
        </is>
      </c>
      <c r="I8" s="56" t="inlineStr">
        <is>
          <t>مکث کوتاه حفظ؛ مکث بلند صفر؛ بازیابی امن</t>
        </is>
      </c>
      <c r="J8" s="56" t="inlineStr">
        <is>
          <t>همهٔ بررسی‌های میزبان و شبیه‌ساز سبز شوند؛ تست برد جداگانه در انتظار بماند.</t>
        </is>
      </c>
      <c r="K8" s="61" t="inlineStr">
        <is>
          <t>۵۲ تست میزبان Charger و تست رگرسیون شبیه‌ساز موفق؛ تست برد انجام نشده است.</t>
        </is>
      </c>
      <c r="L8" s="72" t="inlineStr">
        <is>
          <t>قبول</t>
        </is>
      </c>
      <c r="M8" s="61" t="n"/>
      <c r="N8" s="56" t="inlineStr">
        <is>
          <t>bash tools/check_firmware_syntax.sh; node tools/panel_preview_server.js --self-test</t>
        </is>
      </c>
      <c r="O8" s="58" t="n"/>
      <c r="P8" s="63" t="n"/>
      <c r="Q8" s="60">
        <f>IF(OR(L8="",L8="در انتظار"),"",IF(Q8="",TODAY(),Q8))</f>
        <v/>
      </c>
    </row>
    <row r="9">
      <c r="A9" s="54" t="n"/>
      <c r="B9" s="54" t="n"/>
      <c r="C9" s="54" t="n"/>
      <c r="D9" s="54" t="n"/>
      <c r="E9" s="54" t="n"/>
      <c r="F9" s="54" t="n"/>
      <c r="G9" s="54" t="n"/>
      <c r="H9" s="54" t="n"/>
      <c r="I9" s="54" t="n"/>
      <c r="J9" s="54" t="n"/>
      <c r="K9" s="54" t="n"/>
      <c r="L9" s="54" t="n"/>
      <c r="M9" s="54" t="n"/>
      <c r="N9" s="54" t="n"/>
      <c r="O9" s="54" t="n"/>
      <c r="P9" s="54" t="n"/>
      <c r="Q9" s="68">
        <f>IF(OR(L9="",L9="در انتظار"),"",IF(Q9="",TODAY(),Q9))</f>
        <v/>
      </c>
    </row>
    <row r="10">
      <c r="A10" s="54" t="n"/>
      <c r="B10" s="54" t="n"/>
      <c r="C10" s="54" t="n"/>
      <c r="D10" s="54" t="n"/>
      <c r="E10" s="54" t="n"/>
      <c r="F10" s="54" t="n"/>
      <c r="G10" s="54" t="n"/>
      <c r="H10" s="54" t="n"/>
      <c r="I10" s="54" t="n"/>
      <c r="J10" s="54" t="n"/>
      <c r="K10" s="54" t="n"/>
      <c r="L10" s="54" t="n"/>
      <c r="M10" s="54" t="n"/>
      <c r="N10" s="54" t="n"/>
      <c r="O10" s="54" t="n"/>
      <c r="P10" s="54" t="n"/>
      <c r="Q10" s="68">
        <f>IF(OR(L10="",L10="در انتظار"),"",IF(Q10="",TODAY(),Q10))</f>
        <v/>
      </c>
    </row>
    <row r="11">
      <c r="A11" s="54" t="n"/>
      <c r="B11" s="54" t="n"/>
      <c r="C11" s="54" t="n"/>
      <c r="D11" s="54" t="n"/>
      <c r="E11" s="54" t="n"/>
      <c r="F11" s="54" t="n"/>
      <c r="G11" s="54" t="n"/>
      <c r="H11" s="54" t="n"/>
      <c r="I11" s="54" t="n"/>
      <c r="J11" s="54" t="n"/>
      <c r="K11" s="54" t="n"/>
      <c r="L11" s="54" t="n"/>
      <c r="M11" s="54" t="n"/>
      <c r="N11" s="54" t="n"/>
      <c r="O11" s="54" t="n"/>
      <c r="P11" s="54" t="n"/>
      <c r="Q11" s="68">
        <f>IF(OR(L11="",L11="در انتظار"),"",IF(Q11="",TODAY(),Q11))</f>
        <v/>
      </c>
    </row>
    <row r="12">
      <c r="A12" s="54" t="n"/>
      <c r="B12" s="54" t="n"/>
      <c r="C12" s="54" t="n"/>
      <c r="D12" s="54" t="n"/>
      <c r="E12" s="54" t="n"/>
      <c r="F12" s="54" t="n"/>
      <c r="G12" s="54" t="n"/>
      <c r="H12" s="54" t="n"/>
      <c r="I12" s="54" t="n"/>
      <c r="J12" s="54" t="n"/>
      <c r="K12" s="54" t="n"/>
      <c r="L12" s="54" t="n"/>
      <c r="M12" s="54" t="n"/>
      <c r="N12" s="54" t="n"/>
      <c r="O12" s="54" t="n"/>
      <c r="P12" s="54" t="n"/>
      <c r="Q12" s="68">
        <f>IF(OR(L12="",L12="در انتظار"),"",IF(Q12="",TODAY(),Q12))</f>
        <v/>
      </c>
    </row>
    <row r="13">
      <c r="A13" s="54" t="n"/>
      <c r="B13" s="54" t="n"/>
      <c r="C13" s="54" t="n"/>
      <c r="D13" s="54" t="n"/>
      <c r="E13" s="54" t="n"/>
      <c r="F13" s="54" t="n"/>
      <c r="G13" s="54" t="n"/>
      <c r="H13" s="54" t="n"/>
      <c r="I13" s="54" t="n"/>
      <c r="J13" s="54" t="n"/>
      <c r="K13" s="54" t="n"/>
      <c r="L13" s="54" t="n"/>
      <c r="M13" s="54" t="n"/>
      <c r="N13" s="54" t="n"/>
      <c r="O13" s="54" t="n"/>
      <c r="P13" s="54" t="n"/>
      <c r="Q13" s="68">
        <f>IF(OR(L13="",L13="در انتظار"),"",IF(Q13="",TODAY(),Q13))</f>
        <v/>
      </c>
    </row>
    <row r="14">
      <c r="A14" s="54" t="n"/>
      <c r="B14" s="54" t="n"/>
      <c r="C14" s="54" t="n"/>
      <c r="D14" s="54" t="n"/>
      <c r="E14" s="54" t="n"/>
      <c r="F14" s="54" t="n"/>
      <c r="G14" s="54" t="n"/>
      <c r="H14" s="54" t="n"/>
      <c r="I14" s="54" t="n"/>
      <c r="J14" s="54" t="n"/>
      <c r="K14" s="54" t="n"/>
      <c r="L14" s="54" t="n"/>
      <c r="M14" s="54" t="n"/>
      <c r="N14" s="54" t="n"/>
      <c r="O14" s="54" t="n"/>
      <c r="P14" s="54" t="n"/>
      <c r="Q14" s="68">
        <f>IF(OR(L14="",L14="در انتظار"),"",IF(Q14="",TODAY(),Q14))</f>
        <v/>
      </c>
    </row>
    <row r="15">
      <c r="A15" s="54" t="n"/>
      <c r="B15" s="54" t="n"/>
      <c r="C15" s="54" t="n"/>
      <c r="D15" s="54" t="n"/>
      <c r="E15" s="54" t="n"/>
      <c r="F15" s="54" t="n"/>
      <c r="G15" s="54" t="n"/>
      <c r="H15" s="54" t="n"/>
      <c r="I15" s="54" t="n"/>
      <c r="J15" s="54" t="n"/>
      <c r="K15" s="54" t="n"/>
      <c r="L15" s="54" t="n"/>
      <c r="M15" s="54" t="n"/>
      <c r="N15" s="54" t="n"/>
      <c r="O15" s="54" t="n"/>
      <c r="P15" s="54" t="n"/>
      <c r="Q15" s="68">
        <f>IF(OR(L15="",L15="در انتظار"),"",IF(Q15="",TODAY(),Q15))</f>
        <v/>
      </c>
    </row>
    <row r="16">
      <c r="A16" s="54" t="n"/>
      <c r="B16" s="54" t="n"/>
      <c r="C16" s="54" t="n"/>
      <c r="D16" s="54" t="n"/>
      <c r="E16" s="54" t="n"/>
      <c r="F16" s="54" t="n"/>
      <c r="G16" s="54" t="n"/>
      <c r="H16" s="54" t="n"/>
      <c r="I16" s="54" t="n"/>
      <c r="J16" s="54" t="n"/>
      <c r="K16" s="54" t="n"/>
      <c r="L16" s="54" t="n"/>
      <c r="M16" s="54" t="n"/>
      <c r="N16" s="54" t="n"/>
      <c r="O16" s="54" t="n"/>
      <c r="P16" s="54" t="n"/>
      <c r="Q16" s="68">
        <f>IF(OR(L16="",L16="در انتظار"),"",IF(Q16="",TODAY(),Q16))</f>
        <v/>
      </c>
    </row>
    <row r="17">
      <c r="A17" s="54" t="n"/>
      <c r="B17" s="54" t="n"/>
      <c r="C17" s="54" t="n"/>
      <c r="D17" s="54" t="n"/>
      <c r="E17" s="54" t="n"/>
      <c r="F17" s="54" t="n"/>
      <c r="G17" s="54" t="n"/>
      <c r="H17" s="54" t="n"/>
      <c r="I17" s="54" t="n"/>
      <c r="J17" s="54" t="n"/>
      <c r="K17" s="54" t="n"/>
      <c r="L17" s="54" t="n"/>
      <c r="M17" s="54" t="n"/>
      <c r="N17" s="54" t="n"/>
      <c r="O17" s="54" t="n"/>
      <c r="P17" s="54" t="n"/>
      <c r="Q17" s="68">
        <f>IF(OR(L17="",L17="در انتظار"),"",IF(Q17="",TODAY(),Q17))</f>
        <v/>
      </c>
    </row>
    <row r="18">
      <c r="A18" s="54" t="n"/>
      <c r="B18" s="54" t="n"/>
      <c r="C18" s="54" t="n"/>
      <c r="D18" s="54" t="n"/>
      <c r="E18" s="54" t="n"/>
      <c r="F18" s="54" t="n"/>
      <c r="G18" s="54" t="n"/>
      <c r="H18" s="54" t="n"/>
      <c r="I18" s="54" t="n"/>
      <c r="J18" s="54" t="n"/>
      <c r="K18" s="54" t="n"/>
      <c r="L18" s="54" t="n"/>
      <c r="M18" s="54" t="n"/>
      <c r="N18" s="54" t="n"/>
      <c r="O18" s="54" t="n"/>
      <c r="P18" s="54" t="n"/>
      <c r="Q18" s="68">
        <f>IF(OR(L18="",L18="در انتظار"),"",IF(Q18="",TODAY(),Q18))</f>
        <v/>
      </c>
    </row>
    <row r="19">
      <c r="A19" s="54" t="n"/>
      <c r="B19" s="54" t="n"/>
      <c r="C19" s="54" t="n"/>
      <c r="D19" s="54" t="n"/>
      <c r="E19" s="54" t="n"/>
      <c r="F19" s="54" t="n"/>
      <c r="G19" s="54" t="n"/>
      <c r="H19" s="54" t="n"/>
      <c r="I19" s="54" t="n"/>
      <c r="J19" s="54" t="n"/>
      <c r="K19" s="54" t="n"/>
      <c r="L19" s="54" t="n"/>
      <c r="M19" s="54" t="n"/>
      <c r="N19" s="54" t="n"/>
      <c r="O19" s="54" t="n"/>
      <c r="P19" s="54" t="n"/>
      <c r="Q19" s="68">
        <f>IF(OR(L19="",L19="در انتظار"),"",IF(Q19="",TODAY(),Q19))</f>
        <v/>
      </c>
    </row>
    <row r="20">
      <c r="A20" s="54" t="n"/>
      <c r="B20" s="54" t="n"/>
      <c r="C20" s="54" t="n"/>
      <c r="D20" s="54" t="n"/>
      <c r="E20" s="54" t="n"/>
      <c r="F20" s="54" t="n"/>
      <c r="G20" s="54" t="n"/>
      <c r="H20" s="54" t="n"/>
      <c r="I20" s="54" t="n"/>
      <c r="J20" s="54" t="n"/>
      <c r="K20" s="54" t="n"/>
      <c r="L20" s="54" t="n"/>
      <c r="M20" s="54" t="n"/>
      <c r="N20" s="54" t="n"/>
      <c r="O20" s="54" t="n"/>
      <c r="P20" s="54" t="n"/>
      <c r="Q20" s="68">
        <f>IF(OR(L20="",L20="در انتظار"),"",IF(Q20="",TODAY(),Q20))</f>
        <v/>
      </c>
    </row>
    <row r="21">
      <c r="A21" s="54" t="n"/>
      <c r="B21" s="54" t="n"/>
      <c r="C21" s="54" t="n"/>
      <c r="D21" s="54" t="n"/>
      <c r="E21" s="54" t="n"/>
      <c r="F21" s="54" t="n"/>
      <c r="G21" s="54" t="n"/>
      <c r="H21" s="54" t="n"/>
      <c r="I21" s="54" t="n"/>
      <c r="J21" s="54" t="n"/>
      <c r="K21" s="54" t="n"/>
      <c r="L21" s="54" t="n"/>
      <c r="M21" s="54" t="n"/>
      <c r="N21" s="54" t="n"/>
      <c r="O21" s="54" t="n"/>
      <c r="P21" s="54" t="n"/>
      <c r="Q21" s="68">
        <f>IF(OR(L21="",L21="در انتظار"),"",IF(Q21="",TODAY(),Q21))</f>
        <v/>
      </c>
    </row>
    <row r="22">
      <c r="A22" s="54" t="n"/>
      <c r="B22" s="54" t="n"/>
      <c r="C22" s="54" t="n"/>
      <c r="D22" s="54" t="n"/>
      <c r="E22" s="54" t="n"/>
      <c r="F22" s="54" t="n"/>
      <c r="G22" s="54" t="n"/>
      <c r="H22" s="54" t="n"/>
      <c r="I22" s="54" t="n"/>
      <c r="J22" s="54" t="n"/>
      <c r="K22" s="54" t="n"/>
      <c r="L22" s="54" t="n"/>
      <c r="M22" s="54" t="n"/>
      <c r="N22" s="54" t="n"/>
      <c r="O22" s="54" t="n"/>
      <c r="P22" s="54" t="n"/>
      <c r="Q22" s="68">
        <f>IF(OR(L22="",L22="در انتظار"),"",IF(Q22="",TODAY(),Q22))</f>
        <v/>
      </c>
    </row>
    <row r="23">
      <c r="A23" s="54" t="n"/>
      <c r="B23" s="54" t="n"/>
      <c r="C23" s="54" t="n"/>
      <c r="D23" s="54" t="n"/>
      <c r="E23" s="54" t="n"/>
      <c r="F23" s="54" t="n"/>
      <c r="G23" s="54" t="n"/>
      <c r="H23" s="54" t="n"/>
      <c r="I23" s="54" t="n"/>
      <c r="J23" s="54" t="n"/>
      <c r="K23" s="54" t="n"/>
      <c r="L23" s="54" t="n"/>
      <c r="M23" s="54" t="n"/>
      <c r="N23" s="54" t="n"/>
      <c r="O23" s="54" t="n"/>
      <c r="P23" s="54" t="n"/>
      <c r="Q23" s="68">
        <f>IF(OR(L23="",L23="در انتظار"),"",IF(Q23="",TODAY(),Q23))</f>
        <v/>
      </c>
    </row>
    <row r="24">
      <c r="A24" s="54" t="n"/>
      <c r="B24" s="54" t="n"/>
      <c r="C24" s="54" t="n"/>
      <c r="D24" s="54" t="n"/>
      <c r="E24" s="54" t="n"/>
      <c r="F24" s="54" t="n"/>
      <c r="G24" s="54" t="n"/>
      <c r="H24" s="54" t="n"/>
      <c r="I24" s="54" t="n"/>
      <c r="J24" s="54" t="n"/>
      <c r="K24" s="54" t="n"/>
      <c r="L24" s="54" t="n"/>
      <c r="M24" s="54" t="n"/>
      <c r="N24" s="54" t="n"/>
      <c r="O24" s="54" t="n"/>
      <c r="P24" s="54" t="n"/>
      <c r="Q24" s="68">
        <f>IF(OR(L24="",L24="در انتظار"),"",IF(Q24="",TODAY(),Q24))</f>
        <v/>
      </c>
    </row>
    <row r="25">
      <c r="A25" s="54" t="n"/>
      <c r="B25" s="54" t="n"/>
      <c r="C25" s="54" t="n"/>
      <c r="D25" s="54" t="n"/>
      <c r="E25" s="54" t="n"/>
      <c r="F25" s="54" t="n"/>
      <c r="G25" s="54" t="n"/>
      <c r="H25" s="54" t="n"/>
      <c r="I25" s="54" t="n"/>
      <c r="J25" s="54" t="n"/>
      <c r="K25" s="54" t="n"/>
      <c r="L25" s="54" t="n"/>
      <c r="M25" s="54" t="n"/>
      <c r="N25" s="54" t="n"/>
      <c r="O25" s="54" t="n"/>
      <c r="P25" s="54" t="n"/>
      <c r="Q25" s="68">
        <f>IF(OR(L25="",L25="در انتظار"),"",IF(Q25="",TODAY(),Q25))</f>
        <v/>
      </c>
    </row>
    <row r="26">
      <c r="A26" s="54" t="n"/>
      <c r="B26" s="54" t="n"/>
      <c r="C26" s="54" t="n"/>
      <c r="D26" s="54" t="n"/>
      <c r="E26" s="54" t="n"/>
      <c r="F26" s="54" t="n"/>
      <c r="G26" s="54" t="n"/>
      <c r="H26" s="54" t="n"/>
      <c r="I26" s="54" t="n"/>
      <c r="J26" s="54" t="n"/>
      <c r="K26" s="54" t="n"/>
      <c r="L26" s="54" t="n"/>
      <c r="M26" s="54" t="n"/>
      <c r="N26" s="54" t="n"/>
      <c r="O26" s="54" t="n"/>
      <c r="P26" s="54" t="n"/>
      <c r="Q26" s="68">
        <f>IF(OR(L26="",L26="در انتظار"),"",IF(Q26="",TODAY(),Q26))</f>
        <v/>
      </c>
    </row>
    <row r="27">
      <c r="A27" s="54" t="n"/>
      <c r="B27" s="54" t="n"/>
      <c r="C27" s="54" t="n"/>
      <c r="D27" s="54" t="n"/>
      <c r="E27" s="54" t="n"/>
      <c r="F27" s="54" t="n"/>
      <c r="G27" s="54" t="n"/>
      <c r="H27" s="54" t="n"/>
      <c r="I27" s="54" t="n"/>
      <c r="J27" s="54" t="n"/>
      <c r="K27" s="54" t="n"/>
      <c r="L27" s="54" t="n"/>
      <c r="M27" s="54" t="n"/>
      <c r="N27" s="54" t="n"/>
      <c r="O27" s="54" t="n"/>
      <c r="P27" s="54" t="n"/>
      <c r="Q27" s="68">
        <f>IF(OR(L27="",L27="در انتظار"),"",IF(Q27="",TODAY(),Q27))</f>
        <v/>
      </c>
    </row>
    <row r="28">
      <c r="A28" t="inlineStr">
        <is>
          <t>CH-045</t>
        </is>
      </c>
      <c r="B28" t="inlineStr">
        <is>
          <t>اشمیت مشترک ورودی</t>
        </is>
      </c>
      <c r="C28" t="inlineStr">
        <is>
          <t>بالا</t>
        </is>
      </c>
      <c r="D28" t="inlineStr">
        <is>
          <t>سورس Charger/Fault و تستر هاست در دسترس است؛ برد لازم نیست.</t>
        </is>
      </c>
      <c r="E28" t="inlineStr">
        <is>
          <t>گام ۱: host_test_charger.py و host_test_fault.c را اجرا کن.
گام ۲: در تست Fault، q169/q170 را ۵۰۰/۵۰۰ بگذار و مجوز را دور لبه‌های ۲۱۰۰۰/۲۸۰۰۰ بران.
گام ۳: در سورس Charger چک کن هر OFF-&gt;BULK (عادی، دیوتی ثابت، دستی، bringup) و INPUT_WAIT-&gt;OFF فقط از bool__inputPermitted می‌گذرد.</t>
        </is>
      </c>
      <c r="F28" t="inlineStr">
        <is>
          <t>q33=21000, q34=28000, q169=q170=500</t>
        </is>
      </c>
      <c r="G28" t="inlineStr">
        <is>
          <t>کمتر از یک ثانیه</t>
        </is>
      </c>
      <c r="H28" t="inlineStr">
        <is>
          <t>بیرون پنجره خام مجوز فوراً false؛ برگشت فقط داخل ۲۱۵۰۰..۲۷۵۰۰؛ شارژر بدون مجوز شروع نمی‌کند</t>
        </is>
      </c>
      <c r="I28" t="inlineStr">
        <is>
          <t>اشمیت مشترک</t>
        </is>
      </c>
      <c r="J28" t="inlineStr">
        <is>
          <t>PASS: تست‌ها سبز و همه مسیرهای شروع همان پرچم را می‌خوانند. FAIL: هر مسیر شروع جدا.</t>
        </is>
      </c>
      <c r="L28" t="inlineStr">
        <is>
          <t>در انتظار</t>
        </is>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hyperlinks>
    <hyperlink ref="E7" location="'برنامه تست'!A20"/>
  </hyperlink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9"/>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94" t="inlineStr">
        <is>
          <t>مرجع سریع سناریوها و ثابت‌های ماژول Charger</t>
        </is>
      </c>
      <c r="B1" s="42" t="n"/>
      <c r="C1" s="42" t="n"/>
      <c r="D1" s="42" t="n"/>
      <c r="E1" s="43" t="n"/>
    </row>
    <row r="2">
      <c r="A2" s="54" t="n"/>
      <c r="B2" s="54" t="n"/>
      <c r="C2" s="54" t="n"/>
      <c r="D2" s="54" t="n"/>
      <c r="E2" s="54" t="n"/>
    </row>
    <row r="3">
      <c r="A3" s="75" t="inlineStr">
        <is>
          <t>موضوع</t>
        </is>
      </c>
      <c r="B3" s="75" t="inlineStr">
        <is>
          <t>شرط / مقدار</t>
        </is>
      </c>
      <c r="C3" s="75" t="inlineStr">
        <is>
          <t>رفتار مورد انتظار</t>
        </is>
      </c>
      <c r="D3" s="75" t="inlineStr">
        <is>
          <t>ثابت / محل کد</t>
        </is>
      </c>
      <c r="E3" s="75" t="inlineStr">
        <is>
          <t>توضیح</t>
        </is>
      </c>
    </row>
    <row r="4">
      <c r="A4" s="76" t="inlineStr">
        <is>
          <t>گیت ثبات اتصال</t>
        </is>
      </c>
      <c r="B4" s="76" t="inlineStr">
        <is>
          <t>۱۵s دیدن ولتاژ باتری</t>
        </is>
      </c>
      <c r="C4" s="76" t="inlineStr">
        <is>
          <t>OFF→BULK فقط بعد از ثبات</t>
        </is>
      </c>
      <c r="D4" s="77" t="inlineStr">
        <is>
          <t>charger.h (2026-09-19)</t>
        </is>
      </c>
      <c r="E4" s="76" t="inlineStr">
        <is>
          <t>JIT-ریتری و reentry معاف</t>
        </is>
      </c>
    </row>
    <row r="5">
      <c r="A5" s="76" t="inlineStr">
        <is>
          <t>باند تنظیم BULK</t>
        </is>
      </c>
      <c r="B5" s="76" t="inlineStr">
        <is>
          <t>630..650mA Iest</t>
        </is>
      </c>
      <c r="C5" s="76" t="inlineStr">
        <is>
          <t>پله‌های duty برای نگه‌داشت باند</t>
        </is>
      </c>
      <c r="D5" s="76" t="inlineStr">
        <is>
          <t>CHG_REGULATE_LOW_MA / CHG_BULK_CURRENT_MAX_MA</t>
        </is>
      </c>
      <c r="E5" s="76" t="inlineStr">
        <is>
          <t>تصمیم روی جریان تخمینی خروجی</t>
        </is>
      </c>
    </row>
    <row r="6">
      <c r="A6" s="76" t="inlineStr">
        <is>
          <t>خطای سخت جریان</t>
        </is>
      </c>
      <c r="B6" s="76" t="inlineStr">
        <is>
          <t>&gt;950mA</t>
        </is>
      </c>
      <c r="C6" s="76" t="inlineStr">
        <is>
          <t>ریست کانال</t>
        </is>
      </c>
      <c r="D6" s="76" t="inlineStr">
        <is>
          <t>CHG_CURRENT_HARD_FAULT_MA</t>
        </is>
      </c>
      <c r="E6" s="76" t="inlineStr">
        <is>
          <t>حداکثر ~10ms تأخیر با فیلترها</t>
        </is>
      </c>
    </row>
    <row r="7">
      <c r="A7" s="76" t="inlineStr">
        <is>
          <t>ABSORB</t>
        </is>
      </c>
      <c r="B7" s="76" t="inlineStr">
        <is>
          <t>ورود 14.3 / نگه‌داشت 14.4 / فرار 14.6V</t>
        </is>
      </c>
      <c r="C7" s="76" t="inlineStr">
        <is>
          <t>پله 0.1٪ / نزول 0.5٪</t>
        </is>
      </c>
      <c r="D7" s="76" t="inlineStr">
        <is>
          <t>CHG_ABSORB_*</t>
        </is>
      </c>
      <c r="E7" s="76" t="inlineStr">
        <is>
          <t>شستشوی ۱۰ دقیقه کل مدت</t>
        </is>
      </c>
    </row>
    <row r="8">
      <c r="A8" s="76" t="inlineStr">
        <is>
          <t>JIT</t>
        </is>
      </c>
      <c r="B8" s="76" t="inlineStr">
        <is>
          <t>lockout 3s، ریتری ۵۰٪، دوم ≤۱۰٪، سوم FINAL</t>
        </is>
      </c>
      <c r="C8" s="76" t="inlineStr">
        <is>
          <t>ریتری تک‌تک از صف</t>
        </is>
      </c>
      <c r="D8" s="76" t="inlineStr">
        <is>
          <t>CHG_JIT_LOCKOUT_MS / CHG_DUTY_RETRY_SECOND_MAX</t>
        </is>
      </c>
      <c r="E8" s="76" t="inlineStr">
        <is>
          <t>در مود دستی: بدون ریتری، فقط re-arm</t>
        </is>
      </c>
    </row>
    <row r="9">
      <c r="A9" s="76" t="inlineStr">
        <is>
          <t>مود دستی v1.2</t>
        </is>
      </c>
      <c r="B9" s="76" t="inlineStr">
        <is>
          <t>ID19، ددمن 3s، قطع 15V، سقف، قطع کانال</t>
        </is>
      </c>
      <c r="C9" s="76" t="inlineStr">
        <is>
          <t>duty مستقیم از 16/18</t>
        </is>
      </c>
      <c r="D9" s="76" t="inlineStr">
        <is>
          <t>CHG_MANUAL_WATCHDOG_MS و §5.2 سند ESP</t>
        </is>
      </c>
      <c r="E9" s="76" t="inlineStr">
        <is>
          <t>فریز Fault_Evaluate حین مود</t>
        </is>
      </c>
    </row>
  </sheetData>
  <mergeCells count="1">
    <mergeCell ref="A1:E1"/>
  </mergeCells>
  <hyperlinks>
    <hyperlink xmlns:r="http://schemas.openxmlformats.org/officeDocument/2006/relationships" ref="D4" r:id="rId1"/>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85" t="inlineStr">
        <is>
          <t>ثبت ایرادهای مشاهده‌شده — ماژول Charger</t>
        </is>
      </c>
    </row>
    <row r="2" ht="30" customHeight="1">
      <c r="A2" s="86" t="inlineStr">
        <is>
          <t>برای هر وضعیت «رد» یا تفاوت مهم، یک ردیف با شناسهٔ یکتا ثبت و پس از اصلاح دوباره تست شود.</t>
        </is>
      </c>
      <c r="B2" s="42" t="n"/>
      <c r="C2" s="42" t="n"/>
      <c r="D2" s="42" t="n"/>
      <c r="E2" s="42" t="n"/>
      <c r="F2" s="42" t="n"/>
      <c r="G2" s="42" t="n"/>
      <c r="H2" s="42" t="n"/>
      <c r="I2" s="42" t="n"/>
      <c r="J2" s="42" t="n"/>
      <c r="K2" s="42" t="n"/>
      <c r="L2" s="42" t="n"/>
      <c r="M2" s="43" t="n"/>
    </row>
    <row r="3">
      <c r="A3" s="75" t="inlineStr">
        <is>
          <t>شماره ایراد</t>
        </is>
      </c>
      <c r="B3" s="75" t="inlineStr">
        <is>
          <t>شناسه تست</t>
        </is>
      </c>
      <c r="C3" s="75" t="inlineStr">
        <is>
          <t>تاریخ کشف</t>
        </is>
      </c>
      <c r="D3" s="75" t="inlineStr">
        <is>
          <t>شدت</t>
        </is>
      </c>
      <c r="E3" s="75" t="inlineStr">
        <is>
          <t>شرح کوتاه ایراد</t>
        </is>
      </c>
      <c r="F3" s="75" t="inlineStr">
        <is>
          <t>مراحل بازتولید</t>
        </is>
      </c>
      <c r="G3" s="75" t="inlineStr">
        <is>
          <t>انتظار</t>
        </is>
      </c>
      <c r="H3" s="75" t="inlineStr">
        <is>
          <t>واقعیت</t>
        </is>
      </c>
      <c r="I3" s="75" t="inlineStr">
        <is>
          <t>مدرک/مسیر عکس یا scope</t>
        </is>
      </c>
      <c r="J3" s="75" t="inlineStr">
        <is>
          <t>نسخهٔ برنامه</t>
        </is>
      </c>
      <c r="K3" s="75" t="inlineStr">
        <is>
          <t>محل احتمالی</t>
        </is>
      </c>
      <c r="L3" s="75" t="inlineStr">
        <is>
          <t>وضعیت ایراد</t>
        </is>
      </c>
      <c r="M3" s="75" t="inlineStr">
        <is>
          <t>تأیید رفع / توضیحات</t>
        </is>
      </c>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85" t="inlineStr">
        <is>
          <t>تأیید نهایی اعتبارسنجی — ماژول Charger</t>
        </is>
      </c>
    </row>
    <row r="2">
      <c r="A2" s="50" t="inlineStr">
        <is>
          <t>این صفحه فقط پس از تکمیل تست‌ها و بسته‌شدن ایرادها پر می‌شود.</t>
        </is>
      </c>
    </row>
    <row r="3">
      <c r="A3" s="50" t="inlineStr">
        <is>
          <t>مشخصات تست</t>
        </is>
      </c>
    </row>
    <row r="4">
      <c r="A4" s="50" t="inlineStr">
        <is>
          <t>پروژه</t>
        </is>
      </c>
      <c r="B4" s="50" t="inlineStr">
        <is>
          <t>ChangeOver</t>
        </is>
      </c>
      <c r="C4" s="54" t="n"/>
    </row>
    <row r="5">
      <c r="A5" s="50" t="inlineStr">
        <is>
          <t>ماژول</t>
        </is>
      </c>
      <c r="B5" s="50" t="inlineStr">
        <is>
          <t>Charger — دو کانال ۱۲V مستقل</t>
        </is>
      </c>
      <c r="C5" s="54" t="n"/>
    </row>
    <row r="6">
      <c r="A6" s="50" t="inlineStr">
        <is>
          <t>تاریخ ساخت فرم</t>
        </is>
      </c>
      <c r="B6" s="50" t="inlineStr">
        <is>
          <t>2026-09-23 (1.0 — پوشش v1.2 مود دستی)</t>
        </is>
      </c>
      <c r="C6" s="54" t="n"/>
    </row>
    <row r="7">
      <c r="A7" s="50" t="inlineStr">
        <is>
          <t>نسخه فرم</t>
        </is>
      </c>
      <c r="B7" s="50" t="inlineStr">
        <is>
          <t>1.0</t>
        </is>
      </c>
      <c r="C7" s="54" t="n"/>
    </row>
    <row r="8">
      <c r="A8" s="50" t="inlineStr">
        <is>
          <t>نسخهٔ برنامه</t>
        </is>
      </c>
      <c r="B8" s="50" t="inlineStr">
        <is>
          <t>(بعد از تست پر شود)</t>
        </is>
      </c>
      <c r="C8" s="54" t="n"/>
    </row>
    <row r="9">
      <c r="A9" s="50" t="inlineStr">
        <is>
          <t>ابزار</t>
        </is>
      </c>
      <c r="B9" s="50" t="inlineStr">
        <is>
          <t>پنل ESP + اسکوپ + مولتی‌متر + منبع محدودشده</t>
        </is>
      </c>
      <c r="C9" s="54" t="n"/>
    </row>
    <row r="10">
      <c r="A10" s="54" t="n"/>
      <c r="B10" s="54" t="n"/>
      <c r="C10" s="54" t="n"/>
    </row>
    <row r="11">
      <c r="A11" s="78" t="inlineStr">
        <is>
          <t>خلاصهٔ خودکار وضعیت تست‌ها</t>
        </is>
      </c>
      <c r="B11" s="54" t="n"/>
      <c r="C11" s="54" t="n"/>
    </row>
    <row r="12">
      <c r="A12" s="75" t="inlineStr">
        <is>
          <t>شاخص</t>
        </is>
      </c>
      <c r="B12" s="75" t="inlineStr">
        <is>
          <t>مقدار</t>
        </is>
      </c>
      <c r="C12" s="75" t="inlineStr">
        <is>
          <t>توضیح</t>
        </is>
      </c>
    </row>
    <row r="13">
      <c r="A13" s="79" t="inlineStr">
        <is>
          <t>کل تست‌ها</t>
        </is>
      </c>
      <c r="B13" s="79" t="n">
        <v>19</v>
      </c>
      <c r="C13" s="79" t="inlineStr">
        <is>
          <t>همهٔ ردیف‌های برنامه تست</t>
        </is>
      </c>
    </row>
    <row r="14">
      <c r="A14" s="79" t="inlineStr">
        <is>
          <t>قبول</t>
        </is>
      </c>
      <c r="B14" s="79">
        <f>COUNTIF('برنامه تست'!L:L,"قبول")</f>
        <v/>
      </c>
      <c r="C14" s="79" t="inlineStr">
        <is>
          <t>COUNTIF برنامه تست</t>
        </is>
      </c>
    </row>
    <row r="15">
      <c r="A15" s="79" t="inlineStr">
        <is>
          <t>رد</t>
        </is>
      </c>
      <c r="B15" s="79">
        <f>COUNTIF('برنامه تست'!L:L,"رد")</f>
        <v/>
      </c>
      <c r="C15" s="79" t="inlineStr">
        <is>
          <t>COUNTIF رد</t>
        </is>
      </c>
    </row>
    <row r="16">
      <c r="A16" s="79" t="inlineStr">
        <is>
          <t>در انتظار</t>
        </is>
      </c>
      <c r="B16" s="79">
        <f>COUNTIF('برنامه تست'!L:L,"در انتظار")</f>
        <v/>
      </c>
      <c r="C16" s="79" t="inlineStr">
        <is>
          <t>پیش از تست برد</t>
        </is>
      </c>
    </row>
    <row r="17">
      <c r="A17" s="79" t="inlineStr">
        <is>
          <t>نرخ قبولی</t>
        </is>
      </c>
      <c r="B17" s="79">
        <f>IF(19=0,0,COUNTIF('برنامه تست'!L:L,"قبول")/19)</f>
        <v/>
      </c>
      <c r="C17" s="79" t="inlineStr">
        <is>
          <t>قبول/کل</t>
        </is>
      </c>
    </row>
    <row r="18">
      <c r="A18" s="54" t="n"/>
      <c r="B18" s="54" t="n"/>
      <c r="C18" s="54" t="n"/>
    </row>
    <row r="19">
      <c r="A19" s="78" t="inlineStr">
        <is>
          <t>امضا و تأیید: تست‌کننده ______  بازبین ______  تاریخ ______</t>
        </is>
      </c>
      <c r="B19" s="54" t="n"/>
      <c r="C19" s="54" t="n"/>
    </row>
  </sheetData>
  <mergeCells count="3">
    <mergeCell ref="A1:C1"/>
    <mergeCell ref="A3:C3"/>
    <mergeCell ref="A2:C2"/>
  </mergeCells>
  <pageMargins left="0.75" right="0.75" top="1" bottom="1" header="0.5" footer="0.5"/>
</worksheet>
</file>

<file path=xl/worksheets/sheet8.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95" t="inlineStr">
        <is>
          <t>وضعیت</t>
        </is>
      </c>
      <c r="B1" s="54" t="n"/>
    </row>
    <row r="2">
      <c r="A2" s="81" t="inlineStr">
        <is>
          <t>در انتظار</t>
        </is>
      </c>
      <c r="B2" s="54" t="n"/>
    </row>
    <row r="3">
      <c r="A3" s="81" t="inlineStr">
        <is>
          <t>انجام شد</t>
        </is>
      </c>
      <c r="B3" s="54" t="n"/>
    </row>
    <row r="4">
      <c r="A4" s="81" t="inlineStr">
        <is>
          <t>قبول</t>
        </is>
      </c>
      <c r="B4" s="54" t="n"/>
    </row>
    <row r="5">
      <c r="A5" s="81" t="inlineStr">
        <is>
          <t>رد</t>
        </is>
      </c>
      <c r="B5" s="54" t="n"/>
    </row>
    <row r="6">
      <c r="A6" s="81" t="inlineStr">
        <is>
          <t>مسدود</t>
        </is>
      </c>
      <c r="B6" s="54" t="n"/>
    </row>
    <row r="7">
      <c r="A7" s="54" t="inlineStr">
        <is>
          <t>نیاز به تکرار</t>
        </is>
      </c>
      <c r="B7" s="54" t="n"/>
    </row>
    <row r="8">
      <c r="A8" s="95" t="inlineStr">
        <is>
          <t>اولویت</t>
        </is>
      </c>
      <c r="B8" s="54" t="n"/>
    </row>
    <row r="9">
      <c r="A9" s="54" t="n"/>
      <c r="B9" s="81" t="inlineStr">
        <is>
          <t>بالا</t>
        </is>
      </c>
    </row>
    <row r="10">
      <c r="A10" s="54" t="n"/>
      <c r="B10" s="81" t="inlineStr">
        <is>
          <t>متوسط</t>
        </is>
      </c>
    </row>
    <row r="11">
      <c r="A11" s="54" t="n"/>
      <c r="B11" s="81" t="inlineStr">
        <is>
          <t>پایین</t>
        </is>
      </c>
    </row>
    <row r="12">
      <c r="A12" s="54" t="n"/>
      <c r="B12" s="54" t="n"/>
    </row>
    <row r="13">
      <c r="A13" s="95" t="inlineStr">
        <is>
          <t>شدت</t>
        </is>
      </c>
      <c r="B13" s="54" t="n"/>
    </row>
    <row r="14">
      <c r="A14" s="81" t="inlineStr">
        <is>
          <t>بحرانی</t>
        </is>
      </c>
      <c r="B14" s="54" t="n"/>
    </row>
    <row r="15">
      <c r="A15" s="81" t="inlineStr">
        <is>
          <t>بالا</t>
        </is>
      </c>
      <c r="B15" s="54" t="n"/>
    </row>
    <row r="16">
      <c r="A16" s="81" t="inlineStr">
        <is>
          <t>متوسط</t>
        </is>
      </c>
      <c r="B16" s="54" t="n"/>
    </row>
    <row r="17">
      <c r="A17" s="81" t="inlineStr">
        <is>
          <t>پایین</t>
        </is>
      </c>
      <c r="B17" s="54"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شارژر (Charger)</t>
        </is>
      </c>
    </row>
    <row r="3" ht="24" customHeight="1">
      <c r="A3" s="9" t="inlineStr">
        <is>
          <t>حالت‌ها و گذارهای همین ماژول</t>
        </is>
      </c>
      <c r="B3" s="10" t="inlineStr">
        <is>
          <t>Charger_State_Machine.xlsx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2026-09-23T12:47:22Z</dcterms:created>
  <dcterms:modified xmlns:dcterms="http://purl.org/dc/terms/" xmlns:xsi="http://www.w3.org/2001/XMLSchema-instance" xsi:type="dcterms:W3CDTF">2026-10-31T13:22:39Z</dcterms:modified>
</cp:coreProperties>
</file>