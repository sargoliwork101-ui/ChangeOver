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تست'!$A$4:$Q$28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#'&#1576;&#1585;&#1606;&#1575;&#1605;&#1607; &#1578;&#1587;&#1578;'!A6" TargetMode="External" Id="rId2" /><Relationship Type="http://schemas.openxmlformats.org/officeDocument/2006/relationships/hyperlink" Target="#'&#1576;&#1585;&#1606;&#1575;&#1605;&#1607; &#1578;&#1587;&#1578;'!A6" TargetMode="External" Id="rId3" /><Relationship Type="http://schemas.openxmlformats.org/officeDocument/2006/relationships/hyperlink" Target="#'&#1576;&#1585;&#1606;&#1575;&#1605;&#1607; &#1578;&#1587;&#1578;'!A6" TargetMode="External" Id="rId4" /><Relationship Type="http://schemas.openxmlformats.org/officeDocument/2006/relationships/hyperlink" Target="#'&#1576;&#1585;&#1606;&#1575;&#1605;&#1607; &#1578;&#1587;&#1578;'!A13" TargetMode="External" Id="rId5" /><Relationship Type="http://schemas.openxmlformats.org/officeDocument/2006/relationships/hyperlink" Target="#'&#1576;&#1585;&#1606;&#1575;&#1605;&#1607; &#1578;&#1587;&#1578;'!A13" TargetMode="External" Id="rId6" /><Relationship Type="http://schemas.openxmlformats.org/officeDocument/2006/relationships/hyperlink" Target="#'&#1576;&#1585;&#1606;&#1575;&#1605;&#1607; &#1578;&#1587;&#1578;'!A17" TargetMode="External" Id="rId7" /><Relationship Type="http://schemas.openxmlformats.org/officeDocument/2006/relationships/hyperlink" Target="#'&#1576;&#1585;&#1606;&#1575;&#1605;&#1607; &#1578;&#1587;&#1578;'!A17" TargetMode="External" Id="rId8" /><Relationship Type="http://schemas.openxmlformats.org/officeDocument/2006/relationships/hyperlink" Target="#'&#1576;&#1585;&#1606;&#1575;&#1605;&#1607; &#1578;&#1587;&#1578;'!A17" TargetMode="External" Id="rId9" /><Relationship Type="http://schemas.openxmlformats.org/officeDocument/2006/relationships/hyperlink" Target="#'&#1576;&#1585;&#1606;&#1575;&#1605;&#1607; &#1578;&#1587;&#1578;'!A17" TargetMode="External" Id="rId10" /><Relationship Type="http://schemas.openxmlformats.org/officeDocument/2006/relationships/hyperlink" Target="#'&#1576;&#1585;&#1606;&#1575;&#1605;&#1607; &#1578;&#1587;&#1578;'!A25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Charger</t>
        </is>
      </c>
    </row>
    <row r="2">
      <c r="A2" s="13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44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13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13" t="inlineStr">
        <is>
          <t>هشدار: تست مود دستی بدون باتری فقط با electronic load دارای voltage clamp؛ هرگز با مقاومت آزاد.</t>
        </is>
      </c>
    </row>
    <row r="10">
      <c r="A10" s="13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Charger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CH-001</t>
        </is>
      </c>
      <c r="B5" s="17" t="inlineStr">
        <is>
          <t>نگاشت سخت‌افزار</t>
        </is>
      </c>
      <c r="C5" s="18" t="inlineStr">
        <is>
          <t>بالا</t>
        </is>
      </c>
      <c r="D5" s="17" t="inlineStr">
        <is>
          <t>برد خاموش</t>
        </is>
      </c>
      <c r="E5" s="26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19" t="inlineStr">
        <is>
          <t>PA0=TIM2_CH1، PA6=TIM3_CH1، PA1/PA7 سنس، PB2/PB6 JIT، رله NC</t>
        </is>
      </c>
      <c r="G5" s="19" t="inlineStr">
        <is>
          <t>—</t>
        </is>
      </c>
      <c r="H5" s="17" t="inlineStr">
        <is>
          <t>نگاشت مطابق شماتیک؛ رله با coil خاموش وصل (NC)</t>
        </is>
      </c>
      <c r="I5" s="17" t="inlineStr">
        <is>
          <t>نگاشت ثابت</t>
        </is>
      </c>
      <c r="J5" s="17" t="inlineStr">
        <is>
          <t>PASS: تطابق کامل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54" customHeight="1">
      <c r="A6" s="16" t="inlineStr">
        <is>
          <t>CH-002</t>
        </is>
      </c>
      <c r="B6" s="22" t="inlineStr">
        <is>
          <t>پیش‌فرض امن بوت</t>
        </is>
      </c>
      <c r="C6" s="23" t="inlineStr">
        <is>
          <t>بالا</t>
        </is>
      </c>
      <c r="D6" s="22" t="inlineStr">
        <is>
          <t>باتری و ورودی ۲۴V وصل، بوت تازه</t>
        </is>
      </c>
      <c r="E6" s="22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6" s="24" t="inlineStr">
        <is>
          <t>v_in=24V، هر دو v_bat≥12V</t>
        </is>
      </c>
      <c r="G6" s="24" t="inlineStr">
        <is>
          <t>60s</t>
        </is>
      </c>
      <c r="H6" s="22" t="inlineStr">
        <is>
          <t>هر دو PWM صفر تا پایان گیت ۱۵ ثانیهٔ ثبات اتصال</t>
        </is>
      </c>
      <c r="I6" s="22" t="inlineStr">
        <is>
          <t>حفظ تا شروع BULK</t>
        </is>
      </c>
      <c r="J6" s="22" t="inlineStr">
        <is>
          <t>PWM=0 تا 15000±2000ms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CH-003</t>
        </is>
      </c>
      <c r="B7" s="17" t="inlineStr">
        <is>
          <t>شروع BULK با رمپ</t>
        </is>
      </c>
      <c r="C7" s="18" t="inlineStr">
        <is>
          <t>بالا</t>
        </is>
      </c>
      <c r="D7" s="26" t="inlineStr">
        <is>
          <t>CH-002 پاس</t>
        </is>
      </c>
      <c r="E7" s="26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7" s="27" t="inlineStr">
        <is>
          <t>همان CH-002</t>
        </is>
      </c>
      <c r="G7" s="19" t="inlineStr">
        <is>
          <t>20s</t>
        </is>
      </c>
      <c r="H7" s="17" t="inlineStr">
        <is>
          <t>ورود BULK با رمپ نرم از ۱٪ (10‰)</t>
        </is>
      </c>
      <c r="I7" s="17" t="inlineStr">
        <is>
          <t>—</t>
        </is>
      </c>
      <c r="J7" s="17" t="inlineStr">
        <is>
          <t>پله‌های duty از 10‰ صعودی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CH-004</t>
        </is>
      </c>
      <c r="B8" s="22" t="inlineStr">
        <is>
          <t>تنظیم BULK</t>
        </is>
      </c>
      <c r="C8" s="23" t="inlineStr">
        <is>
          <t>بالا</t>
        </is>
      </c>
      <c r="D8" s="22" t="inlineStr">
        <is>
          <t>در BULK</t>
        </is>
      </c>
      <c r="E8" s="22" t="inlineStr">
        <is>
          <t>گام ۱: شارژ را در حالت BULK راه بینداز (باتری نیمه‌شارژ وصل باشد).
گام ۲: در پنل، جریان تخمینی خروجی (Iest) همان کانال را باز کن.
گام ۳: 60 ثانیه مقدار Iest را نگاه کن.
گام ۴: باید در باند 630 تا 650 میلی‌آمپر تثبیت شود و همان‌جا پایدار بماند.</t>
        </is>
      </c>
      <c r="F8" s="24" t="inlineStr">
        <is>
          <t>باتری نیمه‌شارژ</t>
        </is>
      </c>
      <c r="G8" s="24" t="inlineStr">
        <is>
          <t>60s</t>
        </is>
      </c>
      <c r="H8" s="22" t="inlineStr">
        <is>
          <t>Iest در باند 630..650mA تثبیت</t>
        </is>
      </c>
      <c r="I8" s="22" t="inlineStr">
        <is>
          <t>نگه‌داشت باند</t>
        </is>
      </c>
      <c r="J8" s="22" t="inlineStr">
        <is>
          <t>630≤Iest≤650 پایدار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54" customHeight="1">
      <c r="A9" s="16" t="inlineStr">
        <is>
          <t>CH-005</t>
        </is>
      </c>
      <c r="B9" s="17" t="inlineStr">
        <is>
          <t>ABSORB</t>
        </is>
      </c>
      <c r="C9" s="18" t="inlineStr">
        <is>
          <t>بالا</t>
        </is>
      </c>
      <c r="D9" s="17" t="inlineStr">
        <is>
          <t>ولتاژ کانال به 14.3V می‌رسد</t>
        </is>
      </c>
      <c r="E9" s="17" t="inlineStr">
        <is>
          <t>گام ۱: شارژ را ادامه بده تا ولتاژ کانال به حدود 14.3 ولت برسد.
گام ۲: ولتاژ باتری را از 14300 به‌آرامی تا 14600 میلی‌ولت بالا ببر (با منبع یا بار قابل تنظیم).
گام ۳: 120 ثانیه رفتار را نگاه کن: نزدیک 14.4 ولت باید با پله‌های ریز 0.1 درصدی تثبیت شود.
گام ۴: وقتی از 14.6 ولت رد شد باید یک پلهٔ نزولی 0.5 درصدی ببینی؛ بازهٔ پایدار قابل قبول 14.35 تا 14.45 ولت است.</t>
        </is>
      </c>
      <c r="F9" s="19" t="inlineStr">
        <is>
          <t>v_bat≈14300→14600mV</t>
        </is>
      </c>
      <c r="G9" s="19" t="inlineStr">
        <is>
          <t>120s</t>
        </is>
      </c>
      <c r="H9" s="17" t="inlineStr">
        <is>
          <t>تثبیت حدود 14.4V با پله ریز؛ عبور 14.6V پله نزولی 0.5٪</t>
        </is>
      </c>
      <c r="I9" s="17" t="inlineStr">
        <is>
          <t>—</t>
        </is>
      </c>
      <c r="J9" s="17" t="inlineStr">
        <is>
          <t>14.35..14.45V پایدار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54" customHeight="1">
      <c r="A10" s="16" t="inlineStr">
        <is>
          <t>CH-006</t>
        </is>
      </c>
      <c r="B10" s="22" t="inlineStr">
        <is>
          <t>شستشوی ABSORB</t>
        </is>
      </c>
      <c r="C10" s="24" t="inlineStr">
        <is>
          <t>متوسط</t>
        </is>
      </c>
      <c r="D10" s="22" t="inlineStr">
        <is>
          <t>در ABSORB</t>
        </is>
      </c>
      <c r="E10" s="22" t="inlineStr">
        <is>
          <t>گام ۱: شارژ را در حالت ABSORB نگه دار.
گام ۲: این سه شرط را زیر نظر بگیر: شستشوی کامل 10 دقیقه‌ای تمام شود، تیپر جریان زیر 50 میلی‌آمپر به مدت 60 ثانیه بماند، و سقف کلی 1 ساعت رد نشود.
گام ۳: وضعیت کانال را در پنل نگاه کن (حداکثر تا 3600 ثانیه).
گام ۴: بعد از کامل شدن شستشو باید وضعیت FLOAT شود (state=3).</t>
        </is>
      </c>
      <c r="F10" s="24" t="inlineStr">
        <is>
          <t>—</t>
        </is>
      </c>
      <c r="G10" s="24" t="inlineStr">
        <is>
          <t>تا 3600s</t>
        </is>
      </c>
      <c r="H10" s="22" t="inlineStr">
        <is>
          <t>ورود FLOAT بعد از شستشوی کامل</t>
        </is>
      </c>
      <c r="I10" s="22" t="inlineStr">
        <is>
          <t>یک‌بار</t>
        </is>
      </c>
      <c r="J10" s="22" t="inlineStr">
        <is>
          <t>state=3 بعد از شرط شستشو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CH-007</t>
        </is>
      </c>
      <c r="B11" s="17" t="inlineStr">
        <is>
          <t>FLOAT و reentry</t>
        </is>
      </c>
      <c r="C11" s="19" t="inlineStr">
        <is>
          <t>متوسط</t>
        </is>
      </c>
      <c r="D11" s="17" t="inlineStr">
        <is>
          <t>در FLOAT</t>
        </is>
      </c>
      <c r="E11" s="17" t="inlineStr">
        <is>
          <t>گام ۱: شارژ را در حالت FLOAT نگه دار؛ duty باید پارک و صفر باشد.
گام ۲: ولتاژ باتری را به زیر 12.8 ولت (12800 میلی‌ولت) بیاور.
گام ۳: 30 ثانیه وضعیت را نگاه کن.
گام ۴: فقط وقتی زیر 12.8 ولت رفت باید برگردد به BULK (state=1) و آن هم با رمپ نرم از duty کم.</t>
        </is>
      </c>
      <c r="F11" s="19" t="inlineStr">
        <is>
          <t>v_bat&lt;12800mV</t>
        </is>
      </c>
      <c r="G11" s="19" t="inlineStr">
        <is>
          <t>30s</t>
        </is>
      </c>
      <c r="H11" s="17" t="inlineStr">
        <is>
          <t>پارک روی duty صفر؛ reentry به BULK فقط زیر 12.8V</t>
        </is>
      </c>
      <c r="I11" s="17" t="inlineStr">
        <is>
          <t>—</t>
        </is>
      </c>
      <c r="J11" s="17" t="inlineStr">
        <is>
          <t>state=1 با رمپ نرم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CH-008</t>
        </is>
      </c>
      <c r="B12" s="22" t="inlineStr">
        <is>
          <t>خطای سخت جریان</t>
        </is>
      </c>
      <c r="C12" s="23" t="inlineStr">
        <is>
          <t>بالا</t>
        </is>
      </c>
      <c r="D12" s="22" t="inlineStr">
        <is>
          <t>در BULK</t>
        </is>
      </c>
      <c r="E12" s="22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12" s="24" t="inlineStr">
        <is>
          <t>I_unfilt&gt;950mA</t>
        </is>
      </c>
      <c r="G12" s="24" t="inlineStr">
        <is>
          <t>1s</t>
        </is>
      </c>
      <c r="H12" s="22" t="inlineStr">
        <is>
          <t>ریست کانال (PWM صفر فوری و شروع دوباره)</t>
        </is>
      </c>
      <c r="I12" s="22" t="inlineStr">
        <is>
          <t>لحظه‌ای</t>
        </is>
      </c>
      <c r="J12" s="22" t="inlineStr">
        <is>
          <t>PWM=0 فوری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CH-009</t>
        </is>
      </c>
      <c r="B13" s="17" t="inlineStr">
        <is>
          <t>تریپ JIT اول</t>
        </is>
      </c>
      <c r="C13" s="18" t="inlineStr">
        <is>
          <t>بالا</t>
        </is>
      </c>
      <c r="D13" s="17" t="inlineStr">
        <is>
          <t>شارژ فعال</t>
        </is>
      </c>
      <c r="E13" s="17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13" s="19" t="inlineStr">
        <is>
          <t>JIT falling (PB2/PB6)</t>
        </is>
      </c>
      <c r="G13" s="19" t="inlineStr">
        <is>
          <t>10s</t>
        </is>
      </c>
      <c r="H13" s="17" t="inlineStr">
        <is>
          <t>PWM همان کانال صفر؛ بعد از lockout 3000ms ریتری با نصف duty</t>
        </is>
      </c>
      <c r="I13" s="17" t="inlineStr">
        <is>
          <t>retry خودکار</t>
        </is>
      </c>
      <c r="J13" s="17" t="inlineStr">
        <is>
          <t>state=5 → ریتری 50٪ duty قبل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CH-010</t>
        </is>
      </c>
      <c r="B14" s="22" t="inlineStr">
        <is>
          <t>ریتری دوم</t>
        </is>
      </c>
      <c r="C14" s="24" t="inlineStr">
        <is>
          <t>متوسط</t>
        </is>
      </c>
      <c r="D14" s="22" t="inlineStr">
        <is>
          <t>تریپ دوم همان کانال</t>
        </is>
      </c>
      <c r="E14" s="28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4" s="24" t="inlineStr">
        <is>
          <t>—</t>
        </is>
      </c>
      <c r="G14" s="24" t="inlineStr">
        <is>
          <t>10s</t>
        </is>
      </c>
      <c r="H14" s="22" t="inlineStr">
        <is>
          <t>ریتری دوم حداکثر 10٪ (100‰)</t>
        </is>
      </c>
      <c r="I14" s="22" t="inlineStr">
        <is>
          <t>—</t>
        </is>
      </c>
      <c r="J14" s="22" t="inlineStr">
        <is>
          <t>duty≤100‰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54" customHeight="1">
      <c r="A15" s="16" t="inlineStr">
        <is>
          <t>CH-011</t>
        </is>
      </c>
      <c r="B15" s="17" t="inlineStr">
        <is>
          <t>تریپ سوم FINAL</t>
        </is>
      </c>
      <c r="C15" s="18" t="inlineStr">
        <is>
          <t>بالا</t>
        </is>
      </c>
      <c r="D15" s="17" t="inlineStr">
        <is>
          <t>دو تریپ ثبت‌شده</t>
        </is>
      </c>
      <c r="E15" s="26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5" s="19" t="inlineStr">
        <is>
          <t>—</t>
        </is>
      </c>
      <c r="G15" s="19" t="inlineStr">
        <is>
          <t>—</t>
        </is>
      </c>
      <c r="H15" s="17" t="inlineStr">
        <is>
          <t>FINAL_FAULT: هر دو PWM صفر + رله باز؛ فقط ریبوت پاک می‌کند</t>
        </is>
      </c>
      <c r="I15" s="17" t="inlineStr">
        <is>
          <t>latch دائمی تا ریبوت</t>
        </is>
      </c>
      <c r="J15" s="17" t="inlineStr">
        <is>
          <t>state=7؛ رله باز؛ بدون ریبوت برنمی‌گردد</t>
        </is>
      </c>
      <c r="K15" s="17" t="inlineStr"/>
      <c r="L15" s="20" t="inlineStr">
        <is>
          <t>در انتظار</t>
        </is>
      </c>
      <c r="M15" s="17" t="inlineStr"/>
      <c r="N15" s="17" t="inlineStr"/>
      <c r="O15" s="19" t="inlineStr">
        <is>
          <t>TESTER: fill</t>
        </is>
      </c>
      <c r="P15" s="19" t="inlineStr"/>
      <c r="Q15" s="21" t="inlineStr">
        <is>
          <t>2026-09-23</t>
        </is>
      </c>
    </row>
    <row r="16" ht="54" customHeight="1">
      <c r="A16" s="16" t="inlineStr">
        <is>
          <t>CH-012</t>
        </is>
      </c>
      <c r="B16" s="22" t="inlineStr">
        <is>
          <t>اعتبار sense باتری</t>
        </is>
      </c>
      <c r="C16" s="23" t="inlineStr">
        <is>
          <t>بالا</t>
        </is>
      </c>
      <c r="D16" s="22" t="inlineStr">
        <is>
          <t>شارژ فعال</t>
        </is>
      </c>
      <c r="E16" s="22" t="inlineStr">
        <is>
          <t>گام ۱: شارژ فعال باشد.
گام ۲: ولتاژ sense کانال را از بازه بیرون ببر: یک بار زیر 2000 میلی‌ولت و یک بار بالای 15000 میلی‌ولت.
گام ۳: در هر دو حالت (در حد 1 ثانیه) گیت را نگاه کن: PWM همان کانال باید صفر شود.
گام ۴: ولتاژ را به بازهٔ 2000 تا 15000 برگردان؛ PWM باید بعد از رفع خطا برگردد.</t>
        </is>
      </c>
      <c r="F16" s="24" t="inlineStr">
        <is>
          <t>v_bat خارج 2000..15000mV</t>
        </is>
      </c>
      <c r="G16" s="24" t="inlineStr">
        <is>
          <t>1s</t>
        </is>
      </c>
      <c r="H16" s="22" t="inlineStr">
        <is>
          <t>PWM همان کانال صفر تا رفع</t>
        </is>
      </c>
      <c r="I16" s="22" t="inlineStr">
        <is>
          <t>تا رفع شرط</t>
        </is>
      </c>
      <c r="J16" s="22" t="inlineStr">
        <is>
          <t>PWM=0</t>
        </is>
      </c>
      <c r="K16" s="22" t="inlineStr"/>
      <c r="L16" s="20" t="inlineStr">
        <is>
          <t>در انتظار</t>
        </is>
      </c>
      <c r="M16" s="22" t="inlineStr"/>
      <c r="N16" s="22" t="inlineStr"/>
      <c r="O16" s="24" t="inlineStr">
        <is>
          <t>TESTER: fill</t>
        </is>
      </c>
      <c r="P16" s="24" t="inlineStr"/>
      <c r="Q16" s="25" t="inlineStr">
        <is>
          <t>2026-09-23</t>
        </is>
      </c>
    </row>
    <row r="17" ht="54" customHeight="1">
      <c r="A17" s="16" t="inlineStr">
        <is>
          <t>CH-013</t>
        </is>
      </c>
      <c r="B17" s="17" t="inlineStr">
        <is>
          <t>مود دستی: ورود</t>
        </is>
      </c>
      <c r="C17" s="18" t="inlineStr">
        <is>
          <t>بالا</t>
        </is>
      </c>
      <c r="D17" s="17" t="inlineStr">
        <is>
          <t>پنل ESP وصل، ورودی ۲۴V</t>
        </is>
      </c>
      <c r="E17" s="17" t="inlineStr">
        <is>
          <t>گام ۱: پنل ESP را وصل کن و ورودی 24 ولت بده.
گام ۲: پارامتر 19 را روی 1 بگذار و تأیید کن تا مود دستی فعال شود (با دیالوگ تأیید).
گام ۳: برای پارامترهای 16 و 18 مقدار 200 پرمیل duty بده.
گام ۴: در 5 ثانیه اول چک کن: وضعیت هر دو کانال 9 (state=9) شود و duty مستقیم و بدون رمپ روی 200 پرمیل بنشیند؛ در این مود توقف 14.4 ولت و BAT_LOST غیرفعال‌اند.</t>
        </is>
      </c>
      <c r="F17" s="19" t="inlineStr">
        <is>
          <t>ID19=1، ID16/18=200‰</t>
        </is>
      </c>
      <c r="G17" s="19" t="inlineStr">
        <is>
          <t>5s</t>
        </is>
      </c>
      <c r="H17" s="17" t="inlineStr">
        <is>
          <t>state=9 هر دو کانال؛ duty مستقیم بدون رمپ؛ توقف 14.4V و BAT_LOST غیرفعال</t>
        </is>
      </c>
      <c r="I17" s="17" t="inlineStr">
        <is>
          <t>تا خروج از مود</t>
        </is>
      </c>
      <c r="J17" s="17" t="inlineStr">
        <is>
          <t>duty فوری=200‰ هر دو</t>
        </is>
      </c>
      <c r="K17" s="17" t="inlineStr"/>
      <c r="L17" s="20" t="inlineStr">
        <is>
          <t>در انتظار</t>
        </is>
      </c>
      <c r="M17" s="17" t="inlineStr"/>
      <c r="N17" s="17" t="inlineStr"/>
      <c r="O17" s="19" t="inlineStr">
        <is>
          <t>TESTER: fill</t>
        </is>
      </c>
      <c r="P17" s="19" t="inlineStr"/>
      <c r="Q17" s="21" t="inlineStr">
        <is>
          <t>2026-09-23</t>
        </is>
      </c>
    </row>
    <row r="18" ht="54" customHeight="1">
      <c r="A18" s="16" t="inlineStr">
        <is>
          <t>CH-014</t>
        </is>
      </c>
      <c r="B18" s="22" t="inlineStr">
        <is>
          <t>مود دستی: ددمن لینک</t>
        </is>
      </c>
      <c r="C18" s="23" t="inlineStr">
        <is>
          <t>بالا</t>
        </is>
      </c>
      <c r="D18" s="22" t="inlineStr">
        <is>
          <t>در مود دستی</t>
        </is>
      </c>
      <c r="E18" s="28" t="inlineStr">
        <is>
          <t>گام ۱: شارژر را در مود دستی با duty فعال نگه دار (CH-013).
گام ۲: لینک ESP را کامل قطع کن تا هیچ فریمی به برد نرسد.
گام ۳: از زمان قطع لینک، حداکثر 4 ثانیه duty هر دو کانال را نگاه کن.
گام ۴: حداکثر تا 3000 میلی‌ثانیه باید هر دو duty خودکار صفر شوند و شارژر به حالت خودکار برگردد.</t>
        </is>
      </c>
      <c r="F18" s="24" t="inlineStr">
        <is>
          <t>سکوت لینک</t>
        </is>
      </c>
      <c r="G18" s="24" t="inlineStr">
        <is>
          <t>4s</t>
        </is>
      </c>
      <c r="H18" s="22" t="inlineStr">
        <is>
          <t>خروج خودکار: هر دو duty صفر + بازگشت شارژر خودکار</t>
        </is>
      </c>
      <c r="I18" s="22" t="inlineStr">
        <is>
          <t>—</t>
        </is>
      </c>
      <c r="J18" s="22" t="inlineStr">
        <is>
          <t>duty=0 در ≤3000ms</t>
        </is>
      </c>
      <c r="K18" s="22" t="inlineStr"/>
      <c r="L18" s="20" t="inlineStr">
        <is>
          <t>در انتظار</t>
        </is>
      </c>
      <c r="M18" s="22" t="inlineStr"/>
      <c r="N18" s="22" t="inlineStr"/>
      <c r="O18" s="24" t="inlineStr">
        <is>
          <t>TESTER: fill</t>
        </is>
      </c>
      <c r="P18" s="24" t="inlineStr"/>
      <c r="Q18" s="25" t="inlineStr">
        <is>
          <t>2026-09-23</t>
        </is>
      </c>
    </row>
    <row r="19" ht="54" customHeight="1">
      <c r="A19" s="16" t="inlineStr">
        <is>
          <t>CH-015</t>
        </is>
      </c>
      <c r="B19" s="17" t="inlineStr">
        <is>
          <t>مود دستی: JIT و re-arm</t>
        </is>
      </c>
      <c r="C19" s="18" t="inlineStr">
        <is>
          <t>بالا</t>
        </is>
      </c>
      <c r="D19" s="17" t="inlineStr">
        <is>
          <t>در مود دستی</t>
        </is>
      </c>
      <c r="E19" s="26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9" s="19" t="inlineStr">
        <is>
          <t>JIT trip در مود دستی</t>
        </is>
      </c>
      <c r="G19" s="19" t="inlineStr">
        <is>
          <t>15s</t>
        </is>
      </c>
      <c r="H19" s="17" t="inlineStr">
        <is>
          <t>پارک با duty صفر و state=5 بدون ریتری خودکار؛ ارسال مجدد duty کانال را مسلح می‌کند؛ سومین تریپ FINAL_FAULT</t>
        </is>
      </c>
      <c r="I19" s="17" t="inlineStr">
        <is>
          <t>پارک تا re-arm انسانی</t>
        </is>
      </c>
      <c r="J19" s="17" t="inlineStr">
        <is>
          <t>state=5 → بعد از ارسال duty، درایو برگردد</t>
        </is>
      </c>
      <c r="K19" s="17" t="inlineStr"/>
      <c r="L19" s="20" t="inlineStr">
        <is>
          <t>در انتظار</t>
        </is>
      </c>
      <c r="M19" s="17" t="inlineStr"/>
      <c r="N19" s="17" t="inlineStr"/>
      <c r="O19" s="19" t="inlineStr">
        <is>
          <t>TESTER: fill</t>
        </is>
      </c>
      <c r="P19" s="19" t="inlineStr"/>
      <c r="Q19" s="21" t="inlineStr">
        <is>
          <t>2026-09-23</t>
        </is>
      </c>
    </row>
    <row r="20" ht="54" customHeight="1">
      <c r="A20" s="16" t="inlineStr">
        <is>
          <t>CH-016</t>
        </is>
      </c>
      <c r="B20" s="22" t="inlineStr">
        <is>
          <t>مود دستی: قطع 15V</t>
        </is>
      </c>
      <c r="C20" s="23" t="inlineStr">
        <is>
          <t>بالا</t>
        </is>
      </c>
      <c r="D20" s="22" t="inlineStr">
        <is>
          <t>در مود دستی، electronic load با clamp</t>
        </is>
      </c>
      <c r="E20" s="22" t="inlineStr">
        <is>
          <t>گام ۱: در مود دستی، یک electronic load با clamp وصل کن.
گام ۲: ولتاژ کانال را به 15.0 ولت (15000 میلی‌ولت) و بالاتر برسان.
گام ۳: 5 ثانیه نگاه کن: بالای 15 ولت duty باید صفر باشد.
گام ۴: ولتاژ را زیر 15 ولت بیاور؛ شارژ باید خودکار ادامه پیدا کند.</t>
        </is>
      </c>
      <c r="F20" s="24" t="inlineStr">
        <is>
          <t>v_bat≥15000mV</t>
        </is>
      </c>
      <c r="G20" s="24" t="inlineStr">
        <is>
          <t>5s</t>
        </is>
      </c>
      <c r="H20" s="22" t="inlineStr">
        <is>
          <t>duty صفر؛ با افت زیر 15V ادامهٔ خودکار</t>
        </is>
      </c>
      <c r="I20" s="22" t="inlineStr">
        <is>
          <t>خودکار</t>
        </is>
      </c>
      <c r="J20" s="22" t="inlineStr">
        <is>
          <t>PWM=0 بالای 15V و برگشت زیرش</t>
        </is>
      </c>
      <c r="K20" s="22" t="inlineStr"/>
      <c r="L20" s="20" t="inlineStr">
        <is>
          <t>در انتظار</t>
        </is>
      </c>
      <c r="M20" s="22" t="inlineStr"/>
      <c r="N20" s="22" t="inlineStr"/>
      <c r="O20" s="24" t="inlineStr">
        <is>
          <t>TESTER: fill</t>
        </is>
      </c>
      <c r="P20" s="24" t="inlineStr"/>
      <c r="Q20" s="25" t="inlineStr">
        <is>
          <t>2026-09-23</t>
        </is>
      </c>
    </row>
    <row r="21" ht="54" customHeight="1">
      <c r="A21" s="16" t="inlineStr">
        <is>
          <t>CH-017</t>
        </is>
      </c>
      <c r="B21" s="17" t="inlineStr">
        <is>
          <t>مود دستی: قطع کانال</t>
        </is>
      </c>
      <c r="C21" s="19" t="inlineStr">
        <is>
          <t>متوسط</t>
        </is>
      </c>
      <c r="D21" s="17" t="inlineStr">
        <is>
          <t>در مود دستی</t>
        </is>
      </c>
      <c r="E21" s="26" t="inlineStr">
        <is>
          <t>گام ۱: در مود دستی با هر دو کانال فعال باش (CH-013).
گام ۲: پارامتر 11 را روی 0 بگذار (قطع کانال ۱).
گام ۳: 2 ثانیه نگاه کن: duty کانال ۱ باید صفر شود ولی وضعیت همچنان 9 (state=9) بماند.
گام ۴: کانال ۲ نباید تغییری کرده باشد.</t>
        </is>
      </c>
      <c r="F21" s="19" t="inlineStr">
        <is>
          <t>ID11=0</t>
        </is>
      </c>
      <c r="G21" s="19" t="inlineStr">
        <is>
          <t>2s</t>
        </is>
      </c>
      <c r="H21" s="17" t="inlineStr">
        <is>
          <t>duty کانال ۱ صفر؛ state همچنان 9</t>
        </is>
      </c>
      <c r="I21" s="17" t="inlineStr">
        <is>
          <t>—</t>
        </is>
      </c>
      <c r="J21" s="17" t="inlineStr">
        <is>
          <t>PWM1=0، state=9</t>
        </is>
      </c>
      <c r="K21" s="17" t="inlineStr"/>
      <c r="L21" s="20" t="inlineStr">
        <is>
          <t>در انتظار</t>
        </is>
      </c>
      <c r="M21" s="17" t="inlineStr"/>
      <c r="N21" s="17" t="inlineStr"/>
      <c r="O21" s="19" t="inlineStr">
        <is>
          <t>TESTER: fill</t>
        </is>
      </c>
      <c r="P21" s="19" t="inlineStr"/>
      <c r="Q21" s="21" t="inlineStr">
        <is>
          <t>2026-09-23</t>
        </is>
      </c>
    </row>
    <row r="22" ht="54" customHeight="1">
      <c r="A22" s="16" t="inlineStr">
        <is>
          <t>CH-018</t>
        </is>
      </c>
      <c r="B22" s="22" t="inlineStr">
        <is>
          <t>خروج از مود دستی</t>
        </is>
      </c>
      <c r="C22" s="23" t="inlineStr">
        <is>
          <t>بالا</t>
        </is>
      </c>
      <c r="D22" s="22" t="inlineStr">
        <is>
          <t>در مود دستی</t>
        </is>
      </c>
      <c r="E22" s="28" t="inlineStr">
        <is>
          <t>گام ۱: در مود دستی باش (CH-013).
گام ۲: پارامتر 19 را از پنل روی 0 بگذار تا مود دستی خاموش شود.
گام ۳: 20 ثانیه نگاه کن: هر دو duty صفر شوند و وضعیت از 9 خارج شود (state≠9).
گام ۴: شارژر خودکار باید از OFF شروع کند، گیت 15 ثانیه‌ای ثبات را بگذراند و بعد وارد BULK شود.</t>
        </is>
      </c>
      <c r="F22" s="24" t="inlineStr">
        <is>
          <t>ID19=0</t>
        </is>
      </c>
      <c r="G22" s="24" t="inlineStr">
        <is>
          <t>20s</t>
        </is>
      </c>
      <c r="H22" s="22" t="inlineStr">
        <is>
          <t>هر دو duty صفر؛ شارژر خودکار از OFF با گیت ۱۵s دوباره</t>
        </is>
      </c>
      <c r="I22" s="22" t="inlineStr">
        <is>
          <t>—</t>
        </is>
      </c>
      <c r="J22" s="22" t="inlineStr">
        <is>
          <t>state≠9؛ settle→BULK</t>
        </is>
      </c>
      <c r="K22" s="22" t="inlineStr"/>
      <c r="L22" s="20" t="inlineStr">
        <is>
          <t>در انتظار</t>
        </is>
      </c>
      <c r="M22" s="22" t="inlineStr"/>
      <c r="N22" s="22" t="inlineStr"/>
      <c r="O22" s="24" t="inlineStr">
        <is>
          <t>TESTER: fill</t>
        </is>
      </c>
      <c r="P22" s="24" t="inlineStr"/>
      <c r="Q22" s="25" t="inlineStr">
        <is>
          <t>2026-09-23</t>
        </is>
      </c>
    </row>
    <row r="23" ht="54" customHeight="1">
      <c r="A23" s="16" t="inlineStr">
        <is>
          <t>CH-019</t>
        </is>
      </c>
      <c r="B23" s="17" t="inlineStr">
        <is>
          <t>سقف duty زنده</t>
        </is>
      </c>
      <c r="C23" s="19" t="inlineStr">
        <is>
          <t>متوسط</t>
        </is>
      </c>
      <c r="D23" s="17" t="inlineStr">
        <is>
          <t>—</t>
        </is>
      </c>
      <c r="E23" s="17" t="inlineStr">
        <is>
          <t>گام ۱: پارامترهای 13 و 14 (سقف duty دو کانال) را روی 200 پرمیل بگذار.
گام ۲: یکی‌یکی این مسیرها را امتحان کن: duty ثابت خودکار، duty دستی از پنل، و رمپ نرم شروع شارژ.
گام ۳: در هر مسیر 10 ثانیه duty واقعی گیت را با اسکوپ یا پنل بخوان.
گام ۴: در هیچ مسیری duty نباید از 200 پرمیل بالاتر برود.</t>
        </is>
      </c>
      <c r="F23" s="19" t="inlineStr">
        <is>
          <t>ID13=200</t>
        </is>
      </c>
      <c r="G23" s="19" t="inlineStr">
        <is>
          <t>10s</t>
        </is>
      </c>
      <c r="H23" s="17" t="inlineStr">
        <is>
          <t>همهٔ مسیرهای duty به سقف زمان-اجرا گیره می‌خورند</t>
        </is>
      </c>
      <c r="I23" s="17" t="inlineStr">
        <is>
          <t>—</t>
        </is>
      </c>
      <c r="J23" s="17" t="inlineStr">
        <is>
          <t>duty≤200‰ در همهٔ حالت‌ها</t>
        </is>
      </c>
      <c r="K23" s="17" t="inlineStr"/>
      <c r="L23" s="20" t="inlineStr">
        <is>
          <t>در انتظار</t>
        </is>
      </c>
      <c r="M23" s="17" t="inlineStr"/>
      <c r="N23" s="17" t="inlineStr"/>
      <c r="O23" s="19" t="inlineStr">
        <is>
          <t>TESTER: fill</t>
        </is>
      </c>
      <c r="P23" s="19" t="inlineStr"/>
      <c r="Q23" s="21" t="inlineStr">
        <is>
          <t>2026-09-23</t>
        </is>
      </c>
    </row>
    <row r="24" ht="54" customHeight="1">
      <c r="A24" s="16" t="inlineStr">
        <is>
          <t>CH-035</t>
        </is>
      </c>
      <c r="B24" s="22" t="inlineStr">
        <is>
          <t>snapshot zeroing</t>
        </is>
      </c>
      <c r="C24" s="23" t="inlineStr">
        <is>
          <t>بالا</t>
        </is>
      </c>
      <c r="D24" s="22" t="inlineStr">
        <is>
          <t>snapshot نامعتبر</t>
        </is>
      </c>
      <c r="E24" s="22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24" s="24" t="inlineStr">
        <is>
          <t>valid=false</t>
        </is>
      </c>
      <c r="G24" s="24" t="inlineStr">
        <is>
          <t>5s</t>
        </is>
      </c>
      <c r="H24" s="22" t="inlineStr">
        <is>
          <t>شارژر باید safe-idle بماند؛ duty صفر؛ بدون تصمیم بر اساس v_in/v_bat زباله؛ مانند task_protection هر 9 فیلد صفر</t>
        </is>
      </c>
      <c r="I24" s="22" t="inlineStr">
        <is>
          <t>safe-idle</t>
        </is>
      </c>
      <c r="J24" s="22" t="inlineStr">
        <is>
          <t>duty=0 بدون overcurrent کاذب</t>
        </is>
      </c>
      <c r="K24" s="22" t="n"/>
      <c r="L24" s="29" t="inlineStr">
        <is>
          <t>نیاز به تکرار</t>
        </is>
      </c>
      <c r="M24" s="22" t="n"/>
      <c r="N24" s="22" t="n"/>
      <c r="O24" s="24" t="inlineStr">
        <is>
          <t>62f3782</t>
        </is>
      </c>
      <c r="P24" s="24" t="n"/>
      <c r="Q24" s="25" t="inlineStr">
        <is>
          <t>2026-10-12</t>
        </is>
      </c>
    </row>
    <row r="25" ht="54" customHeight="1">
      <c r="A25" s="16" t="inlineStr">
        <is>
          <t>CH-036</t>
        </is>
      </c>
      <c r="B25" s="17" t="inlineStr">
        <is>
          <t>استراحت حرارتی 1h-&gt;10min</t>
        </is>
      </c>
      <c r="C25" s="18" t="inlineStr">
        <is>
          <t>بالا</t>
        </is>
      </c>
      <c r="D25" s="17" t="inlineStr">
        <is>
          <t>دو کانال BULK جریان ماکس 650mA</t>
        </is>
      </c>
      <c r="E25" s="17" t="inlineStr">
        <is>
          <t>گام ۱: هر دو کانال را در BULK با جریان نزدیک سقف (دست‌کم 600 میلی‌آمپر) راه بینداز.
گام ۲: یک ساعت (70 دقیقه با حاشیه) بی‌وقفه شارژ کن و PWM هر دو کانال را زیر نظر بگیر.
گام ۳: بعد از 1 ساعت شارژ سنگین، هر کانال باید 10 دقیقه استراحت حرارتی برود: PWM صفر ولی رله بسته می‌ماند.
گام ۴: بعد از 10 دقیقه استراحت، شارژ باید خودش ادامه پیدا کند. اگر استراحت نیامد، تست رد است.</t>
        </is>
      </c>
      <c r="F25" s="19" t="inlineStr">
        <is>
          <t>i&gt;=600 BULK 1h</t>
        </is>
      </c>
      <c r="G25" s="19" t="inlineStr">
        <is>
          <t>70min</t>
        </is>
      </c>
      <c r="H25" s="17" t="inlineStr">
        <is>
          <t>بعد 1h هر کانال 10min PWM=0 THERMAL_REST سپس ادامه</t>
        </is>
      </c>
      <c r="I25" s="17" t="inlineStr">
        <is>
          <t>—</t>
        </is>
      </c>
      <c r="J25" s="17" t="inlineStr">
        <is>
          <t>PASS: PWM صفر در استراحت + رله بسته. FAIL: عدم استراحت</t>
        </is>
      </c>
      <c r="K25" s="17" t="n"/>
      <c r="L25" s="29" t="inlineStr">
        <is>
          <t>نیاز به تکرار</t>
        </is>
      </c>
      <c r="M25" s="17" t="n"/>
      <c r="N25" s="17" t="n"/>
      <c r="O25" s="19" t="inlineStr">
        <is>
          <t>thermal</t>
        </is>
      </c>
      <c r="P25" s="19" t="n"/>
      <c r="Q25" s="21" t="inlineStr">
        <is>
          <t>2026-10-12</t>
        </is>
      </c>
    </row>
    <row r="26" ht="54" customHeight="1">
      <c r="A26" s="16" t="inlineStr">
        <is>
          <t>CH-037</t>
        </is>
      </c>
      <c r="B26" s="22" t="inlineStr">
        <is>
          <t>ورودی خارج بازه 22-30V</t>
        </is>
      </c>
      <c r="C26" s="23" t="inlineStr">
        <is>
          <t>بالا</t>
        </is>
      </c>
      <c r="D26" s="22" t="inlineStr">
        <is>
          <t>Vin متغیر</t>
        </is>
      </c>
      <c r="E26" s="22" t="inlineStr">
        <is>
          <t>گام ۱: منبع ورودی متغیر وصل کن و شارژ را در 24 ولت راه بینداز.
گام ۲: ولتاژ ورودی را روی 20 ولت بگذار و 5 ثانیه نگاه کن: PWM باید صفر و وضعیت INPUT_WAIT باشد.
گام ۳: ولتاژ را روی 31 ولت بگذار و 5 ثانیه نگاه کن: باز هم PWM صفر و INPUT_WAIT.
گام ۴: به 24 ولت برگردان؛ شارژ باید برگردد. نتیجه: فقط در بازهٔ 22 تا 30 ولت شارژ مجاز است.</t>
        </is>
      </c>
      <c r="F26" s="24" t="inlineStr">
        <is>
          <t>Vin 20V و 31V</t>
        </is>
      </c>
      <c r="G26" s="24" t="inlineStr">
        <is>
          <t>5s</t>
        </is>
      </c>
      <c r="H26" s="22" t="inlineStr">
        <is>
          <t>در هر دو PWM=0 و INPUT_WAIT، فقط 22-30V شارژ</t>
        </is>
      </c>
      <c r="I26" s="22" t="inlineStr">
        <is>
          <t>—</t>
        </is>
      </c>
      <c r="J26" s="22" t="inlineStr">
        <is>
          <t>PASS: عدم شارژ خارج بازه. FAIL: شارژ خارج بازه</t>
        </is>
      </c>
      <c r="K26" s="22" t="n"/>
      <c r="L26" s="29" t="inlineStr">
        <is>
          <t>نیاز به تکرار</t>
        </is>
      </c>
      <c r="M26" s="22" t="n"/>
      <c r="N26" s="22" t="n"/>
      <c r="O26" s="24" t="inlineStr">
        <is>
          <t>thermal</t>
        </is>
      </c>
      <c r="P26" s="24" t="n"/>
      <c r="Q26" s="25" t="inlineStr">
        <is>
          <t>2026-10-12</t>
        </is>
      </c>
    </row>
    <row r="27" ht="54" customHeight="1">
      <c r="A27" s="16" t="inlineStr">
        <is>
          <t>CH-038</t>
        </is>
      </c>
      <c r="B27" s="17" t="inlineStr">
        <is>
          <t>حفظ THERMAL_REST در SafeIdle</t>
        </is>
      </c>
      <c r="C27" s="19" t="inlineStr">
        <is>
          <t>متوسط</t>
        </is>
      </c>
      <c r="D27" s="17" t="inlineStr">
        <is>
          <t>کانال در استراحت حرارتی</t>
        </is>
      </c>
      <c r="E27" s="26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27" s="19" t="inlineStr">
        <is>
          <t>valid=false حین rest</t>
        </is>
      </c>
      <c r="G27" s="19" t="inlineStr">
        <is>
          <t>2s</t>
        </is>
      </c>
      <c r="H27" s="17" t="inlineStr">
        <is>
          <t>THERMAL_REST حفظ نه OFF</t>
        </is>
      </c>
      <c r="I27" s="17" t="inlineStr">
        <is>
          <t>—</t>
        </is>
      </c>
      <c r="J27" s="17" t="inlineStr">
        <is>
          <t>PASS: SafeIdle لچ حرارتی را پاک نکند</t>
        </is>
      </c>
      <c r="K27" s="17" t="n"/>
      <c r="L27" s="30" t="inlineStr">
        <is>
          <t>قبول</t>
        </is>
      </c>
      <c r="M27" s="17" t="n"/>
      <c r="N27" s="17" t="inlineStr">
        <is>
          <t>کد بازبینی</t>
        </is>
      </c>
      <c r="O27" s="19" t="inlineStr">
        <is>
          <t>thermal</t>
        </is>
      </c>
      <c r="P27" s="19" t="n"/>
      <c r="Q27" s="21" t="inlineStr">
        <is>
          <t>2026-10-12</t>
        </is>
      </c>
    </row>
    <row r="28" ht="54" customHeight="1">
      <c r="A28" s="16" t="inlineStr">
        <is>
          <t>CH-039</t>
        </is>
      </c>
      <c r="B28" s="22" t="inlineStr">
        <is>
          <t>تعلیق شارژر هنگام ذخیرهٔ فلش</t>
        </is>
      </c>
      <c r="C28" s="23" t="inlineStr">
        <is>
          <t>بالا</t>
        </is>
      </c>
      <c r="D28" s="22" t="inlineStr">
        <is>
          <t>شارژ فعال (BULK)</t>
        </is>
      </c>
      <c r="E28" s="22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28" s="24" t="inlineStr">
        <is>
          <t>شارژ فعال + ذخیرهٔ فلش</t>
        </is>
      </c>
      <c r="G28" s="24" t="inlineStr">
        <is>
          <t>2s</t>
        </is>
      </c>
      <c r="H28" s="22" t="inlineStr">
        <is>
          <t>دور پاک/نوشتن فلش هر دو گیت PWM متوقف و خروجی صفر شود؛ بلافاصله بعد از ذخیره شارژ بدون پرش ادامه یابد</t>
        </is>
      </c>
      <c r="I28" s="22" t="inlineStr">
        <is>
          <t>—</t>
        </is>
      </c>
      <c r="J28" s="22" t="inlineStr">
        <is>
          <t>هیچ پالس PWM حین پاک‌کردن صفحه دیده نشود و رکورد/تنظیم سالم ذخیره شود</t>
        </is>
      </c>
      <c r="K28" s="22" t="inlineStr">
        <is>
          <t>هاست 2026-10-15: هر دو گیت سبز (مسیر Diag با 2da0ed1 اضافه شد، NVM/CalLut از قبل بود)؛ تست برد: در انتظار</t>
        </is>
      </c>
      <c r="L28" s="20" t="inlineStr">
        <is>
          <t>در انتظار</t>
        </is>
      </c>
      <c r="M28" s="22" t="n"/>
      <c r="N28" s="22" t="n"/>
      <c r="O28" s="24" t="inlineStr">
        <is>
          <t>2da0ed1</t>
        </is>
      </c>
      <c r="P28" s="24" t="n"/>
      <c r="Q28" s="25" t="inlineStr">
        <is>
          <t>2026-10-15</t>
        </is>
      </c>
    </row>
    <row r="29">
      <c r="Q29" s="31">
        <f>IF(OR(L29="",L29="در انتظار"),"",IF(Q29="",TODAY(),Q29))</f>
        <v/>
      </c>
    </row>
    <row r="30">
      <c r="Q30" s="31">
        <f>IF(OR(L30="",L30="در انتظار"),"",IF(Q30="",TODAY(),Q30))</f>
        <v/>
      </c>
    </row>
    <row r="31">
      <c r="Q31" s="31">
        <f>IF(OR(L31="",L31="در انتظار"),"",IF(Q31="",TODAY(),Q31))</f>
        <v/>
      </c>
    </row>
    <row r="32">
      <c r="Q32" s="31">
        <f>IF(OR(L32="",L32="در انتظار"),"",IF(Q32="",TODAY(),Q32))</f>
        <v/>
      </c>
    </row>
    <row r="33">
      <c r="Q33" s="31">
        <f>IF(OR(L33="",L33="در انتظار"),"",IF(Q33="",TODAY(),Q33))</f>
        <v/>
      </c>
    </row>
    <row r="34">
      <c r="Q34" s="31">
        <f>IF(OR(L34="",L34="در انتظار"),"",IF(Q34="",TODAY(),Q34))</f>
        <v/>
      </c>
    </row>
    <row r="35">
      <c r="Q35" s="31">
        <f>IF(OR(L35="",L35="در انتظار"),"",IF(Q35="",TODAY(),Q35))</f>
        <v/>
      </c>
    </row>
    <row r="36">
      <c r="Q36" s="31">
        <f>IF(OR(L36="",L36="در انتظار"),"",IF(Q36="",TODAY(),Q36))</f>
        <v/>
      </c>
    </row>
    <row r="37">
      <c r="Q37" s="31">
        <f>IF(OR(L37="",L37="در انتظار"),"",IF(Q37="",TODAY(),Q37))</f>
        <v/>
      </c>
    </row>
    <row r="38">
      <c r="Q38" s="31">
        <f>IF(OR(L38="",L38="در انتظار"),"",IF(Q38="",TODAY(),Q38))</f>
        <v/>
      </c>
    </row>
    <row r="39">
      <c r="Q39" s="31">
        <f>IF(OR(L39="",L39="در انتظار"),"",IF(Q39="",TODAY(),Q39))</f>
        <v/>
      </c>
    </row>
    <row r="40">
      <c r="Q40" s="31">
        <f>IF(OR(L40="",L40="در انتظار"),"",IF(Q40="",TODAY(),Q40))</f>
        <v/>
      </c>
    </row>
    <row r="41">
      <c r="Q41" s="31">
        <f>IF(OR(L41="",L41="در انتظار"),"",IF(Q41="",TODAY(),Q41))</f>
        <v/>
      </c>
    </row>
    <row r="42">
      <c r="Q42" s="31">
        <f>IF(OR(L42="",L42="در انتظار"),"",IF(Q42="",TODAY(),Q42))</f>
        <v/>
      </c>
    </row>
    <row r="43">
      <c r="Q43" s="31">
        <f>IF(OR(L43="",L43="در انتظار"),"",IF(Q43="",TODAY(),Q43))</f>
        <v/>
      </c>
    </row>
    <row r="44">
      <c r="Q44" s="31">
        <f>IF(OR(L44="",L44="در انتظار"),"",IF(Q44="",TODAY(),Q44))</f>
        <v/>
      </c>
    </row>
    <row r="45">
      <c r="Q45" s="31">
        <f>IF(OR(L45="",L45="در انتظار"),"",IF(Q45="",TODAY(),Q45))</f>
        <v/>
      </c>
    </row>
    <row r="46">
      <c r="Q46" s="31">
        <f>IF(OR(L46="",L46="در انتظار"),"",IF(Q46="",TODAY(),Q46))</f>
        <v/>
      </c>
    </row>
    <row r="47">
      <c r="Q47" s="31">
        <f>IF(OR(L47="",L47="در انتظار"),"",IF(Q47="",TODAY(),Q47))</f>
        <v/>
      </c>
    </row>
    <row r="48">
      <c r="Q48" s="31">
        <f>IF(OR(L48="",L48="در انتظار"),"",IF(Q48="",TODAY(),Q48))</f>
        <v/>
      </c>
    </row>
    <row r="49">
      <c r="Q49" s="31">
        <f>IF(OR(L49="",L49="در انتظار"),"",IF(Q49="",TODAY(),Q49))</f>
        <v/>
      </c>
    </row>
    <row r="50">
      <c r="Q50" s="31">
        <f>IF(OR(L50="",L50="در انتظار"),"",IF(Q50="",TODAY(),Q50))</f>
        <v/>
      </c>
    </row>
    <row r="51">
      <c r="Q51" s="31">
        <f>IF(OR(L51="",L51="در انتظار"),"",IF(Q51="",TODAY(),Q51))</f>
        <v/>
      </c>
    </row>
    <row r="52">
      <c r="Q52" s="31">
        <f>IF(OR(L52="",L52="در انتظار"),"",IF(Q52="",TODAY(),Q52))</f>
        <v/>
      </c>
    </row>
    <row r="53">
      <c r="Q53" s="31">
        <f>IF(OR(L53="",L53="در انتظار"),"",IF(Q53="",TODAY(),Q53))</f>
        <v/>
      </c>
    </row>
    <row r="54">
      <c r="Q54" s="31">
        <f>IF(OR(L54="",L54="در انتظار"),"",IF(Q54="",TODAY(),Q54))</f>
        <v/>
      </c>
    </row>
    <row r="55">
      <c r="Q55" s="31">
        <f>IF(OR(L55="",L55="در انتظار"),"",IF(Q55="",TODAY(),Q55))</f>
        <v/>
      </c>
    </row>
    <row r="56">
      <c r="Q56" s="31">
        <f>IF(OR(L56="",L56="در انتظار"),"",IF(Q56="",TODAY(),Q56))</f>
        <v/>
      </c>
    </row>
    <row r="57">
      <c r="Q57" s="31">
        <f>IF(OR(L57="",L57="در انتظار"),"",IF(Q57="",TODAY(),Q57))</f>
        <v/>
      </c>
    </row>
    <row r="58">
      <c r="Q58" s="31">
        <f>IF(OR(L58="",L58="در انتظار"),"",IF(Q58="",TODAY(),Q58))</f>
        <v/>
      </c>
    </row>
    <row r="59">
      <c r="Q59" s="31">
        <f>IF(OR(L59="",L59="در انتظار"),"",IF(Q59="",TODAY(),Q59))</f>
        <v/>
      </c>
    </row>
    <row r="60">
      <c r="Q60" s="31">
        <f>IF(OR(L60="",L60="در انتظار"),"",IF(Q60="",TODAY(),Q60))</f>
        <v/>
      </c>
    </row>
    <row r="61">
      <c r="Q61" s="31">
        <f>IF(OR(L61="",L61="در انتظار"),"",IF(Q61="",TODAY(),Q61))</f>
        <v/>
      </c>
    </row>
    <row r="62">
      <c r="Q62" s="31">
        <f>IF(OR(L62="",L62="در انتظار"),"",IF(Q62="",TODAY(),Q62))</f>
        <v/>
      </c>
    </row>
    <row r="63">
      <c r="Q63" s="31">
        <f>IF(OR(L63="",L63="در انتظار"),"",IF(Q63="",TODAY(),Q63))</f>
        <v/>
      </c>
    </row>
    <row r="64">
      <c r="Q64" s="31">
        <f>IF(OR(L64="",L64="در انتظار"),"",IF(Q64="",TODAY(),Q64))</f>
        <v/>
      </c>
    </row>
    <row r="65">
      <c r="Q65" s="31">
        <f>IF(OR(L65="",L65="در انتظار"),"",IF(Q65="",TODAY(),Q65))</f>
        <v/>
      </c>
    </row>
    <row r="66">
      <c r="Q66" s="31">
        <f>IF(OR(L66="",L66="در انتظار"),"",IF(Q66="",TODAY(),Q66))</f>
        <v/>
      </c>
    </row>
    <row r="67">
      <c r="Q67" s="31">
        <f>IF(OR(L67="",L67="در انتظار"),"",IF(Q67="",TODAY(),Q67))</f>
        <v/>
      </c>
    </row>
    <row r="68">
      <c r="Q68" s="31">
        <f>IF(OR(L68="",L68="در انتظار"),"",IF(Q68="",TODAY(),Q68))</f>
        <v/>
      </c>
    </row>
  </sheetData>
  <autoFilter ref="A4:Q28"/>
  <mergeCells count="3">
    <mergeCell ref="A3:Q3"/>
    <mergeCell ref="A2:Q2"/>
    <mergeCell ref="A1:Q1"/>
  </mergeCells>
  <dataValidations count="2">
    <dataValidation sqref="C5:C108" showDropDown="0" showInputMessage="0" showErrorMessage="0" allowBlank="1" type="list">
      <formula1>='فهرست‌ها'!$B$9:$B$11</formula1>
    </dataValidation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5" r:id="rId1"/>
    <hyperlink xmlns:r="http://schemas.openxmlformats.org/officeDocument/2006/relationships" ref="D7" r:id="rId2"/>
    <hyperlink xmlns:r="http://schemas.openxmlformats.org/officeDocument/2006/relationships" ref="E7" r:id="rId3"/>
    <hyperlink xmlns:r="http://schemas.openxmlformats.org/officeDocument/2006/relationships" ref="F7" r:id="rId4"/>
    <hyperlink xmlns:r="http://schemas.openxmlformats.org/officeDocument/2006/relationships" ref="E14" r:id="rId5"/>
    <hyperlink xmlns:r="http://schemas.openxmlformats.org/officeDocument/2006/relationships" ref="E15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1" r:id="rId9"/>
    <hyperlink xmlns:r="http://schemas.openxmlformats.org/officeDocument/2006/relationships" ref="E22" r:id="rId10"/>
    <hyperlink xmlns:r="http://schemas.openxmlformats.org/officeDocument/2006/relationships" ref="E27" r:id="rId1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Charger</t>
        </is>
      </c>
      <c r="B1" s="42" t="n"/>
      <c r="C1" s="42" t="n"/>
      <c r="D1" s="42" t="n"/>
      <c r="E1" s="43" t="n"/>
    </row>
    <row r="2"/>
    <row r="3">
      <c r="A3" s="32" t="inlineStr">
        <is>
          <t>موضوع</t>
        </is>
      </c>
      <c r="B3" s="32" t="inlineStr">
        <is>
          <t>شرط / مقدار</t>
        </is>
      </c>
      <c r="C3" s="32" t="inlineStr">
        <is>
          <t>رفتار مورد انتظار</t>
        </is>
      </c>
      <c r="D3" s="32" t="inlineStr">
        <is>
          <t>ثابت / محل کد</t>
        </is>
      </c>
      <c r="E3" s="32" t="inlineStr">
        <is>
          <t>توضیح</t>
        </is>
      </c>
    </row>
    <row r="4">
      <c r="A4" s="33" t="inlineStr">
        <is>
          <t>گیت ثبات اتصال</t>
        </is>
      </c>
      <c r="B4" s="33" t="inlineStr">
        <is>
          <t>۱۵s دیدن ولتاژ باتری</t>
        </is>
      </c>
      <c r="C4" s="33" t="inlineStr">
        <is>
          <t>OFF→BULK فقط بعد از ثبات</t>
        </is>
      </c>
      <c r="D4" s="45" t="inlineStr">
        <is>
          <t>charger.h (2026-09-19)</t>
        </is>
      </c>
      <c r="E4" s="33" t="inlineStr">
        <is>
          <t>JIT-ریتری و reentry معاف</t>
        </is>
      </c>
    </row>
    <row r="5">
      <c r="A5" s="33" t="inlineStr">
        <is>
          <t>باند تنظیم BULK</t>
        </is>
      </c>
      <c r="B5" s="33" t="inlineStr">
        <is>
          <t>630..650mA Iest</t>
        </is>
      </c>
      <c r="C5" s="33" t="inlineStr">
        <is>
          <t>پله‌های duty برای نگه‌داشت باند</t>
        </is>
      </c>
      <c r="D5" s="33" t="inlineStr">
        <is>
          <t>CHG_REGULATE_LOW_MA / CHG_BULK_CURRENT_MAX_MA</t>
        </is>
      </c>
      <c r="E5" s="33" t="inlineStr">
        <is>
          <t>تصمیم روی جریان تخمینی خروجی</t>
        </is>
      </c>
    </row>
    <row r="6">
      <c r="A6" s="33" t="inlineStr">
        <is>
          <t>خطای سخت جریان</t>
        </is>
      </c>
      <c r="B6" s="33" t="inlineStr">
        <is>
          <t>&gt;950mA</t>
        </is>
      </c>
      <c r="C6" s="33" t="inlineStr">
        <is>
          <t>ریست کانال</t>
        </is>
      </c>
      <c r="D6" s="33" t="inlineStr">
        <is>
          <t>CHG_CURRENT_HARD_FAULT_MA</t>
        </is>
      </c>
      <c r="E6" s="33" t="inlineStr">
        <is>
          <t>حداکثر ~10ms تأخیر با فیلترها</t>
        </is>
      </c>
    </row>
    <row r="7">
      <c r="A7" s="33" t="inlineStr">
        <is>
          <t>ABSORB</t>
        </is>
      </c>
      <c r="B7" s="33" t="inlineStr">
        <is>
          <t>ورود 14.3 / نگه‌داشت 14.4 / فرار 14.6V</t>
        </is>
      </c>
      <c r="C7" s="33" t="inlineStr">
        <is>
          <t>پله 0.1٪ / نزول 0.5٪</t>
        </is>
      </c>
      <c r="D7" s="33" t="inlineStr">
        <is>
          <t>CHG_ABSORB_*</t>
        </is>
      </c>
      <c r="E7" s="33" t="inlineStr">
        <is>
          <t>شستشوی ۱۰ دقیقه کل مدت</t>
        </is>
      </c>
    </row>
    <row r="8">
      <c r="A8" s="33" t="inlineStr">
        <is>
          <t>JIT</t>
        </is>
      </c>
      <c r="B8" s="33" t="inlineStr">
        <is>
          <t>lockout 3s، ریتری ۵۰٪، دوم ≤۱۰٪، سوم FINAL</t>
        </is>
      </c>
      <c r="C8" s="33" t="inlineStr">
        <is>
          <t>ریتری تک‌تک از صف</t>
        </is>
      </c>
      <c r="D8" s="33" t="inlineStr">
        <is>
          <t>CHG_JIT_LOCKOUT_MS / CHG_DUTY_RETRY_SECOND_MAX</t>
        </is>
      </c>
      <c r="E8" s="33" t="inlineStr">
        <is>
          <t>در مود دستی: بدون ریتری، فقط re-arm</t>
        </is>
      </c>
    </row>
    <row r="9">
      <c r="A9" s="33" t="inlineStr">
        <is>
          <t>مود دستی v1.2</t>
        </is>
      </c>
      <c r="B9" s="33" t="inlineStr">
        <is>
          <t>ID19، ددمن 3s، قطع 15V، سقف، قطع کانال</t>
        </is>
      </c>
      <c r="C9" s="33" t="inlineStr">
        <is>
          <t>duty مستقیم از 16/18</t>
        </is>
      </c>
      <c r="D9" s="33" t="inlineStr">
        <is>
          <t>CHG_MANUAL_WATCHDOG_MS و §5.2 سند ESP</t>
        </is>
      </c>
      <c r="E9" s="33" t="inlineStr">
        <is>
          <t>فریز Fault_Evaluate حین مود</t>
        </is>
      </c>
    </row>
  </sheetData>
  <mergeCells count="1">
    <mergeCell ref="A1:E1"/>
  </mergeCell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Charger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3" t="n"/>
    </row>
    <row r="3">
      <c r="A3" s="32" t="inlineStr">
        <is>
          <t>شماره ایراد</t>
        </is>
      </c>
      <c r="B3" s="32" t="inlineStr">
        <is>
          <t>شناسه تست</t>
        </is>
      </c>
      <c r="C3" s="32" t="inlineStr">
        <is>
          <t>تاریخ کشف</t>
        </is>
      </c>
      <c r="D3" s="32" t="inlineStr">
        <is>
          <t>شدت</t>
        </is>
      </c>
      <c r="E3" s="32" t="inlineStr">
        <is>
          <t>شرح کوتاه ایراد</t>
        </is>
      </c>
      <c r="F3" s="32" t="inlineStr">
        <is>
          <t>مراحل بازتولید</t>
        </is>
      </c>
      <c r="G3" s="32" t="inlineStr">
        <is>
          <t>انتظار</t>
        </is>
      </c>
      <c r="H3" s="32" t="inlineStr">
        <is>
          <t>واقعیت</t>
        </is>
      </c>
      <c r="I3" s="32" t="inlineStr">
        <is>
          <t>مدرک/مسیر عکس یا scope</t>
        </is>
      </c>
      <c r="J3" s="32" t="inlineStr">
        <is>
          <t>commit firmware</t>
        </is>
      </c>
      <c r="K3" s="32" t="inlineStr">
        <is>
          <t>محل احتمالی</t>
        </is>
      </c>
      <c r="L3" s="32" t="inlineStr">
        <is>
          <t>وضعیت ایراد</t>
        </is>
      </c>
      <c r="M3" s="32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Charger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Charger — دو کانال ۱۲V مستقل</t>
        </is>
      </c>
    </row>
    <row r="6">
      <c r="A6" s="13" t="inlineStr">
        <is>
          <t>تاریخ ساخت فرم</t>
        </is>
      </c>
      <c r="B6" s="13" t="inlineStr">
        <is>
          <t>2026-09-23 (1.0 — پوشش v1.2 مود دستی)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مولتی‌متر + منبع محدودشده</t>
        </is>
      </c>
    </row>
    <row r="10"/>
    <row r="11">
      <c r="A11" s="34" t="inlineStr">
        <is>
          <t>خلاصهٔ خودکار وضعیت تست‌ها</t>
        </is>
      </c>
    </row>
    <row r="12">
      <c r="A12" s="32" t="inlineStr">
        <is>
          <t>شاخص</t>
        </is>
      </c>
      <c r="B12" s="32" t="inlineStr">
        <is>
          <t>مقدار</t>
        </is>
      </c>
      <c r="C12" s="32" t="inlineStr">
        <is>
          <t>توضیح</t>
        </is>
      </c>
    </row>
    <row r="13">
      <c r="A13" s="35" t="inlineStr">
        <is>
          <t>کل تست‌ها</t>
        </is>
      </c>
      <c r="B13" s="35" t="n">
        <v>19</v>
      </c>
      <c r="C13" s="35" t="inlineStr">
        <is>
          <t>همهٔ ردیف‌های برنامه تست</t>
        </is>
      </c>
    </row>
    <row r="14">
      <c r="A14" s="35" t="inlineStr">
        <is>
          <t>قبول</t>
        </is>
      </c>
      <c r="B14" s="35">
        <f>COUNTIF('برنامه تست'!L:L,"قبول")</f>
        <v/>
      </c>
      <c r="C14" s="35" t="inlineStr">
        <is>
          <t>COUNTIF برنامه تست</t>
        </is>
      </c>
    </row>
    <row r="15">
      <c r="A15" s="35" t="inlineStr">
        <is>
          <t>رد</t>
        </is>
      </c>
      <c r="B15" s="35">
        <f>COUNTIF('برنامه تست'!L:L,"رد")</f>
        <v/>
      </c>
      <c r="C15" s="35" t="inlineStr">
        <is>
          <t>COUNTIF رد</t>
        </is>
      </c>
    </row>
    <row r="16">
      <c r="A16" s="35" t="inlineStr">
        <is>
          <t>در انتظار</t>
        </is>
      </c>
      <c r="B16" s="35">
        <f>COUNTIF('برنامه تست'!L:L,"در انتظار")</f>
        <v/>
      </c>
      <c r="C16" s="35" t="inlineStr">
        <is>
          <t>پیش از تست برد</t>
        </is>
      </c>
    </row>
    <row r="17">
      <c r="A17" s="35" t="inlineStr">
        <is>
          <t>نرخ قبولی</t>
        </is>
      </c>
      <c r="B17" s="35">
        <f>IF(19=0,0,COUNTIF('برنامه تست'!L:L,"قبول")/19)</f>
        <v/>
      </c>
      <c r="C17" s="35" t="inlineStr">
        <is>
          <t>قبول/کل</t>
        </is>
      </c>
    </row>
    <row r="18"/>
    <row r="19">
      <c r="A19" s="34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6" t="inlineStr">
        <is>
          <t>وضعیت</t>
        </is>
      </c>
    </row>
    <row r="2">
      <c r="A2" s="37" t="inlineStr">
        <is>
          <t>در انتظار</t>
        </is>
      </c>
    </row>
    <row r="3">
      <c r="A3" s="37" t="inlineStr">
        <is>
          <t>انجام شد</t>
        </is>
      </c>
    </row>
    <row r="4">
      <c r="A4" s="37" t="inlineStr">
        <is>
          <t>قبول</t>
        </is>
      </c>
    </row>
    <row r="5">
      <c r="A5" s="37" t="inlineStr">
        <is>
          <t>رد</t>
        </is>
      </c>
    </row>
    <row r="6">
      <c r="A6" s="37" t="inlineStr">
        <is>
          <t>مسدود</t>
        </is>
      </c>
    </row>
    <row r="7">
      <c r="A7" t="inlineStr">
        <is>
          <t>نیاز به تکرار</t>
        </is>
      </c>
    </row>
    <row r="8">
      <c r="A8" s="36" t="inlineStr">
        <is>
          <t>اولویت</t>
        </is>
      </c>
    </row>
    <row r="9">
      <c r="B9" s="37" t="inlineStr">
        <is>
          <t>بالا</t>
        </is>
      </c>
    </row>
    <row r="10">
      <c r="B10" s="37" t="inlineStr">
        <is>
          <t>متوسط</t>
        </is>
      </c>
    </row>
    <row r="11">
      <c r="B11" s="37" t="inlineStr">
        <is>
          <t>پایین</t>
        </is>
      </c>
    </row>
    <row r="12"/>
    <row r="13">
      <c r="A13" s="36" t="inlineStr">
        <is>
          <t>شدت</t>
        </is>
      </c>
    </row>
    <row r="14">
      <c r="A14" s="37" t="inlineStr">
        <is>
          <t>بحرانی</t>
        </is>
      </c>
    </row>
    <row r="15">
      <c r="A15" s="37" t="inlineStr">
        <is>
          <t>بالا</t>
        </is>
      </c>
    </row>
    <row r="16">
      <c r="A16" s="37" t="inlineStr">
        <is>
          <t>متوسط</t>
        </is>
      </c>
    </row>
    <row r="17">
      <c r="A17" s="3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شارژر (Charger)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Charger_State_Machine.xlsx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2026-10-16T07:44:05Z</dcterms:modified>
</cp:coreProperties>
</file>