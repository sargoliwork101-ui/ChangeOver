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برنامه تست" sheetId="2" state="visible" r:id="rId2"/>
    <sheet name="مراجع سناریو" sheetId="3" state="visible" r:id="rId3"/>
    <sheet name="ثبت ایراد" sheetId="4" state="visible" r:id="rId4"/>
    <sheet name="تأیید نهایی" sheetId="5" state="visible" r:id="rId5"/>
    <sheet name="فهرست‌ها" sheetId="6" state="visible" r:id="rId6"/>
    <sheet name="ماشین حالت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8"/>
    </font>
    <font>
      <name val="Calibri"/>
      <b val="1"/>
      <sz val="8"/>
    </font>
    <font>
      <name val="Vazirmatn"/>
      <b val="1"/>
      <color rgb="00FFFFFF"/>
      <sz val="14"/>
    </font>
    <font>
      <name val="Vazirmatn"/>
      <b val="1"/>
      <sz val="10"/>
    </font>
    <font>
      <name val="Vazirmatn"/>
      <color rgb="000563C1"/>
      <sz val="10"/>
      <u val="single"/>
    </font>
    <font>
      <name val="Vazirmatn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Charger_State_Machine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برگه تست و اعتبارسنجی عملی ماژول Charger</t>
        </is>
      </c>
    </row>
    <row r="2">
      <c r="A2" s="2" t="inlineStr">
        <is>
          <t>Charger | دو شارژر مستقل ۱۲V؛ Ch1→باتری بالا (VHIGH)، Ch2→باتری پایین (VLOW)؛ پارامترهای زندهٔ ESP + مود تست دستی v1.2</t>
        </is>
      </c>
    </row>
    <row r="3">
      <c r="A3" s="2" t="inlineStr">
        <is>
          <t>هدف فایل</t>
        </is>
      </c>
    </row>
    <row r="4">
      <c r="A4" s="2" t="inlineStr"/>
    </row>
    <row r="5">
      <c r="A5" s="2" t="inlineStr">
        <is>
          <t>سناریوها حول رفتار قابل مشاهدهٔ هر کانال: state (تله‌متری ESP)، duty (اسکوپ PA0/PA6)، رلهٔ NC و پنل ESP نوشته شده‌اند.</t>
        </is>
      </c>
    </row>
    <row r="6">
      <c r="A6" s="2" t="inlineStr">
        <is>
          <t>ثابت‌های مرجع در charger.h: باند تنظیم 630..650mA تخمینی، خطای سخت 950mA، ابزورب 14.3/14.4/14.6V، فلوت 13.5V، reentry 12.8V، سقف duty 500‰، ددمن مود دستی 3000ms.</t>
        </is>
      </c>
    </row>
    <row r="7">
      <c r="A7" s="2" t="inlineStr">
        <is>
          <t>تست مود دستی فقط با بار مقاومتی یا electronic load با voltage clamp؛ مقاومت آزاد شبیه‌ساز باتری نیست و منبع ورودی باید محدودشده باشد.</t>
        </is>
      </c>
    </row>
    <row r="8">
      <c r="A8" s="2" t="inlineStr"/>
    </row>
    <row r="9">
      <c r="A9" s="2" t="inlineStr">
        <is>
          <t>هشدار: تست مود دستی بدون باتری فقط با electronic load دارای voltage clamp؛ هرگز با مقاومت آزاد.</t>
        </is>
      </c>
    </row>
    <row r="10">
      <c r="A10" s="2" t="inlineStr">
        <is>
          <t>هشدار: منبع ورودی در تست‌های اول محدودشده باشد؛ current-limit ورودی جای حفاظت خروجی firmware نیست.</t>
        </is>
      </c>
    </row>
  </sheetData>
  <mergeCells count="10">
    <mergeCell ref="A8"/>
    <mergeCell ref="A6"/>
    <mergeCell ref="A9"/>
    <mergeCell ref="A4"/>
    <mergeCell ref="A3"/>
    <mergeCell ref="A7"/>
    <mergeCell ref="A2"/>
    <mergeCell ref="A10"/>
    <mergeCell ref="A5"/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8" customWidth="1" min="3" max="3"/>
    <col width="20" customWidth="1" min="4" max="4"/>
    <col width="26" customWidth="1" min="5" max="5"/>
    <col width="20" customWidth="1" min="6" max="6"/>
    <col width="10" customWidth="1" min="7" max="7"/>
    <col width="26" customWidth="1" min="8" max="8"/>
    <col width="14" customWidth="1" min="9" max="9"/>
    <col width="24" customWidth="1" min="10" max="10"/>
    <col width="18" customWidth="1" min="11" max="11"/>
    <col width="10" customWidth="1" min="12" max="12"/>
    <col width="18" customWidth="1" min="13" max="13"/>
    <col width="14" customWidth="1" min="14" max="14"/>
    <col width="12" customWidth="1" min="15" max="15"/>
    <col width="12" customWidth="1" min="16" max="16"/>
    <col width="11" customWidth="1" min="17" max="17"/>
  </cols>
  <sheetData>
    <row r="1">
      <c r="A1" s="1" t="inlineStr">
        <is>
          <t>برنامهٔ تست عملی — ماژول Charger</t>
        </is>
      </c>
    </row>
    <row r="2">
      <c r="A2" s="2" t="inlineStr">
        <is>
          <t>وضعیت فقط یکی از: در انتظار / قبول / رد / مسدود / نیاز به تکرار. تست Host جایگزین تست برد نیست.</t>
        </is>
      </c>
    </row>
    <row r="3">
      <c r="A3" s="2" t="inlineStr">
        <is>
          <t>برای هر ردیف پیش‌شرط، ورودی، انتظار و معیار قبولی صریح است؛ نتیجهٔ واقعی فقط با اندازه‌گیری روی برد پر می‌شود.</t>
        </is>
      </c>
    </row>
    <row r="4">
      <c r="A4" s="3" t="inlineStr">
        <is>
          <t>شناسه</t>
        </is>
      </c>
      <c r="B4" s="3" t="inlineStr">
        <is>
          <t>دسته</t>
        </is>
      </c>
      <c r="C4" s="3" t="inlineStr">
        <is>
          <t>اولویت</t>
        </is>
      </c>
      <c r="D4" s="3" t="inlineStr">
        <is>
          <t>پیش‌شرط</t>
        </is>
      </c>
      <c r="E4" s="3" t="inlineStr">
        <is>
          <t>روش اجرای دقیق</t>
        </is>
      </c>
      <c r="F4" s="3" t="inlineStr">
        <is>
          <t>ورودی‌ها / شرایط</t>
        </is>
      </c>
      <c r="G4" s="3" t="inlineStr">
        <is>
          <t>مدت مشاهده</t>
        </is>
      </c>
      <c r="H4" s="3" t="inlineStr">
        <is>
          <t>رفتار مورد انتظار</t>
        </is>
      </c>
      <c r="I4" s="3" t="inlineStr">
        <is>
          <t>وضعیت حفظ / latch</t>
        </is>
      </c>
      <c r="J4" s="3" t="inlineStr">
        <is>
          <t>معیار قبولی</t>
        </is>
      </c>
      <c r="K4" s="3" t="inlineStr">
        <is>
          <t>نتیجهٔ واقعی / اندازه‌گیری</t>
        </is>
      </c>
      <c r="L4" s="3" t="inlineStr">
        <is>
          <t>وضعیت</t>
        </is>
      </c>
      <c r="M4" s="3" t="inlineStr">
        <is>
          <t>شرح ایراد / تفاوت</t>
        </is>
      </c>
      <c r="N4" s="3" t="inlineStr">
        <is>
          <t>مدرک تست / scope</t>
        </is>
      </c>
      <c r="O4" s="3" t="inlineStr">
        <is>
          <t>commit</t>
        </is>
      </c>
      <c r="P4" s="3" t="inlineStr">
        <is>
          <t>نام تست‌کننده</t>
        </is>
      </c>
      <c r="Q4" s="3" t="inlineStr">
        <is>
          <t>تاریخ</t>
        </is>
      </c>
    </row>
    <row r="5">
      <c r="A5" s="4" t="inlineStr">
        <is>
          <t>CH-001</t>
        </is>
      </c>
      <c r="B5" s="4" t="inlineStr">
        <is>
          <t>نگاشت سخت‌افزار</t>
        </is>
      </c>
      <c r="C5" s="4" t="inlineStr">
        <is>
          <t>بالا</t>
        </is>
      </c>
      <c r="D5" s="4" t="inlineStr">
        <is>
          <t>برد خاموش</t>
        </is>
      </c>
      <c r="E5" s="4" t="inlineStr">
        <is>
          <t>شماتیک و board_pins.h با کد تطبیق داده شود</t>
        </is>
      </c>
      <c r="F5" s="4" t="inlineStr">
        <is>
          <t>PA0=TIM2_CH1، PA6=TIM3_CH1، PA1/PA7 سنس، PB2/PB6 JIT، رله NC</t>
        </is>
      </c>
      <c r="G5" s="4" t="inlineStr">
        <is>
          <t>—</t>
        </is>
      </c>
      <c r="H5" s="4" t="inlineStr">
        <is>
          <t>نگاشت مطابق شماتیک؛ رله با coil خاموش وصل (NC)</t>
        </is>
      </c>
      <c r="I5" s="4" t="inlineStr">
        <is>
          <t>نگاشت ثابت</t>
        </is>
      </c>
      <c r="J5" s="4" t="inlineStr">
        <is>
          <t>PASS: تطابق کامل</t>
        </is>
      </c>
      <c r="K5" s="4" t="inlineStr"/>
      <c r="L5" s="4" t="inlineStr">
        <is>
          <t>در انتظار</t>
        </is>
      </c>
      <c r="M5" s="4" t="inlineStr"/>
      <c r="N5" s="4" t="inlineStr"/>
      <c r="O5" s="4" t="inlineStr">
        <is>
          <t>TESTER: fill</t>
        </is>
      </c>
      <c r="P5" s="4" t="inlineStr"/>
      <c r="Q5" s="4" t="inlineStr">
        <is>
          <t>2026-09-23</t>
        </is>
      </c>
    </row>
    <row r="6">
      <c r="A6" s="4" t="inlineStr">
        <is>
          <t>CH-002</t>
        </is>
      </c>
      <c r="B6" s="4" t="inlineStr">
        <is>
          <t>پیش‌فرض امن بوت</t>
        </is>
      </c>
      <c r="C6" s="4" t="inlineStr">
        <is>
          <t>بالا</t>
        </is>
      </c>
      <c r="D6" s="4" t="inlineStr">
        <is>
          <t>باتری و ورودی ۲۴V وصل، بوت تازه</t>
        </is>
      </c>
      <c r="E6" s="4" t="inlineStr">
        <is>
          <t>بوت برد؛ پالس PWM و state هر دو کانال در پنل دیده شود</t>
        </is>
      </c>
      <c r="F6" s="4" t="inlineStr">
        <is>
          <t>v_in=24V، هر دو v_bat≥12V</t>
        </is>
      </c>
      <c r="G6" s="4" t="inlineStr">
        <is>
          <t>60s</t>
        </is>
      </c>
      <c r="H6" s="4" t="inlineStr">
        <is>
          <t>هر دو PWM صفر تا پایان گیت ۱۵ ثانیهٔ ثبات اتصال</t>
        </is>
      </c>
      <c r="I6" s="4" t="inlineStr">
        <is>
          <t>حفظ تا شروع BULK</t>
        </is>
      </c>
      <c r="J6" s="4" t="inlineStr">
        <is>
          <t>PWM=0 تا 15000±2000ms</t>
        </is>
      </c>
      <c r="K6" s="4" t="inlineStr"/>
      <c r="L6" s="4" t="inlineStr">
        <is>
          <t>در انتظار</t>
        </is>
      </c>
      <c r="M6" s="4" t="inlineStr"/>
      <c r="N6" s="4" t="inlineStr"/>
      <c r="O6" s="4" t="inlineStr">
        <is>
          <t>TESTER: fill</t>
        </is>
      </c>
      <c r="P6" s="4" t="inlineStr"/>
      <c r="Q6" s="4" t="inlineStr">
        <is>
          <t>2026-09-23</t>
        </is>
      </c>
    </row>
    <row r="7">
      <c r="A7" s="4" t="inlineStr">
        <is>
          <t>CH-003</t>
        </is>
      </c>
      <c r="B7" s="4" t="inlineStr">
        <is>
          <t>شروع BULK با رمپ</t>
        </is>
      </c>
      <c r="C7" s="4" t="inlineStr">
        <is>
          <t>بالا</t>
        </is>
      </c>
      <c r="D7" s="4" t="inlineStr">
        <is>
          <t>CH-002 پاس</t>
        </is>
      </c>
      <c r="E7" s="4" t="inlineStr">
        <is>
          <t>با اسکوپ پله‌های duty بعد از گیت ثبات</t>
        </is>
      </c>
      <c r="F7" s="4" t="inlineStr">
        <is>
          <t>همان CH-002</t>
        </is>
      </c>
      <c r="G7" s="4" t="inlineStr">
        <is>
          <t>20s</t>
        </is>
      </c>
      <c r="H7" s="4" t="inlineStr">
        <is>
          <t>ورود BULK با رمپ نرم از ۱٪ (10‰)</t>
        </is>
      </c>
      <c r="I7" s="4" t="inlineStr">
        <is>
          <t>—</t>
        </is>
      </c>
      <c r="J7" s="4" t="inlineStr">
        <is>
          <t>پله‌های duty از 10‰ صعودی</t>
        </is>
      </c>
      <c r="K7" s="4" t="inlineStr"/>
      <c r="L7" s="4" t="inlineStr">
        <is>
          <t>در انتظار</t>
        </is>
      </c>
      <c r="M7" s="4" t="inlineStr"/>
      <c r="N7" s="4" t="inlineStr"/>
      <c r="O7" s="4" t="inlineStr">
        <is>
          <t>TESTER: fill</t>
        </is>
      </c>
      <c r="P7" s="4" t="inlineStr"/>
      <c r="Q7" s="4" t="inlineStr">
        <is>
          <t>2026-09-23</t>
        </is>
      </c>
    </row>
    <row r="8">
      <c r="A8" s="4" t="inlineStr">
        <is>
          <t>CH-004</t>
        </is>
      </c>
      <c r="B8" s="4" t="inlineStr">
        <is>
          <t>تنظیم BULK</t>
        </is>
      </c>
      <c r="C8" s="4" t="inlineStr">
        <is>
          <t>بالا</t>
        </is>
      </c>
      <c r="D8" s="4" t="inlineStr">
        <is>
          <t>در BULK</t>
        </is>
      </c>
      <c r="E8" s="4" t="inlineStr">
        <is>
          <t>جریان تخمینی خروجی (Iest) در پنل پایش شود</t>
        </is>
      </c>
      <c r="F8" s="4" t="inlineStr">
        <is>
          <t>باتری نیمه‌شارژ</t>
        </is>
      </c>
      <c r="G8" s="4" t="inlineStr">
        <is>
          <t>60s</t>
        </is>
      </c>
      <c r="H8" s="4" t="inlineStr">
        <is>
          <t>Iest در باند 630..650mA تثبیت</t>
        </is>
      </c>
      <c r="I8" s="4" t="inlineStr">
        <is>
          <t>نگه‌داشت باند</t>
        </is>
      </c>
      <c r="J8" s="4" t="inlineStr">
        <is>
          <t>630≤Iest≤650 پایدار</t>
        </is>
      </c>
      <c r="K8" s="4" t="inlineStr"/>
      <c r="L8" s="4" t="inlineStr">
        <is>
          <t>در انتظار</t>
        </is>
      </c>
      <c r="M8" s="4" t="inlineStr"/>
      <c r="N8" s="4" t="inlineStr"/>
      <c r="O8" s="4" t="inlineStr">
        <is>
          <t>TESTER: fill</t>
        </is>
      </c>
      <c r="P8" s="4" t="inlineStr"/>
      <c r="Q8" s="4" t="inlineStr">
        <is>
          <t>2026-09-23</t>
        </is>
      </c>
    </row>
    <row r="9">
      <c r="A9" s="4" t="inlineStr">
        <is>
          <t>CH-005</t>
        </is>
      </c>
      <c r="B9" s="4" t="inlineStr">
        <is>
          <t>ABSORB</t>
        </is>
      </c>
      <c r="C9" s="4" t="inlineStr">
        <is>
          <t>بالا</t>
        </is>
      </c>
      <c r="D9" s="4" t="inlineStr">
        <is>
          <t>ولتاژ کانال به 14.3V می‌رسد</t>
        </is>
      </c>
      <c r="E9" s="4" t="inlineStr">
        <is>
          <t>ورود 14.3V؛ رفتار پله 0.1٪ و فرار 14.6V</t>
        </is>
      </c>
      <c r="F9" s="4" t="inlineStr">
        <is>
          <t>v_bat≈14300→14600mV</t>
        </is>
      </c>
      <c r="G9" s="4" t="inlineStr">
        <is>
          <t>120s</t>
        </is>
      </c>
      <c r="H9" s="4" t="inlineStr">
        <is>
          <t>تثبیت حدود 14.4V با پله ریز؛ عبور 14.6V پله نزولی 0.5٪</t>
        </is>
      </c>
      <c r="I9" s="4" t="inlineStr">
        <is>
          <t>—</t>
        </is>
      </c>
      <c r="J9" s="4" t="inlineStr">
        <is>
          <t>14.35..14.45V پایدار</t>
        </is>
      </c>
      <c r="K9" s="4" t="inlineStr"/>
      <c r="L9" s="4" t="inlineStr">
        <is>
          <t>در انتظار</t>
        </is>
      </c>
      <c r="M9" s="4" t="inlineStr"/>
      <c r="N9" s="4" t="inlineStr"/>
      <c r="O9" s="4" t="inlineStr">
        <is>
          <t>TESTER: fill</t>
        </is>
      </c>
      <c r="P9" s="4" t="inlineStr"/>
      <c r="Q9" s="4" t="inlineStr">
        <is>
          <t>2026-09-23</t>
        </is>
      </c>
    </row>
    <row r="10">
      <c r="A10" s="4" t="inlineStr">
        <is>
          <t>CH-006</t>
        </is>
      </c>
      <c r="B10" s="4" t="inlineStr">
        <is>
          <t>شستشوی ABSORB</t>
        </is>
      </c>
      <c r="C10" s="4" t="inlineStr">
        <is>
          <t>متوسط</t>
        </is>
      </c>
      <c r="D10" s="4" t="inlineStr">
        <is>
          <t>در ABSORB</t>
        </is>
      </c>
      <c r="E10" s="4" t="inlineStr">
        <is>
          <t>ادامه شارژ؛ شمارندهٔ شستشو (کل مدت ۱۰ دقیقه) + تیپر &lt;50mA/60s + سقف 1h</t>
        </is>
      </c>
      <c r="F10" s="4" t="inlineStr">
        <is>
          <t>—</t>
        </is>
      </c>
      <c r="G10" s="4" t="inlineStr">
        <is>
          <t>تا 3600s</t>
        </is>
      </c>
      <c r="H10" s="4" t="inlineStr">
        <is>
          <t>ورود FLOAT بعد از شستشوی کامل</t>
        </is>
      </c>
      <c r="I10" s="4" t="inlineStr">
        <is>
          <t>یک‌بار</t>
        </is>
      </c>
      <c r="J10" s="4" t="inlineStr">
        <is>
          <t>state=3 بعد از شرط شستشو</t>
        </is>
      </c>
      <c r="K10" s="4" t="inlineStr"/>
      <c r="L10" s="4" t="inlineStr">
        <is>
          <t>در انتظار</t>
        </is>
      </c>
      <c r="M10" s="4" t="inlineStr"/>
      <c r="N10" s="4" t="inlineStr"/>
      <c r="O10" s="4" t="inlineStr">
        <is>
          <t>TESTER: fill</t>
        </is>
      </c>
      <c r="P10" s="4" t="inlineStr"/>
      <c r="Q10" s="4" t="inlineStr">
        <is>
          <t>2026-09-23</t>
        </is>
      </c>
    </row>
    <row r="11">
      <c r="A11" s="4" t="inlineStr">
        <is>
          <t>CH-007</t>
        </is>
      </c>
      <c r="B11" s="4" t="inlineStr">
        <is>
          <t>FLOAT و reentry</t>
        </is>
      </c>
      <c r="C11" s="4" t="inlineStr">
        <is>
          <t>متوسط</t>
        </is>
      </c>
      <c r="D11" s="4" t="inlineStr">
        <is>
          <t>در FLOAT</t>
        </is>
      </c>
      <c r="E11" s="4" t="inlineStr">
        <is>
          <t>duty پارک صفر؛ افت باتری زیر 12.8V</t>
        </is>
      </c>
      <c r="F11" s="4" t="inlineStr">
        <is>
          <t>v_bat&lt;12800mV</t>
        </is>
      </c>
      <c r="G11" s="4" t="inlineStr">
        <is>
          <t>30s</t>
        </is>
      </c>
      <c r="H11" s="4" t="inlineStr">
        <is>
          <t>پارک روی duty صفر؛ reentry به BULK فقط زیر 12.8V</t>
        </is>
      </c>
      <c r="I11" s="4" t="inlineStr">
        <is>
          <t>—</t>
        </is>
      </c>
      <c r="J11" s="4" t="inlineStr">
        <is>
          <t>state=1 با رمپ نرم</t>
        </is>
      </c>
      <c r="K11" s="4" t="inlineStr"/>
      <c r="L11" s="4" t="inlineStr">
        <is>
          <t>در انتظار</t>
        </is>
      </c>
      <c r="M11" s="4" t="inlineStr"/>
      <c r="N11" s="4" t="inlineStr"/>
      <c r="O11" s="4" t="inlineStr">
        <is>
          <t>TESTER: fill</t>
        </is>
      </c>
      <c r="P11" s="4" t="inlineStr"/>
      <c r="Q11" s="4" t="inlineStr">
        <is>
          <t>2026-09-23</t>
        </is>
      </c>
    </row>
    <row r="12">
      <c r="A12" s="4" t="inlineStr">
        <is>
          <t>CH-008</t>
        </is>
      </c>
      <c r="B12" s="4" t="inlineStr">
        <is>
          <t>خطای سخت جریان</t>
        </is>
      </c>
      <c r="C12" s="4" t="inlineStr">
        <is>
          <t>بالا</t>
        </is>
      </c>
      <c r="D12" s="4" t="inlineStr">
        <is>
          <t>در BULK</t>
        </is>
      </c>
      <c r="E12" s="4" t="inlineStr">
        <is>
          <t>بار طوری که جریان بدون فیلتر &gt;950mA شود</t>
        </is>
      </c>
      <c r="F12" s="4" t="inlineStr">
        <is>
          <t>I_unfilt&gt;950mA</t>
        </is>
      </c>
      <c r="G12" s="4" t="inlineStr">
        <is>
          <t>1s</t>
        </is>
      </c>
      <c r="H12" s="4" t="inlineStr">
        <is>
          <t>ریست کانال (PWM صفر فوری و شروع دوباره)</t>
        </is>
      </c>
      <c r="I12" s="4" t="inlineStr">
        <is>
          <t>لحظه‌ای</t>
        </is>
      </c>
      <c r="J12" s="4" t="inlineStr">
        <is>
          <t>PWM=0 فوری</t>
        </is>
      </c>
      <c r="K12" s="4" t="inlineStr"/>
      <c r="L12" s="4" t="inlineStr">
        <is>
          <t>در انتظار</t>
        </is>
      </c>
      <c r="M12" s="4" t="inlineStr"/>
      <c r="N12" s="4" t="inlineStr"/>
      <c r="O12" s="4" t="inlineStr">
        <is>
          <t>TESTER: fill</t>
        </is>
      </c>
      <c r="P12" s="4" t="inlineStr"/>
      <c r="Q12" s="4" t="inlineStr">
        <is>
          <t>2026-09-23</t>
        </is>
      </c>
    </row>
    <row r="13">
      <c r="A13" s="4" t="inlineStr">
        <is>
          <t>CH-009</t>
        </is>
      </c>
      <c r="B13" s="4" t="inlineStr">
        <is>
          <t>تریپ JIT اول</t>
        </is>
      </c>
      <c r="C13" s="4" t="inlineStr">
        <is>
          <t>بالا</t>
        </is>
      </c>
      <c r="D13" s="4" t="inlineStr">
        <is>
          <t>شارژ فعال</t>
        </is>
      </c>
      <c r="E13" s="4" t="inlineStr">
        <is>
          <t>عبور آستانهٔ LM393 (اضافه‌جریان واقعی)؛ رفتار retry</t>
        </is>
      </c>
      <c r="F13" s="4" t="inlineStr">
        <is>
          <t>JIT falling (PB2/PB6)</t>
        </is>
      </c>
      <c r="G13" s="4" t="inlineStr">
        <is>
          <t>10s</t>
        </is>
      </c>
      <c r="H13" s="4" t="inlineStr">
        <is>
          <t>PWM همان کانال صفر؛ بعد از lockout 3000ms ریتری با نصف duty</t>
        </is>
      </c>
      <c r="I13" s="4" t="inlineStr">
        <is>
          <t>retry خودکار</t>
        </is>
      </c>
      <c r="J13" s="4" t="inlineStr">
        <is>
          <t>state=5 → ریتری 50٪ duty قبل</t>
        </is>
      </c>
      <c r="K13" s="4" t="inlineStr"/>
      <c r="L13" s="4" t="inlineStr">
        <is>
          <t>در انتظار</t>
        </is>
      </c>
      <c r="M13" s="4" t="inlineStr"/>
      <c r="N13" s="4" t="inlineStr"/>
      <c r="O13" s="4" t="inlineStr">
        <is>
          <t>TESTER: fill</t>
        </is>
      </c>
      <c r="P13" s="4" t="inlineStr"/>
      <c r="Q13" s="4" t="inlineStr">
        <is>
          <t>2026-09-23</t>
        </is>
      </c>
    </row>
    <row r="14">
      <c r="A14" s="4" t="inlineStr">
        <is>
          <t>CH-010</t>
        </is>
      </c>
      <c r="B14" s="4" t="inlineStr">
        <is>
          <t>ریتری دوم</t>
        </is>
      </c>
      <c r="C14" s="4" t="inlineStr">
        <is>
          <t>متوسط</t>
        </is>
      </c>
      <c r="D14" s="4" t="inlineStr">
        <is>
          <t>تریپ دوم همان کانال</t>
        </is>
      </c>
      <c r="E14" s="4" t="inlineStr">
        <is>
          <t>تریپ مجدد در ریتری</t>
        </is>
      </c>
      <c r="F14" s="4" t="inlineStr">
        <is>
          <t>—</t>
        </is>
      </c>
      <c r="G14" s="4" t="inlineStr">
        <is>
          <t>10s</t>
        </is>
      </c>
      <c r="H14" s="4" t="inlineStr">
        <is>
          <t>ریتری دوم حداکثر 10٪ (100‰)</t>
        </is>
      </c>
      <c r="I14" s="4" t="inlineStr">
        <is>
          <t>—</t>
        </is>
      </c>
      <c r="J14" s="4" t="inlineStr">
        <is>
          <t>duty≤100‰</t>
        </is>
      </c>
      <c r="K14" s="4" t="inlineStr"/>
      <c r="L14" s="4" t="inlineStr">
        <is>
          <t>در انتظار</t>
        </is>
      </c>
      <c r="M14" s="4" t="inlineStr"/>
      <c r="N14" s="4" t="inlineStr"/>
      <c r="O14" s="4" t="inlineStr">
        <is>
          <t>TESTER: fill</t>
        </is>
      </c>
      <c r="P14" s="4" t="inlineStr"/>
      <c r="Q14" s="4" t="inlineStr">
        <is>
          <t>2026-09-23</t>
        </is>
      </c>
    </row>
    <row r="15">
      <c r="A15" s="4" t="inlineStr">
        <is>
          <t>CH-011</t>
        </is>
      </c>
      <c r="B15" s="4" t="inlineStr">
        <is>
          <t>تریپ سوم FINAL</t>
        </is>
      </c>
      <c r="C15" s="4" t="inlineStr">
        <is>
          <t>بالا</t>
        </is>
      </c>
      <c r="D15" s="4" t="inlineStr">
        <is>
          <t>دو تریپ ثبت‌شده</t>
        </is>
      </c>
      <c r="E15" s="4" t="inlineStr">
        <is>
          <t>تریپ سوم همان کانال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FINAL_FAULT: هر دو PWM صفر + رله باز؛ فقط ریبوت پاک می‌کند</t>
        </is>
      </c>
      <c r="I15" s="4" t="inlineStr">
        <is>
          <t>latch دائمی تا ریبوت</t>
        </is>
      </c>
      <c r="J15" s="4" t="inlineStr">
        <is>
          <t>state=7؛ رله باز؛ بدون ریبوت برنمی‌گردد</t>
        </is>
      </c>
      <c r="K15" s="4" t="inlineStr"/>
      <c r="L15" s="4" t="inlineStr">
        <is>
          <t>در انتظار</t>
        </is>
      </c>
      <c r="M15" s="4" t="inlineStr"/>
      <c r="N15" s="4" t="inlineStr"/>
      <c r="O15" s="4" t="inlineStr">
        <is>
          <t>TESTER: fill</t>
        </is>
      </c>
      <c r="P15" s="4" t="inlineStr"/>
      <c r="Q15" s="4" t="inlineStr">
        <is>
          <t>2026-09-23</t>
        </is>
      </c>
    </row>
    <row r="16">
      <c r="A16" s="4" t="inlineStr">
        <is>
          <t>CH-012</t>
        </is>
      </c>
      <c r="B16" s="4" t="inlineStr">
        <is>
          <t>اعتبار sense باتری</t>
        </is>
      </c>
      <c r="C16" s="4" t="inlineStr">
        <is>
          <t>بالا</t>
        </is>
      </c>
      <c r="D16" s="4" t="inlineStr">
        <is>
          <t>شارژ فعال</t>
        </is>
      </c>
      <c r="E16" s="4" t="inlineStr">
        <is>
          <t>ولتاژ sense کانال را زیر 2000mV یا بالای 15000mV ببر</t>
        </is>
      </c>
      <c r="F16" s="4" t="inlineStr">
        <is>
          <t>v_bat خارج 2000..15000mV</t>
        </is>
      </c>
      <c r="G16" s="4" t="inlineStr">
        <is>
          <t>1s</t>
        </is>
      </c>
      <c r="H16" s="4" t="inlineStr">
        <is>
          <t>PWM همان کانال صفر تا رفع</t>
        </is>
      </c>
      <c r="I16" s="4" t="inlineStr">
        <is>
          <t>تا رفع شرط</t>
        </is>
      </c>
      <c r="J16" s="4" t="inlineStr">
        <is>
          <t>PWM=0</t>
        </is>
      </c>
      <c r="K16" s="4" t="inlineStr"/>
      <c r="L16" s="4" t="inlineStr">
        <is>
          <t>در انتظار</t>
        </is>
      </c>
      <c r="M16" s="4" t="inlineStr"/>
      <c r="N16" s="4" t="inlineStr"/>
      <c r="O16" s="4" t="inlineStr">
        <is>
          <t>TESTER: fill</t>
        </is>
      </c>
      <c r="P16" s="4" t="inlineStr"/>
      <c r="Q16" s="4" t="inlineStr">
        <is>
          <t>2026-09-23</t>
        </is>
      </c>
    </row>
    <row r="17">
      <c r="A17" s="4" t="inlineStr">
        <is>
          <t>CH-013</t>
        </is>
      </c>
      <c r="B17" s="4" t="inlineStr">
        <is>
          <t>مود دستی: ورود</t>
        </is>
      </c>
      <c r="C17" s="4" t="inlineStr">
        <is>
          <t>بالا</t>
        </is>
      </c>
      <c r="D17" s="4" t="inlineStr">
        <is>
          <t>پنل ESP وصل، ورودی ۲۴V</t>
        </is>
      </c>
      <c r="E17" s="4" t="inlineStr">
        <is>
          <t>پارامتر ۱۹=۱ با تأیید؛ duty های 16/18 مقدار بده</t>
        </is>
      </c>
      <c r="F17" s="4" t="inlineStr">
        <is>
          <t>ID19=1، ID16/18=200‰</t>
        </is>
      </c>
      <c r="G17" s="4" t="inlineStr">
        <is>
          <t>5s</t>
        </is>
      </c>
      <c r="H17" s="4" t="inlineStr">
        <is>
          <t>state=9 هر دو کانال؛ duty مستقیم بدون رمپ؛ توقف 14.4V و BAT_LOST غیرفعال</t>
        </is>
      </c>
      <c r="I17" s="4" t="inlineStr">
        <is>
          <t>تا خروج از مود</t>
        </is>
      </c>
      <c r="J17" s="4" t="inlineStr">
        <is>
          <t>duty فوری=200‰ هر دو</t>
        </is>
      </c>
      <c r="K17" s="4" t="inlineStr"/>
      <c r="L17" s="4" t="inlineStr">
        <is>
          <t>در انتظار</t>
        </is>
      </c>
      <c r="M17" s="4" t="inlineStr"/>
      <c r="N17" s="4" t="inlineStr"/>
      <c r="O17" s="4" t="inlineStr">
        <is>
          <t>TESTER: fill</t>
        </is>
      </c>
      <c r="P17" s="4" t="inlineStr"/>
      <c r="Q17" s="4" t="inlineStr">
        <is>
          <t>2026-09-23</t>
        </is>
      </c>
    </row>
    <row r="18">
      <c r="A18" s="4" t="inlineStr">
        <is>
          <t>CH-014</t>
        </is>
      </c>
      <c r="B18" s="4" t="inlineStr">
        <is>
          <t>مود دستی: ددمن لینک</t>
        </is>
      </c>
      <c r="C18" s="4" t="inlineStr">
        <is>
          <t>بالا</t>
        </is>
      </c>
      <c r="D18" s="4" t="inlineStr">
        <is>
          <t>در مود دستی</t>
        </is>
      </c>
      <c r="E18" s="4" t="inlineStr">
        <is>
          <t>لینک ESP را قطع کن (هیچ فریمی نرسد)</t>
        </is>
      </c>
      <c r="F18" s="4" t="inlineStr">
        <is>
          <t>سکوت لینک</t>
        </is>
      </c>
      <c r="G18" s="4" t="inlineStr">
        <is>
          <t>4s</t>
        </is>
      </c>
      <c r="H18" s="4" t="inlineStr">
        <is>
          <t>خروج خودکار: هر دو duty صفر + بازگشت شارژر خودکار</t>
        </is>
      </c>
      <c r="I18" s="4" t="inlineStr">
        <is>
          <t>—</t>
        </is>
      </c>
      <c r="J18" s="4" t="inlineStr">
        <is>
          <t>duty=0 در ≤3000ms</t>
        </is>
      </c>
      <c r="K18" s="4" t="inlineStr"/>
      <c r="L18" s="4" t="inlineStr">
        <is>
          <t>در انتظار</t>
        </is>
      </c>
      <c r="M18" s="4" t="inlineStr"/>
      <c r="N18" s="4" t="inlineStr"/>
      <c r="O18" s="4" t="inlineStr">
        <is>
          <t>TESTER: fill</t>
        </is>
      </c>
      <c r="P18" s="4" t="inlineStr"/>
      <c r="Q18" s="4" t="inlineStr">
        <is>
          <t>2026-09-23</t>
        </is>
      </c>
    </row>
    <row r="19">
      <c r="A19" s="4" t="inlineStr">
        <is>
          <t>CH-015</t>
        </is>
      </c>
      <c r="B19" s="4" t="inlineStr">
        <is>
          <t>مود دستی: JIT و re-arm</t>
        </is>
      </c>
      <c r="C19" s="4" t="inlineStr">
        <is>
          <t>بالا</t>
        </is>
      </c>
      <c r="D19" s="4" t="inlineStr">
        <is>
          <t>در مود دستی</t>
        </is>
      </c>
      <c r="E19" s="4" t="inlineStr">
        <is>
          <t>تریپ JIT → پارک؛ سپس ارسال مجدد همان duty از پنل</t>
        </is>
      </c>
      <c r="F19" s="4" t="inlineStr">
        <is>
          <t>JIT trip در مود دستی</t>
        </is>
      </c>
      <c r="G19" s="4" t="inlineStr">
        <is>
          <t>15s</t>
        </is>
      </c>
      <c r="H19" s="4" t="inlineStr">
        <is>
          <t>پارک با duty صفر و state=5 بدون ریتری خودکار؛ ارسال مجدد duty کانال را مسلح می‌کند؛ سومین تریپ FINAL_FAULT</t>
        </is>
      </c>
      <c r="I19" s="4" t="inlineStr">
        <is>
          <t>پارک تا re-arm انسانی</t>
        </is>
      </c>
      <c r="J19" s="4" t="inlineStr">
        <is>
          <t>state=5 → بعد از ارسال duty، درایو برگردد</t>
        </is>
      </c>
      <c r="K19" s="4" t="inlineStr"/>
      <c r="L19" s="4" t="inlineStr">
        <is>
          <t>در انتظار</t>
        </is>
      </c>
      <c r="M19" s="4" t="inlineStr"/>
      <c r="N19" s="4" t="inlineStr"/>
      <c r="O19" s="4" t="inlineStr">
        <is>
          <t>TESTER: fill</t>
        </is>
      </c>
      <c r="P19" s="4" t="inlineStr"/>
      <c r="Q19" s="4" t="inlineStr">
        <is>
          <t>2026-09-23</t>
        </is>
      </c>
    </row>
    <row r="20">
      <c r="A20" s="4" t="inlineStr">
        <is>
          <t>CH-016</t>
        </is>
      </c>
      <c r="B20" s="4" t="inlineStr">
        <is>
          <t>مود دستی: قطع 15V</t>
        </is>
      </c>
      <c r="C20" s="4" t="inlineStr">
        <is>
          <t>بالا</t>
        </is>
      </c>
      <c r="D20" s="4" t="inlineStr">
        <is>
          <t>در مود دستی، electronic load با clamp</t>
        </is>
      </c>
      <c r="E20" s="4" t="inlineStr">
        <is>
          <t>ولتاژ کانال بالای 15.0V</t>
        </is>
      </c>
      <c r="F20" s="4" t="inlineStr">
        <is>
          <t>v_bat≥15000mV</t>
        </is>
      </c>
      <c r="G20" s="4" t="inlineStr">
        <is>
          <t>5s</t>
        </is>
      </c>
      <c r="H20" s="4" t="inlineStr">
        <is>
          <t>duty صفر؛ با افت زیر 15V ادامهٔ خودکار</t>
        </is>
      </c>
      <c r="I20" s="4" t="inlineStr">
        <is>
          <t>خودکار</t>
        </is>
      </c>
      <c r="J20" s="4" t="inlineStr">
        <is>
          <t>PWM=0 بالای 15V و برگشت زیرش</t>
        </is>
      </c>
      <c r="K20" s="4" t="inlineStr"/>
      <c r="L20" s="4" t="inlineStr">
        <is>
          <t>در انتظار</t>
        </is>
      </c>
      <c r="M20" s="4" t="inlineStr"/>
      <c r="N20" s="4" t="inlineStr"/>
      <c r="O20" s="4" t="inlineStr">
        <is>
          <t>TESTER: fill</t>
        </is>
      </c>
      <c r="P20" s="4" t="inlineStr"/>
      <c r="Q20" s="4" t="inlineStr">
        <is>
          <t>2026-09-23</t>
        </is>
      </c>
    </row>
    <row r="21">
      <c r="A21" s="4" t="inlineStr">
        <is>
          <t>CH-017</t>
        </is>
      </c>
      <c r="B21" s="4" t="inlineStr">
        <is>
          <t>مود دستی: قطع کانال</t>
        </is>
      </c>
      <c r="C21" s="4" t="inlineStr">
        <is>
          <t>متوسط</t>
        </is>
      </c>
      <c r="D21" s="4" t="inlineStr">
        <is>
          <t>در مود دستی</t>
        </is>
      </c>
      <c r="E21" s="4" t="inlineStr">
        <is>
          <t>پارامتر 11=0 (قطع کانال ۱)</t>
        </is>
      </c>
      <c r="F21" s="4" t="inlineStr">
        <is>
          <t>ID11=0</t>
        </is>
      </c>
      <c r="G21" s="4" t="inlineStr">
        <is>
          <t>2s</t>
        </is>
      </c>
      <c r="H21" s="4" t="inlineStr">
        <is>
          <t>duty کانال ۱ صفر؛ state همچنان 9</t>
        </is>
      </c>
      <c r="I21" s="4" t="inlineStr">
        <is>
          <t>—</t>
        </is>
      </c>
      <c r="J21" s="4" t="inlineStr">
        <is>
          <t>PWM1=0، state=9</t>
        </is>
      </c>
      <c r="K21" s="4" t="inlineStr"/>
      <c r="L21" s="4" t="inlineStr">
        <is>
          <t>در انتظار</t>
        </is>
      </c>
      <c r="M21" s="4" t="inlineStr"/>
      <c r="N21" s="4" t="inlineStr"/>
      <c r="O21" s="4" t="inlineStr">
        <is>
          <t>TESTER: fill</t>
        </is>
      </c>
      <c r="P21" s="4" t="inlineStr"/>
      <c r="Q21" s="4" t="inlineStr">
        <is>
          <t>2026-09-23</t>
        </is>
      </c>
    </row>
    <row r="22">
      <c r="A22" s="4" t="inlineStr">
        <is>
          <t>CH-018</t>
        </is>
      </c>
      <c r="B22" s="4" t="inlineStr">
        <is>
          <t>خروج از مود دستی</t>
        </is>
      </c>
      <c r="C22" s="4" t="inlineStr">
        <is>
          <t>بالا</t>
        </is>
      </c>
      <c r="D22" s="4" t="inlineStr">
        <is>
          <t>در مود دستی</t>
        </is>
      </c>
      <c r="E22" s="4" t="inlineStr">
        <is>
          <t>پارامتر ۱۹=۰ از پنل</t>
        </is>
      </c>
      <c r="F22" s="4" t="inlineStr">
        <is>
          <t>ID19=0</t>
        </is>
      </c>
      <c r="G22" s="4" t="inlineStr">
        <is>
          <t>20s</t>
        </is>
      </c>
      <c r="H22" s="4" t="inlineStr">
        <is>
          <t>هر دو duty صفر؛ شارژر خودکار از OFF با گیت ۱۵s دوباره</t>
        </is>
      </c>
      <c r="I22" s="4" t="inlineStr">
        <is>
          <t>—</t>
        </is>
      </c>
      <c r="J22" s="4" t="inlineStr">
        <is>
          <t>state≠9؛ settle→BULK</t>
        </is>
      </c>
      <c r="K22" s="4" t="inlineStr"/>
      <c r="L22" s="4" t="inlineStr">
        <is>
          <t>در انتظار</t>
        </is>
      </c>
      <c r="M22" s="4" t="inlineStr"/>
      <c r="N22" s="4" t="inlineStr"/>
      <c r="O22" s="4" t="inlineStr">
        <is>
          <t>TESTER: fill</t>
        </is>
      </c>
      <c r="P22" s="4" t="inlineStr"/>
      <c r="Q22" s="4" t="inlineStr">
        <is>
          <t>2026-09-23</t>
        </is>
      </c>
    </row>
    <row r="23">
      <c r="A23" s="4" t="inlineStr">
        <is>
          <t>CH-019</t>
        </is>
      </c>
      <c r="B23" s="4" t="inlineStr">
        <is>
          <t>سقف duty زنده</t>
        </is>
      </c>
      <c r="C23" s="4" t="inlineStr">
        <is>
          <t>متوسط</t>
        </is>
      </c>
      <c r="D23" s="4" t="inlineStr">
        <is>
          <t>—</t>
        </is>
      </c>
      <c r="E23" s="4" t="inlineStr">
        <is>
          <t>پارامتر 13/14=200؛ سپس duty فیکس/دستی/رمپ</t>
        </is>
      </c>
      <c r="F23" s="4" t="inlineStr">
        <is>
          <t>ID13=200</t>
        </is>
      </c>
      <c r="G23" s="4" t="inlineStr">
        <is>
          <t>10s</t>
        </is>
      </c>
      <c r="H23" s="4" t="inlineStr">
        <is>
          <t>همهٔ مسیرهای duty به سقف زمان-اجرا گیره می‌خورند</t>
        </is>
      </c>
      <c r="I23" s="4" t="inlineStr">
        <is>
          <t>—</t>
        </is>
      </c>
      <c r="J23" s="4" t="inlineStr">
        <is>
          <t>duty≤200‰ در همهٔ حالت‌ها</t>
        </is>
      </c>
      <c r="K23" s="4" t="inlineStr"/>
      <c r="L23" s="4" t="inlineStr">
        <is>
          <t>در انتظار</t>
        </is>
      </c>
      <c r="M23" s="4" t="inlineStr"/>
      <c r="N23" s="4" t="inlineStr"/>
      <c r="O23" s="4" t="inlineStr">
        <is>
          <t>TESTER: fill</t>
        </is>
      </c>
      <c r="P23" s="4" t="inlineStr"/>
      <c r="Q23" s="4" t="inlineStr">
        <is>
          <t>2026-09-23</t>
        </is>
      </c>
    </row>
  </sheetData>
  <mergeCells count="3">
    <mergeCell ref="A3:Q3"/>
    <mergeCell ref="A2:Q2"/>
    <mergeCell ref="A1:Q1"/>
  </mergeCells>
  <dataValidations count="2">
    <dataValidation sqref="L5:L23" showDropDown="0" showInputMessage="0" showErrorMessage="0" allowBlank="1" type="list">
      <formula1>='فهرست‌ها'!$A$2:$A$6</formula1>
    </dataValidation>
    <dataValidation sqref="C5:C23" showDropDown="0" showInputMessage="0" showErrorMessage="0" allowBlank="1" type="list">
      <formula1>='فهرست‌ها'!$B$9:$B$11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مرجع سریع سناریوها و ثابت‌های ماژول Charger</t>
        </is>
      </c>
    </row>
    <row r="3">
      <c r="A3" s="3" t="inlineStr">
        <is>
          <t>موضوع</t>
        </is>
      </c>
      <c r="B3" s="3" t="inlineStr">
        <is>
          <t>شرط / مقدار</t>
        </is>
      </c>
      <c r="C3" s="3" t="inlineStr">
        <is>
          <t>رفتار مورد انتظار</t>
        </is>
      </c>
      <c r="D3" s="3" t="inlineStr">
        <is>
          <t>ثابت / محل کد</t>
        </is>
      </c>
      <c r="E3" s="3" t="inlineStr">
        <is>
          <t>توضیح</t>
        </is>
      </c>
    </row>
    <row r="4">
      <c r="A4" s="4" t="inlineStr">
        <is>
          <t>گیت ثبات اتصال</t>
        </is>
      </c>
      <c r="B4" s="4" t="inlineStr">
        <is>
          <t>۱۵s دیدن ولتاژ باتری</t>
        </is>
      </c>
      <c r="C4" s="4" t="inlineStr">
        <is>
          <t>OFF→BULK فقط بعد از ثبات</t>
        </is>
      </c>
      <c r="D4" s="4" t="inlineStr">
        <is>
          <t>charger.h (2026-09-19)</t>
        </is>
      </c>
      <c r="E4" s="4" t="inlineStr">
        <is>
          <t>JIT-ریتری و reentry معاف</t>
        </is>
      </c>
    </row>
    <row r="5">
      <c r="A5" s="4" t="inlineStr">
        <is>
          <t>باند تنظیم BULK</t>
        </is>
      </c>
      <c r="B5" s="4" t="inlineStr">
        <is>
          <t>630..650mA Iest</t>
        </is>
      </c>
      <c r="C5" s="4" t="inlineStr">
        <is>
          <t>پله‌های duty برای نگه‌داشت باند</t>
        </is>
      </c>
      <c r="D5" s="4" t="inlineStr">
        <is>
          <t>CHG_REGULATE_LOW_MA / CHG_BULK_CURRENT_MAX_MA</t>
        </is>
      </c>
      <c r="E5" s="4" t="inlineStr">
        <is>
          <t>تصمیم روی جریان تخمینی خروجی</t>
        </is>
      </c>
    </row>
    <row r="6">
      <c r="A6" s="4" t="inlineStr">
        <is>
          <t>خطای سخت جریان</t>
        </is>
      </c>
      <c r="B6" s="4" t="inlineStr">
        <is>
          <t>&gt;950mA</t>
        </is>
      </c>
      <c r="C6" s="4" t="inlineStr">
        <is>
          <t>ریست کانال</t>
        </is>
      </c>
      <c r="D6" s="4" t="inlineStr">
        <is>
          <t>CHG_CURRENT_HARD_FAULT_MA</t>
        </is>
      </c>
      <c r="E6" s="4" t="inlineStr">
        <is>
          <t>حداکثر ~10ms تأخیر با فیلترها</t>
        </is>
      </c>
    </row>
    <row r="7">
      <c r="A7" s="4" t="inlineStr">
        <is>
          <t>ABSORB</t>
        </is>
      </c>
      <c r="B7" s="4" t="inlineStr">
        <is>
          <t>ورود 14.3 / نگه‌داشت 14.4 / فرار 14.6V</t>
        </is>
      </c>
      <c r="C7" s="4" t="inlineStr">
        <is>
          <t>پله 0.1٪ / نزول 0.5٪</t>
        </is>
      </c>
      <c r="D7" s="4" t="inlineStr">
        <is>
          <t>CHG_ABSORB_*</t>
        </is>
      </c>
      <c r="E7" s="4" t="inlineStr">
        <is>
          <t>شستشوی ۱۰ دقیقه کل مدت</t>
        </is>
      </c>
    </row>
    <row r="8">
      <c r="A8" s="4" t="inlineStr">
        <is>
          <t>JIT</t>
        </is>
      </c>
      <c r="B8" s="4" t="inlineStr">
        <is>
          <t>lockout 3s، ریتری ۵۰٪، دوم ≤۱۰٪، سوم FINAL</t>
        </is>
      </c>
      <c r="C8" s="4" t="inlineStr">
        <is>
          <t>ریتری تک‌تک از صف</t>
        </is>
      </c>
      <c r="D8" s="4" t="inlineStr">
        <is>
          <t>CHG_JIT_LOCKOUT_MS / CHG_DUTY_RETRY_SECOND_MAX</t>
        </is>
      </c>
      <c r="E8" s="4" t="inlineStr">
        <is>
          <t>در مود دستی: بدون ریتری، فقط re-arm</t>
        </is>
      </c>
    </row>
    <row r="9">
      <c r="A9" s="4" t="inlineStr">
        <is>
          <t>مود دستی v1.2</t>
        </is>
      </c>
      <c r="B9" s="4" t="inlineStr">
        <is>
          <t>ID19، ددمن 3s، قطع 15V، سقف، قطع کانال</t>
        </is>
      </c>
      <c r="C9" s="4" t="inlineStr">
        <is>
          <t>duty مستقیم از 16/18</t>
        </is>
      </c>
      <c r="D9" s="4" t="inlineStr">
        <is>
          <t>CHG_MANUAL_WATCHDOG_MS و §5.2 سند ESP</t>
        </is>
      </c>
      <c r="E9" s="4" t="inlineStr">
        <is>
          <t>فریز Fault_Evaluate حین مود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ثبت ایرادهای مشاهده‌شده — ماژول Charger</t>
        </is>
      </c>
    </row>
    <row r="2">
      <c r="A2" s="2" t="inlineStr">
        <is>
          <t>برای هر وضعیت «رد» یا تفاوت مهم، یک ردیف با شناسهٔ یکتا ثبت و پس از اصلاح دوباره تست شود.</t>
        </is>
      </c>
    </row>
    <row r="3">
      <c r="A3" s="3" t="inlineStr">
        <is>
          <t>شماره ایراد</t>
        </is>
      </c>
      <c r="B3" s="3" t="inlineStr">
        <is>
          <t>شناسه تست</t>
        </is>
      </c>
      <c r="C3" s="3" t="inlineStr">
        <is>
          <t>تاریخ کشف</t>
        </is>
      </c>
      <c r="D3" s="3" t="inlineStr">
        <is>
          <t>شدت</t>
        </is>
      </c>
      <c r="E3" s="3" t="inlineStr">
        <is>
          <t>شرح کوتاه ایراد</t>
        </is>
      </c>
      <c r="F3" s="3" t="inlineStr">
        <is>
          <t>مراحل بازتولید</t>
        </is>
      </c>
      <c r="G3" s="3" t="inlineStr">
        <is>
          <t>انتظار</t>
        </is>
      </c>
      <c r="H3" s="3" t="inlineStr">
        <is>
          <t>واقعیت</t>
        </is>
      </c>
      <c r="I3" s="3" t="inlineStr">
        <is>
          <t>مدرک/مسیر عکس یا scope</t>
        </is>
      </c>
      <c r="J3" s="3" t="inlineStr">
        <is>
          <t>commit firmware</t>
        </is>
      </c>
      <c r="K3" s="3" t="inlineStr">
        <is>
          <t>محل احتمالی</t>
        </is>
      </c>
      <c r="L3" s="3" t="inlineStr">
        <is>
          <t>وضعیت ایراد</t>
        </is>
      </c>
      <c r="M3" s="3" t="inlineStr">
        <is>
          <t>تأیید رفع / توضیحات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30" customWidth="1" min="3" max="3"/>
  </cols>
  <sheetData>
    <row r="1">
      <c r="A1" s="1" t="inlineStr">
        <is>
          <t>تأیید نهایی اعتبارسنجی — ماژول Charger</t>
        </is>
      </c>
    </row>
    <row r="2">
      <c r="A2" s="2" t="inlineStr">
        <is>
          <t>این صفحه فقط پس از تکمیل تست‌ها و بسته‌شدن ایرادها پر می‌شود.</t>
        </is>
      </c>
    </row>
    <row r="3">
      <c r="A3" s="2" t="inlineStr">
        <is>
          <t>مشخصات تست</t>
        </is>
      </c>
    </row>
    <row r="4">
      <c r="A4" s="2" t="inlineStr">
        <is>
          <t>پروژه</t>
        </is>
      </c>
      <c r="B4" s="2" t="inlineStr">
        <is>
          <t>ChangeOver</t>
        </is>
      </c>
    </row>
    <row r="5">
      <c r="A5" s="2" t="inlineStr">
        <is>
          <t>ماژول</t>
        </is>
      </c>
      <c r="B5" s="2" t="inlineStr">
        <is>
          <t>Charger — دو کانال ۱۲V مستقل</t>
        </is>
      </c>
    </row>
    <row r="6">
      <c r="A6" s="2" t="inlineStr">
        <is>
          <t>تاریخ ساخت فرم</t>
        </is>
      </c>
      <c r="B6" s="2" t="inlineStr">
        <is>
          <t>2026-09-23 (1.0 — پوشش v1.2 مود دستی)</t>
        </is>
      </c>
    </row>
    <row r="7">
      <c r="A7" s="2" t="inlineStr">
        <is>
          <t>نسخه فرم</t>
        </is>
      </c>
      <c r="B7" s="2" t="inlineStr">
        <is>
          <t>1.0</t>
        </is>
      </c>
    </row>
    <row r="8">
      <c r="A8" s="2" t="inlineStr">
        <is>
          <t>commit firmware</t>
        </is>
      </c>
      <c r="B8" s="2" t="inlineStr">
        <is>
          <t>TESTER: fill</t>
        </is>
      </c>
    </row>
    <row r="9">
      <c r="A9" s="2" t="inlineStr">
        <is>
          <t>ابزار</t>
        </is>
      </c>
      <c r="B9" s="2" t="inlineStr">
        <is>
          <t>پنل ESP + اسکوپ + مولتی‌متر + منبع محدودشده</t>
        </is>
      </c>
    </row>
    <row r="11">
      <c r="A11" s="5" t="inlineStr">
        <is>
          <t>خلاصهٔ خودکار وضعیت تست‌ها</t>
        </is>
      </c>
    </row>
    <row r="12">
      <c r="A12" s="3" t="inlineStr">
        <is>
          <t>شاخص</t>
        </is>
      </c>
      <c r="B12" s="3" t="inlineStr">
        <is>
          <t>مقدار</t>
        </is>
      </c>
      <c r="C12" s="3" t="inlineStr">
        <is>
          <t>توضیح</t>
        </is>
      </c>
    </row>
    <row r="13">
      <c r="A13" s="6" t="inlineStr">
        <is>
          <t>کل تست‌ها</t>
        </is>
      </c>
      <c r="B13" s="6" t="n">
        <v>19</v>
      </c>
      <c r="C13" s="6" t="inlineStr">
        <is>
          <t>همهٔ ردیف‌های برنامه تست</t>
        </is>
      </c>
    </row>
    <row r="14">
      <c r="A14" s="6" t="inlineStr">
        <is>
          <t>قبول</t>
        </is>
      </c>
      <c r="B14" s="6">
        <f>COUNTIF('برنامه تست'!L:L,"قبول")</f>
        <v/>
      </c>
      <c r="C14" s="6" t="inlineStr">
        <is>
          <t>COUNTIF برنامه تست</t>
        </is>
      </c>
    </row>
    <row r="15">
      <c r="A15" s="6" t="inlineStr">
        <is>
          <t>رد</t>
        </is>
      </c>
      <c r="B15" s="6">
        <f>COUNTIF('برنامه تست'!L:L,"رد")</f>
        <v/>
      </c>
      <c r="C15" s="6" t="inlineStr">
        <is>
          <t>COUNTIF رد</t>
        </is>
      </c>
    </row>
    <row r="16">
      <c r="A16" s="6" t="inlineStr">
        <is>
          <t>در انتظار</t>
        </is>
      </c>
      <c r="B16" s="6">
        <f>COUNTIF('برنامه تست'!L:L,"در انتظار")</f>
        <v/>
      </c>
      <c r="C16" s="6" t="inlineStr">
        <is>
          <t>پیش از تست برد</t>
        </is>
      </c>
    </row>
    <row r="17">
      <c r="A17" s="6" t="inlineStr">
        <is>
          <t>نرخ قبولی</t>
        </is>
      </c>
      <c r="B17" s="6">
        <f>IF(19=0,0,COUNTIF('برنامه تست'!L:L,"قبول")/19)</f>
        <v/>
      </c>
      <c r="C17" s="6" t="inlineStr">
        <is>
          <t>قبول/کل</t>
        </is>
      </c>
    </row>
    <row r="19">
      <c r="A19" s="5" t="inlineStr">
        <is>
          <t>امضا و تأیید: تست‌کننده ______  بازبین ______  تاریخ ______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7" t="inlineStr">
        <is>
          <t>وضعیت</t>
        </is>
      </c>
    </row>
    <row r="2">
      <c r="A2" t="inlineStr">
        <is>
          <t>در انتظار</t>
        </is>
      </c>
    </row>
    <row r="3">
      <c r="A3" t="inlineStr">
        <is>
          <t>قبول</t>
        </is>
      </c>
    </row>
    <row r="4">
      <c r="A4" t="inlineStr">
        <is>
          <t>رد</t>
        </is>
      </c>
    </row>
    <row r="5">
      <c r="A5" t="inlineStr">
        <is>
          <t>مسدود</t>
        </is>
      </c>
    </row>
    <row r="6">
      <c r="A6" t="inlineStr">
        <is>
          <t>نیاز به تکرار</t>
        </is>
      </c>
    </row>
    <row r="8">
      <c r="A8" s="7" t="inlineStr">
        <is>
          <t>اولویت</t>
        </is>
      </c>
    </row>
    <row r="9">
      <c r="B9" t="inlineStr">
        <is>
          <t>بالا</t>
        </is>
      </c>
    </row>
    <row r="10">
      <c r="B10" t="inlineStr">
        <is>
          <t>متوسط</t>
        </is>
      </c>
    </row>
    <row r="11">
      <c r="B11" t="inlineStr">
        <is>
          <t>پایین</t>
        </is>
      </c>
    </row>
    <row r="13">
      <c r="A13" s="7" t="inlineStr">
        <is>
          <t>شدت</t>
        </is>
      </c>
    </row>
    <row r="14">
      <c r="A14" t="inlineStr">
        <is>
          <t>بحرانی</t>
        </is>
      </c>
    </row>
    <row r="15">
      <c r="A15" t="inlineStr">
        <is>
          <t>بالا</t>
        </is>
      </c>
    </row>
    <row r="16">
      <c r="A16" t="inlineStr">
        <is>
          <t>متوسط</t>
        </is>
      </c>
    </row>
    <row r="17">
      <c r="A17" t="inlineStr">
        <is>
          <t>پایین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/>
  </sheetPr>
  <dimension ref="A1:C6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 ht="30" customHeight="1">
      <c r="A1" s="8" t="inlineStr">
        <is>
          <t>ماشین حالت ماژول شارژر (Charger)</t>
        </is>
      </c>
    </row>
    <row r="3" ht="24" customHeight="1">
      <c r="A3" s="9" t="inlineStr">
        <is>
          <t>حالت‌ها و گذارهای همین ماژول</t>
        </is>
      </c>
      <c r="B3" s="10" t="inlineStr">
        <is>
          <t>Charger_State_Machine.xlsx</t>
        </is>
      </c>
    </row>
    <row r="4" ht="24" customHeight="1">
      <c r="A4" s="9" t="inlineStr">
        <is>
          <t>ماشین حالت کل برنامه (نمای سیستمی)</t>
        </is>
      </c>
      <c r="B4" s="10" t="inlineStr">
        <is>
          <t>../../../Documentation/System_State_Machine.xlsx</t>
        </is>
      </c>
    </row>
    <row r="5" ht="24" customHeight="1">
      <c r="A5" s="9" t="inlineStr">
        <is>
          <t>راهنمای رنگ‌ها</t>
        </is>
      </c>
      <c r="B5" s="11" t="inlineStr">
        <is>
          <t>سبز = عادی/سالم · زرد = هشدار یا انتظار · قرمز = خطا یا قفل · نارنجی = در حال کار · خاکستری = بی‌کار · آبی = اطلاعاتی</t>
        </is>
      </c>
    </row>
    <row r="6" ht="24" customHeight="1">
      <c r="A6" s="9" t="inlineStr">
        <is>
          <t>بازتولید</t>
        </is>
      </c>
      <c r="B6" s="11" t="inlineStr">
        <is>
          <t>python3 tools/make_module_state_machines.py</t>
        </is>
      </c>
    </row>
  </sheetData>
  <mergeCells count="1">
    <mergeCell ref="A1:C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2026-09-23T12:47:22Z</dcterms:created>
  <dcterms:modified xsi:type="dcterms:W3CDTF">2026-10-11T12:56:43Z</dcterms:modified>
</cp:coreProperties>
</file>