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  <sheet name="ماشین حالت" sheetId="7" state="visible" r:id="rId7"/>
  </sheets>
  <definedNames>
    <definedName name="_xlnm._FilterDatabase" localSheetId="1" hidden="1">'برنامه تست'!$A$4:$P$26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hangeov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Changeover — منطق قطع/وصل باتری</t>
        </is>
      </c>
    </row>
    <row r="2" ht="40" customHeight="1">
      <c r="A2" s="2" t="inlineStr">
        <is>
          <t>ChangeOver | PB11 (BSP_GPIO_PROTECT_BATTERY) | آستانه‌ها: 21000/20800/21200 و فیلتر 3000ms | نسخه 2.1 — فقط PB11، زمان rtos_time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برای اعتبارسنجی منطق Changeover تهیه شده است: بررسی snapshot.valid، fault_mask، input_present، v_bat24_mv، قفل داخلی باتری کم و تایمر 3000ms.</t>
        </is>
      </c>
    </row>
    <row r="5" ht="13" customHeight="1">
      <c r="A5" s="4" t="inlineStr">
        <is>
          <t>هیچ ردیفی بدون «روش اجرا» و «نتیجه مورد انتظار» نیست؛ هر PASS/FAIL با مقدار mV و ms و state/PB11 قابل اندازه‌گیری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 فقط یک Workbook برای Changeover باقی بماند.</t>
        </is>
      </c>
    </row>
    <row r="7" ht="18" customHeight="1">
      <c r="A7" s="3" t="inlineStr">
        <is>
          <t>دامنه: فقط Changeover؛ Measurement برای snapshot، Fault برای fault_mask و UI برای فلگ</t>
        </is>
      </c>
    </row>
    <row r="8" ht="13" customHeight="1">
      <c r="A8" s="4" t="inlineStr">
        <is>
          <t>منطق (snapshot-first): اگر snapshot==NULL یا valid==false → هیچ تصمیمی، state حفظ، PB11 حفظ، تایمر reset، fault هم state را تغییر نمی‌دهد، زمان نامعتبر شمرده نشود.</t>
        </is>
      </c>
    </row>
    <row r="9" ht="13" customHeight="1">
      <c r="A9" s="4" t="inlineStr">
        <is>
          <t>فقط وقتی snapshot معتبر و fault!=0 → state=FAULT بدون تغییر هیچ pin (PB11/PB5/PB7).</t>
        </is>
      </c>
    </row>
    <row r="10" ht="13" customHeight="1">
      <c r="A10" s="4" t="inlineStr">
        <is>
          <t>قطع با گیت: v_bat&lt;21000 و flag true به‌مدت پیوسته 3000ms → قطع (PB11 Low) → SAFE. قطع مستقل: v_bat&lt;20800 مستقل از فلگ 3000ms → SAFE.</t>
        </is>
      </c>
    </row>
    <row r="11" ht="13" customHeight="1">
      <c r="A11" s="4" t="inlineStr">
        <is>
          <t>وصل مجدد: input_present==true و v_bat≥21200 به‌مدت پیوسته 3000ms → وصل (PB11 High) → INPUT (هرگز IDLE).</t>
        </is>
      </c>
    </row>
    <row r="12" ht="13" customHeight="1">
      <c r="A12" s="4" t="inlineStr">
        <is>
          <t>زمان فقط با func__Rtos_MillisecondsToTicks و osKernelGetTickCount؛ فرض tick=1ms ممنوع؛ durationTicks==0 → هیچ قطع/وصل فوری.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و رعایت ایمنی تغذیه کن؛ PB11 را با DMM/اسکوپ نسبت به GND اندازه بگیر (فعال Low). PB5/PB7 را هم هم‌زمان اسکوپ کن و مطمئن شو تغییری ندارند.</t>
        </is>
      </c>
    </row>
    <row r="15" ht="13" customHeight="1">
      <c r="A15" s="4" t="inlineStr">
        <is>
          <t>۲) firmware موردنظر را پروگرام کن؛ commit و شناسه برد را در «تأیید نهایی» ثبت کن.</t>
        </is>
      </c>
    </row>
    <row r="16" ht="13" customHeight="1">
      <c r="A16" s="4" t="inlineStr">
        <is>
          <t>۳) snapshot را تزریق کن: valid، v_bat24_mv، input_present و قفل داخلی باتری کم را ست کن؛ fault_mask را از Fault اعمال کن.</t>
        </is>
      </c>
    </row>
    <row r="17" ht="13" customHeight="1">
      <c r="A17" s="4" t="inlineStr">
        <is>
          <t>۴) برای تست 3000ms: شرط را حداقل 3500ms پایدار نگه دار و سپس PB11 و state را بخوان؛ برای تست &lt;3000ms: پس از 2500ms بخوان و مطمئن شو هنوز تغییر نکرده.</t>
        </is>
      </c>
    </row>
    <row r="18" ht="13" customHeight="1">
      <c r="A18" s="4" t="inlineStr">
        <is>
          <t>۵) برای snapshot نامعتبر: valid=false یا NULL تزریق کن و ببین state و PB11 حفظ می‌ماند (باید «state فعلی حفظ شود» نه IDLE ثابت).</t>
        </is>
      </c>
    </row>
    <row r="19" ht="13" customHeight="1">
      <c r="A19" s="4" t="inlineStr">
        <is>
          <t>۶) نتیجه واقعی را بنویس و در صورت رد، در «ثبت ایراد» ردیف بساز.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2.1</t>
        </is>
      </c>
      <c r="C22" s="10" t="inlineStr">
        <is>
          <t>تکمیل ۲۲ تست مطابق لیست درخواستی، ستون‌های ۱۶گانه، PASS/FAIL per test، زمان rtos_time و duration0 guard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10" t="inlineStr">
        <is>
          <t>2026-09-16</t>
        </is>
      </c>
      <c r="B23" s="10" t="inlineStr">
        <is>
          <t>2.0</t>
        </is>
      </c>
      <c r="C23" s="10" t="inlineStr">
        <is>
          <t>snapshot-first با MillisecondsToTicks، نگاشت BATTERY/INPUT/SAFE/FAULT بدون IDLE</t>
        </is>
      </c>
      <c r="D23" s="10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10" t="inlineStr">
        <is>
          <t>2026-09-16</t>
        </is>
      </c>
      <c r="B24" s="10" t="inlineStr">
        <is>
          <t>1.0</t>
        </is>
      </c>
      <c r="C24" s="10" t="inlineStr">
        <is>
          <t>پیاده‌سازی با 21 سناریو</t>
        </is>
      </c>
      <c r="D24" s="10" t="inlineStr">
        <is>
          <t>d0adc6f</t>
        </is>
      </c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4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Changeover (قطع/وصل باتری با 3000ms)</t>
        </is>
      </c>
    </row>
    <row r="2" ht="30" customHeight="1">
      <c r="A2" s="13" t="inlineStr">
        <is>
          <t>ورودی‌ها بر حسب mV؛ زمان‌ها بر حسب ms. PB11 فقط از BSP_GPIO_PROTECT_BATTERY (فعال Low) — PB5/PB7 ممنوع. ورودی‌ها: valid، v_bat، input_present، flag، fault.</t>
        </is>
      </c>
    </row>
    <row r="3" ht="32" customHeight="1">
      <c r="A3" s="14" t="inlineStr">
        <is>
          <t>snapshot نامعتبر → «state فعلی حفظ شود» (نه IDLE ثابت). CO-010/012 باید INPUT باشد. معیار قبولی هر ردیف توضیح می‌دهد PASS چیست و FAIL چیست.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CO-001</t>
        </is>
      </c>
      <c r="B5" s="15" t="inlineStr">
        <is>
          <t>Snapshot نامعتبر / حفظ</t>
        </is>
      </c>
      <c r="C5" s="15" t="inlineStr">
        <is>
          <t>بالا</t>
        </is>
      </c>
      <c r="D5" s="15" t="inlineStr">
        <is>
          <t>Init → BOOT, PB11 High-safe</t>
        </is>
      </c>
      <c r="E5" s="15" t="inlineStr">
        <is>
          <t>snapshot.valid=false با v_bat=24000 input=false fault=0 را اعمال و 500ms صبر کن</t>
        </is>
      </c>
      <c r="F5" s="15" t="inlineStr">
        <is>
          <t>valid=false, v=24000, input=false, flag false, fault0</t>
        </is>
      </c>
      <c r="G5" s="15" t="inlineStr">
        <is>
          <t>500ms</t>
        </is>
      </c>
      <c r="H5" s="15" t="inlineStr">
        <is>
          <t>state حفظ شود: «state فعلی حفظ شود» (BOOT/BATTERY/INPUT/SAFE قبلی) و PB11 حفظ (High-safe). PASS: state و PB11 بدون تغییر. FAIL: هر تغییر به FAULT یا IDLE یا تغییر PB11.</t>
        </is>
      </c>
      <c r="I5" s="15" t="inlineStr">
        <is>
          <t>PASS: state فعلی حفظ. FAIL: تغییر خودبه‌خود.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CO-002</t>
        </is>
      </c>
      <c r="B6" s="19" t="inlineStr">
        <is>
          <t>Snapshot نامعتبر / تایمر reset</t>
        </is>
      </c>
      <c r="C6" s="19" t="inlineStr">
        <is>
          <t>بالا</t>
        </is>
      </c>
      <c r="D6" s="19" t="inlineStr">
        <is>
          <t>BATTERY با شرط قطع نیمه‌کاره</t>
        </is>
      </c>
      <c r="E6" s="19" t="inlineStr">
        <is>
          <t>2s شرط قطع (v=20900+flag true) → 1s valid=false → 2s قطع دوباره را اعمال کن</t>
        </is>
      </c>
      <c r="F6" s="19" t="inlineStr">
        <is>
          <t>valid true 2s → false 1s → true 2s, v20900 flag true</t>
        </is>
      </c>
      <c r="G6" s="19" t="inlineStr">
        <is>
          <t>2+1+2s</t>
        </is>
      </c>
      <c r="H6" s="19" t="inlineStr">
        <is>
          <t>PB11 نباید پس از 2s اول قطع شود؛ پس از 1s invalid، تایمر reset و 2s بعدی هم هنوز قطع نشود (نیاز به 3s پیوسته). PASS: invalid تایمر را reset. FAIL: قطع زود در 2s.</t>
        </is>
      </c>
      <c r="I6" s="19" t="inlineStr">
        <is>
          <t>PASS: reset پس از invalid. FAIL: قطع زود.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CO-003</t>
        </is>
      </c>
      <c r="B7" s="15" t="inlineStr">
        <is>
          <t>Snapshot نامعتبر + Fault</t>
        </is>
      </c>
      <c r="C7" s="15" t="inlineStr">
        <is>
          <t>بالا</t>
        </is>
      </c>
      <c r="D7" s="15" t="inlineStr">
        <is>
          <t>BATTERY</t>
        </is>
      </c>
      <c r="E7" s="15" t="inlineStr">
        <is>
          <t>valid=false با fault=FAULT_ADC را اعمال کن</t>
        </is>
      </c>
      <c r="F7" s="15" t="inlineStr">
        <is>
          <t>valid=false, fault=1 (ADC), v25000</t>
        </is>
      </c>
      <c r="G7" s="15" t="inlineStr">
        <is>
          <t>500ms</t>
        </is>
      </c>
      <c r="H7" s="15" t="inlineStr">
        <is>
          <t>state حفظ شود (نه FAULT)، PB11 حفظ، تایمر reset. PASS: fault همراه invalid نباید FAULT شود. FAIL: FAULT شدن.</t>
        </is>
      </c>
      <c r="I7" s="15" t="inlineStr">
        <is>
          <t>PASS: حفظ state قبلی. FAIL: FAULT.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CO-004</t>
        </is>
      </c>
      <c r="B8" s="19" t="inlineStr">
        <is>
          <t>Fault با snapshot معتبر</t>
        </is>
      </c>
      <c r="C8" s="19" t="inlineStr">
        <is>
          <t>بالا</t>
        </is>
      </c>
      <c r="D8" s="19" t="inlineStr">
        <is>
          <t>INPUT/BATTERY</t>
        </is>
      </c>
      <c r="E8" s="19" t="inlineStr">
        <is>
          <t>valid=true v=24000 input true با fault=FAULT_ADC را اعمال کن</t>
        </is>
      </c>
      <c r="F8" s="19" t="inlineStr">
        <is>
          <t>valid=true, v24000, input true, fault 1</t>
        </is>
      </c>
      <c r="G8" s="19" t="inlineStr">
        <is>
          <t>500ms</t>
        </is>
      </c>
      <c r="H8" s="19" t="inlineStr">
        <is>
          <t>state=FAULT، PB11 حفظ (بدون تغییر High→Low)، تایمر reset. PASS: FAULT بدون تغییر PB11. FAIL: تغییر PB11 یا ماندن در INPUT.</t>
        </is>
      </c>
      <c r="I8" s="19" t="inlineStr">
        <is>
          <t>PASS: FAULT و PB11 حفظ. FAIL: تغییر PB11.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CO-005</t>
        </is>
      </c>
      <c r="B9" s="15" t="inlineStr">
        <is>
          <t>Fault چند بیتی</t>
        </is>
      </c>
      <c r="C9" s="15" t="inlineStr">
        <is>
          <t>متوسط</t>
        </is>
      </c>
      <c r="D9" s="15" t="inlineStr">
        <is>
          <t>FAULT قبلی</t>
        </is>
      </c>
      <c r="E9" s="15" t="inlineStr">
        <is>
          <t>fault=0x3F (همه) با valid=true اعمال کن</t>
        </is>
      </c>
      <c r="F9" s="15" t="inlineStr">
        <is>
          <t>valid true, fault ALL</t>
        </is>
      </c>
      <c r="G9" s="15" t="inlineStr">
        <is>
          <t>500ms</t>
        </is>
      </c>
      <c r="H9" s="15" t="inlineStr">
        <is>
          <t>state=FAULT، هیچ pin (PB11/PB5/PB7) تغییر نکند. PASS: همه fault‌ها → FAULT بدون pin. FAIL: هر تغییر pin.</t>
        </is>
      </c>
      <c r="I9" s="15" t="inlineStr">
        <is>
          <t>PASS: همه fault → FAULT no pin. FAIL: pin change.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CO-006</t>
        </is>
      </c>
      <c r="B10" s="19" t="inlineStr">
        <is>
          <t>ورودی قطع → BATTERY</t>
        </is>
      </c>
      <c r="C10" s="19" t="inlineStr">
        <is>
          <t>بالا</t>
        </is>
      </c>
      <c r="D10" s="19" t="inlineStr">
        <is>
          <t>BOOT با snapshot معتبر</t>
        </is>
      </c>
      <c r="E10" s="19" t="inlineStr">
        <is>
          <t>valid=true v=24000 input=false (Vin≤20V) fault0</t>
        </is>
      </c>
      <c r="F10" s="19" t="inlineStr">
        <is>
          <t>valid true, v24000, input false</t>
        </is>
      </c>
      <c r="G10" s="19" t="inlineStr">
        <is>
          <t>500ms</t>
        </is>
      </c>
      <c r="H10" s="19" t="inlineStr">
        <is>
          <t>state=BATTERY, PB11 High-safe (متصل). PASS: BATTERY. FAIL: INPUT یا SAFE یا FAULT.</t>
        </is>
      </c>
      <c r="I10" s="19" t="inlineStr">
        <is>
          <t>PASS: BATTERY.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CO-007</t>
        </is>
      </c>
      <c r="B11" s="15" t="inlineStr">
        <is>
          <t>ورودی حاضر → INPUT</t>
        </is>
      </c>
      <c r="C11" s="15" t="inlineStr">
        <is>
          <t>بالا</t>
        </is>
      </c>
      <c r="D11" s="15" t="inlineStr">
        <is>
          <t>BOOT/BATTERY</t>
        </is>
      </c>
      <c r="E11" s="15" t="inlineStr">
        <is>
          <t>valid=true v=24000 input=true (Vin≥21V) fault0</t>
        </is>
      </c>
      <c r="F11" s="15" t="inlineStr">
        <is>
          <t>valid true, v24000, input true</t>
        </is>
      </c>
      <c r="G11" s="15" t="inlineStr">
        <is>
          <t>500ms</t>
        </is>
      </c>
      <c r="H11" s="15" t="inlineStr">
        <is>
          <t>state=INPUT, PB11 High-safe. PASS: INPUT. FAIL: BATTERY یا SAFE.</t>
        </is>
      </c>
      <c r="I11" s="15" t="inlineStr">
        <is>
          <t>PASS: INPUT. FAIL: otherwise.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CO-008</t>
        </is>
      </c>
      <c r="B12" s="19" t="inlineStr">
        <is>
          <t>قطع با گیت / 21000 + flag</t>
        </is>
      </c>
      <c r="C12" s="19" t="inlineStr">
        <is>
          <t>بالا</t>
        </is>
      </c>
      <c r="D12" s="19" t="inlineStr">
        <is>
          <t>BATTERY/INPUT, PB11 High</t>
        </is>
      </c>
      <c r="E12" s="19" t="inlineStr">
        <is>
          <t>valid=true v=20900 (&lt;21000) flag true, input false را 3500ms نگه دار</t>
        </is>
      </c>
      <c r="F12" s="19" t="inlineStr">
        <is>
          <t>v20900 (&lt;21000) flag true</t>
        </is>
      </c>
      <c r="G12" s="19" t="inlineStr">
        <is>
          <t>3500ms (≥3000)</t>
        </is>
      </c>
      <c r="H12" s="19" t="inlineStr">
        <is>
          <t>پس از 2500ms هنوز BATTERY/INPUT و PB11 High؛ پس از 3000ms PB11 Low (قطع) و state=SAFE. PASS: قطع فقط پس از 3000ms پیوسته. FAIL: قطع زود یا عدم قطع.</t>
        </is>
      </c>
      <c r="I12" s="19" t="inlineStr">
        <is>
          <t>PASS: 2500 still no cut, 3000 SAFE. FAIL: early or no cut.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CO-009</t>
        </is>
      </c>
      <c r="B13" s="15" t="inlineStr">
        <is>
          <t>قطع مستقل / 20800</t>
        </is>
      </c>
      <c r="C13" s="15" t="inlineStr">
        <is>
          <t>بالا</t>
        </is>
      </c>
      <c r="D13" s="15" t="inlineStr">
        <is>
          <t>BATTERY, flag false</t>
        </is>
      </c>
      <c r="E13" s="15" t="inlineStr">
        <is>
          <t>valid=true v=20700 (&lt;20800) flag false input false را 3500ms نگه دار</t>
        </is>
      </c>
      <c r="F13" s="15" t="inlineStr">
        <is>
          <t>v20700 (&lt;20800) flag false</t>
        </is>
      </c>
      <c r="G13" s="15" t="inlineStr">
        <is>
          <t>3500ms</t>
        </is>
      </c>
      <c r="H13" s="15" t="inlineStr">
        <is>
          <t>پس از 3000ms SAFE با PB11 Low مستقل از flag. PASS: مستقل cuts. FAIL: عدم قطع به علت flag false.</t>
        </is>
      </c>
      <c r="I13" s="15" t="inlineStr">
        <is>
          <t>PASS: independent cut. FAIL: no cut due flag.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CO-010</t>
        </is>
      </c>
      <c r="B14" s="19" t="inlineStr">
        <is>
          <t>مرز دقیق 21000 نباید cut</t>
        </is>
      </c>
      <c r="C14" s="19" t="inlineStr">
        <is>
          <t>بالا</t>
        </is>
      </c>
      <c r="D14" s="19" t="inlineStr">
        <is>
          <t>BATTERY</t>
        </is>
      </c>
      <c r="E14" s="19" t="inlineStr">
        <is>
          <t>valid=true v=21000 (دقیق مرز &lt;21000) با flag true و input=true (Vin=24V) را 3500ms (≥3000) پایدار نگه دار</t>
        </is>
      </c>
      <c r="F14" s="19" t="inlineStr">
        <is>
          <t>valid=true, v=21000 (دقیق) flag=true, input=true (Vin≥21V)</t>
        </is>
      </c>
      <c r="G14" s="19" t="inlineStr">
        <is>
          <t>3500ms</t>
        </is>
      </c>
      <c r="H14" s="19" t="inlineStr">
        <is>
          <t>هیچ قطع رخ ندهد، state=INPUT (چون input_present=true و بدون cut) و PB11 High-safe بماند. PASS: با input حاضر، بدون قطع باید INPUT باشد، نه BATTERY یا SAFE. FAIL: BATTERY/SAFE یا تغییر PB11.</t>
        </is>
      </c>
      <c r="I14" s="19" t="inlineStr">
        <is>
          <t>PASS: با v=21000 و input true، state=INPUT و PB11 High. FAIL: هر cut یا BATTERY.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CO-011</t>
        </is>
      </c>
      <c r="B15" s="15" t="inlineStr">
        <is>
          <t>مرز دقیق 20800 نباید cut</t>
        </is>
      </c>
      <c r="C15" s="15" t="inlineStr">
        <is>
          <t>بالا</t>
        </is>
      </c>
      <c r="D15" s="15" t="inlineStr">
        <is>
          <t>BATTERY</t>
        </is>
      </c>
      <c r="E15" s="15" t="inlineStr">
        <is>
          <t>valid=true v=20800 flag false 3500ms</t>
        </is>
      </c>
      <c r="F15" s="15" t="inlineStr">
        <is>
          <t>v=20800 flag false</t>
        </is>
      </c>
      <c r="G15" s="15" t="inlineStr">
        <is>
          <t>3500ms</t>
        </is>
      </c>
      <c r="H15" s="15" t="inlineStr">
        <is>
          <t>هیچ قطع نشود. PASS: need &lt;20800. FAIL: cut at exact.</t>
        </is>
      </c>
      <c r="I15" s="15" t="inlineStr">
        <is>
          <t>PASS: 20800 no independent cut. FAIL: cut.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CO-012</t>
        </is>
      </c>
      <c r="B16" s="19" t="inlineStr">
        <is>
          <t>قطع &lt;3000ms نباید</t>
        </is>
      </c>
      <c r="C16" s="19" t="inlineStr">
        <is>
          <t>بالا</t>
        </is>
      </c>
      <c r="D16" s="19" t="inlineStr">
        <is>
          <t>BATTERY</t>
        </is>
      </c>
      <c r="E16" s="19" t="inlineStr">
        <is>
          <t>valid=true v=20900 (&lt;21000) flag true با input=true (Vin=24V) را فقط 2500ms (&lt;3000) نگه دار سپس v=24000 کن</t>
        </is>
      </c>
      <c r="F16" s="19" t="inlineStr">
        <is>
          <t>valid=true, v=20900 (&lt;21000) flag=true, input=true, فقط 2500ms (&lt;3000)</t>
        </is>
      </c>
      <c r="G16" s="19" t="inlineStr">
        <is>
          <t>2500ms</t>
        </is>
      </c>
      <c r="H16" s="19" t="inlineStr">
        <is>
          <t>پس از 2500ms هنوز state=INPUT (چون input true و هنوز SAFE نشده) و PB11 High. PASS: &lt;3000ms هنوز INPUT، نه SAFE. FAIL: SAFE زود یا BATTERY.</t>
        </is>
      </c>
      <c r="I16" s="19" t="inlineStr">
        <is>
          <t>PASS: 2500ms still INPUT (no cut). FAIL: early SAFE یا BATTERY.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CO-013</t>
        </is>
      </c>
      <c r="B17" s="15" t="inlineStr">
        <is>
          <t>وصل مجدد / 21200 + input</t>
        </is>
      </c>
      <c r="C17" s="15" t="inlineStr">
        <is>
          <t>بالا</t>
        </is>
      </c>
      <c r="D17" s="15" t="inlineStr">
        <is>
          <t>SAFE, PB11 Low</t>
        </is>
      </c>
      <c r="E17" s="15" t="inlineStr">
        <is>
          <t>از SAFE (پس از CO-008)، input=true و v=21300 (≥21200) را 3500ms نگه دار</t>
        </is>
      </c>
      <c r="F17" s="15" t="inlineStr">
        <is>
          <t>SAFE, input true, v21300</t>
        </is>
      </c>
      <c r="G17" s="15" t="inlineStr">
        <is>
          <t>3500ms</t>
        </is>
      </c>
      <c r="H17" s="15" t="inlineStr">
        <is>
          <t>قبل از 3000ms: SAFE و PB11 Low؛ بعد از 3000ms: INPUT و PB11 High. PASS: reconnect پس از 3000ms با PB11 High. FAIL: reconnect زود یا PB11 Low ماندن.</t>
        </is>
      </c>
      <c r="I17" s="15" t="inlineStr">
        <is>
          <t>PASS: قبل 3000 SAFE Low، بعد 3000 INPUT High. FAIL: early or no reconnect.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CO-014</t>
        </is>
      </c>
      <c r="B18" s="19" t="inlineStr">
        <is>
          <t>مرز دقیق 21200 باید reconnect</t>
        </is>
      </c>
      <c r="C18" s="19" t="inlineStr">
        <is>
          <t>بالا</t>
        </is>
      </c>
      <c r="D18" s="19" t="inlineStr">
        <is>
          <t>SAFE</t>
        </is>
      </c>
      <c r="E18" s="19" t="inlineStr">
        <is>
          <t>input true v=21200 (دقیق) 3500ms</t>
        </is>
      </c>
      <c r="F18" s="19" t="inlineStr">
        <is>
          <t>v=21200 input true</t>
        </is>
      </c>
      <c r="G18" s="19" t="inlineStr">
        <is>
          <t>3500ms</t>
        </is>
      </c>
      <c r="H18" s="19" t="inlineStr">
        <is>
          <t>پس از 3000ms INPUT و PB11 High. PASS: ≥21200 reconnect. FAIL: no reconnect at 21200.</t>
        </is>
      </c>
      <c r="I18" s="19" t="inlineStr">
        <is>
          <t>PASS: 21200 reconnects (need ≥). FAIL: no.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CO-015</t>
        </is>
      </c>
      <c r="B19" s="15" t="inlineStr">
        <is>
          <t>reconnect &lt;3000 نباید</t>
        </is>
      </c>
      <c r="C19" s="15" t="inlineStr">
        <is>
          <t>بالا</t>
        </is>
      </c>
      <c r="D19" s="15" t="inlineStr">
        <is>
          <t>SAFE</t>
        </is>
      </c>
      <c r="E19" s="15" t="inlineStr">
        <is>
          <t>input true v=21300 فقط 2500ms نگه دار</t>
        </is>
      </c>
      <c r="F19" s="15" t="inlineStr">
        <is>
          <t>v21300 input true</t>
        </is>
      </c>
      <c r="G19" s="15" t="inlineStr">
        <is>
          <t>2500ms</t>
        </is>
      </c>
      <c r="H19" s="15" t="inlineStr">
        <is>
          <t>هنوز SAFE و PB11 Low. PASS: &lt;3s no reconnect. FAIL: زود وصل.</t>
        </is>
      </c>
      <c r="I19" s="15" t="inlineStr">
        <is>
          <t>PASS: 2500 still SAFE. FAIL: INPUT early.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CO-016</t>
        </is>
      </c>
      <c r="B20" s="19" t="inlineStr">
        <is>
          <t>پس از reconnect state INPUT</t>
        </is>
      </c>
      <c r="C20" s="19" t="inlineStr">
        <is>
          <t>بالا</t>
        </is>
      </c>
      <c r="D20" s="19" t="inlineStr">
        <is>
          <t>پس از CO-013</t>
        </is>
      </c>
      <c r="E20" s="19" t="inlineStr">
        <is>
          <t>پس از reconnect موفق، state را بخوان</t>
        </is>
      </c>
      <c r="F20" s="19" t="inlineStr">
        <is>
          <t>post-reconnect</t>
        </is>
      </c>
      <c r="G20" s="19" t="inlineStr">
        <is>
          <t>100ms</t>
        </is>
      </c>
      <c r="H20" s="19" t="inlineStr">
        <is>
          <t>state=INPUT باشد، نه IDLE (IDLE برای معتبر ممنوع). PASS: INPUT. FAIL: IDLE.</t>
        </is>
      </c>
      <c r="I20" s="19" t="inlineStr">
        <is>
          <t>PASS: INPUT not IDLE. FAIL: IDLE.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CO-017</t>
        </is>
      </c>
      <c r="B21" s="15" t="inlineStr">
        <is>
          <t>PB11 در invalid حفظ</t>
        </is>
      </c>
      <c r="C21" s="15" t="inlineStr">
        <is>
          <t>بالا</t>
        </is>
      </c>
      <c r="D21" s="15" t="inlineStr">
        <is>
          <t>INPUT با PB11 High</t>
        </is>
      </c>
      <c r="E21" s="15" t="inlineStr">
        <is>
          <t>valid=true input true → INPUT High، سپس valid=false 500ms → PB11 چک</t>
        </is>
      </c>
      <c r="F21" s="15" t="inlineStr">
        <is>
          <t>valid true→false</t>
        </is>
      </c>
      <c r="G21" s="15" t="inlineStr">
        <is>
          <t>500ms</t>
        </is>
      </c>
      <c r="H21" s="15" t="inlineStr">
        <is>
          <t>PB11 Low-High بدون تغییر بماند (High). PASS: حفظ. FAIL: تغییر.</t>
        </is>
      </c>
      <c r="I21" s="15" t="inlineStr">
        <is>
          <t>PASS: PB11 preserved in invalid. FAIL: change.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CO-018</t>
        </is>
      </c>
      <c r="B22" s="19" t="inlineStr">
        <is>
          <t>PB11 در fault حفظ</t>
        </is>
      </c>
      <c r="C22" s="19" t="inlineStr">
        <is>
          <t>بالا</t>
        </is>
      </c>
      <c r="D22" s="19" t="inlineStr">
        <is>
          <t>INPUT</t>
        </is>
      </c>
      <c r="E22" s="19" t="inlineStr">
        <is>
          <t>valid=true با fault!=0 → FAULT → PB11 چک</t>
        </is>
      </c>
      <c r="F22" s="19" t="inlineStr">
        <is>
          <t>valid true fault1</t>
        </is>
      </c>
      <c r="G22" s="19" t="inlineStr">
        <is>
          <t>500ms</t>
        </is>
      </c>
      <c r="H22" s="19" t="inlineStr">
        <is>
          <t>PB11 حفظ (High). PASS. FAIL: Low شدن.</t>
        </is>
      </c>
      <c r="I22" s="19" t="inlineStr">
        <is>
          <t>PASS: PB11 preserved in fault. FAIL: change.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CO-019</t>
        </is>
      </c>
      <c r="B23" s="15" t="inlineStr">
        <is>
          <t>PB5 و PB7 هیچ‌گاه تغییر نکنند</t>
        </is>
      </c>
      <c r="C23" s="15" t="inlineStr">
        <is>
          <t>بالا</t>
        </is>
      </c>
      <c r="D23" s="15" t="inlineStr">
        <is>
          <t>هر حالت</t>
        </is>
      </c>
      <c r="E23" s="15" t="inlineStr">
        <is>
          <t>در تمام تست‌های CO-001 تا CO-015، PB5 (BAT_SWITCH) و PB7 (RELAY) را با اسکوپ/لاگ BSP چک کن</t>
        </is>
      </c>
      <c r="F23" s="15" t="inlineStr">
        <is>
          <t>تمام حالات</t>
        </is>
      </c>
      <c r="G23" s="15" t="inlineStr">
        <is>
          <t>هر تست</t>
        </is>
      </c>
      <c r="H23" s="15" t="inlineStr">
        <is>
          <t>PB5 و PB7 ثابت بمانند (PB5 High-safe active-low، PB7 Low). PASS: بدون تغییر. FAIL: هر toggle.</t>
        </is>
      </c>
      <c r="I23" s="15" t="inlineStr">
        <is>
          <t>PASS: PB5/PB7 never change. FAIL: any toggle.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CO-020</t>
        </is>
      </c>
      <c r="B24" s="19" t="inlineStr">
        <is>
          <t>فقط PROTECT_BATTERY مجاز</t>
        </is>
      </c>
      <c r="C24" s="19" t="inlineStr">
        <is>
          <t>بالا</t>
        </is>
      </c>
      <c r="D24" s="19" t="inlineStr">
        <is>
          <t>کد review + تست</t>
        </is>
      </c>
      <c r="E24" s="19" t="inlineStr">
        <is>
          <t>کد را بازرسی کن: فقط func__BspGpio_Write(BSP_GPIO_PROTECT_BATTERY) مجاز باشد؛ اسکوپ PB11 را چک کن</t>
        </is>
      </c>
      <c r="F24" s="19" t="inlineStr">
        <is>
          <t>کد + PB11</t>
        </is>
      </c>
      <c r="G24" s="19" t="inlineStr">
        <is>
          <t>—</t>
        </is>
      </c>
      <c r="H24" s="19" t="inlineStr">
        <is>
          <t>هیچ کد board_pins/HAL/PB5/PB7 نباشد، فقط PB11 تغییر کند. PASS: فقط PB11. FAIL: PB5/7.</t>
        </is>
      </c>
      <c r="I24" s="19" t="inlineStr">
        <is>
          <t>PASS: only PB11. FAIL: PB5/7 usage.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CO-021</t>
        </is>
      </c>
      <c r="B25" s="15" t="inlineStr">
        <is>
          <t>زمان از rtos_time</t>
        </is>
      </c>
      <c r="C25" s="15" t="inlineStr">
        <is>
          <t>متوسط</t>
        </is>
      </c>
      <c r="D25" s="15" t="inlineStr">
        <is>
          <t>هر زمان</t>
        </is>
      </c>
      <c r="E25" s="15" t="inlineStr">
        <is>
          <t>تغییر فرکانس تیک را شبیه‌سازی یا کد را چک کن: فقط func__Rtos_MillisecondsToTicks و osKernelGetTickCount استفاده شود، tick=1ms فرض نشود</t>
        </is>
      </c>
      <c r="F25" s="15" t="inlineStr">
        <is>
          <t>کد review</t>
        </is>
      </c>
      <c r="G25" s="15" t="inlineStr">
        <is>
          <t>—</t>
        </is>
      </c>
      <c r="H25" s="15" t="inlineStr">
        <is>
          <t>زمان با rtos_time قابل‌حمل باشد، 3000ms با هر فرکانس تیک درست کار کند. PASS: portable. FAIL: فرض 1ms.</t>
        </is>
      </c>
      <c r="I25" s="15" t="inlineStr">
        <is>
          <t>PASS: portable via rtos_time. FAIL: hardcoded 1ms.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CO-022</t>
        </is>
      </c>
      <c r="B26" s="19" t="inlineStr">
        <is>
          <t>durationTicks صفر → no immediate cut</t>
        </is>
      </c>
      <c r="C26" s="19" t="inlineStr">
        <is>
          <t>بالا</t>
        </is>
      </c>
      <c r="D26" s="19" t="inlineStr">
        <is>
          <t>BATTERY با شرط قطع</t>
        </is>
      </c>
      <c r="E26" s="19" t="inlineStr">
        <is>
          <t>tick freq=0 شبیه‌سازی (MillisecondsToTicks==0) → valid=true v=20700 flag true 3500ms</t>
        </is>
      </c>
      <c r="F26" s="19" t="inlineStr">
        <is>
          <t>valid true v20700 durTicks0</t>
        </is>
      </c>
      <c r="G26" s="19" t="inlineStr">
        <is>
          <t>3500ms</t>
        </is>
      </c>
      <c r="H26" s="19" t="inlineStr">
        <is>
          <t>هیچ قطع/وصل فوری انجام نشود، state و PB11 حفظ، تایمر reset. PASS: guard بدون تصمیم. FAIL: قطع فوری.</t>
        </is>
      </c>
      <c r="I26" s="19" t="inlineStr">
        <is>
          <t>PASS: guard preserves. FAIL: immediate cut.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</sheetData>
  <autoFilter ref="A4:P26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سریع سناریوهای Changeover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Snapshot نامعتبر</t>
        </is>
      </c>
      <c r="B4" s="15" t="inlineStr">
        <is>
          <t>valid==false یا NULL</t>
        </is>
      </c>
      <c r="C4" s="15" t="inlineStr">
        <is>
          <t>state حفظ، PB11 حفظ، تایمر reset</t>
        </is>
      </c>
      <c r="D4" s="15" t="inlineStr">
        <is>
          <t>changeover.c:valid check</t>
        </is>
      </c>
      <c r="E4" s="15" t="inlineStr">
        <is>
          <t>زمان نامعتبر شمرده نشود</t>
        </is>
      </c>
      <c r="F4" s="15" t="inlineStr">
        <is>
          <t>CO-001,002,017</t>
        </is>
      </c>
    </row>
    <row r="5" ht="14" customHeight="1">
      <c r="A5" s="15" t="inlineStr">
        <is>
          <t>Fault</t>
        </is>
      </c>
      <c r="B5" s="15" t="inlineStr">
        <is>
          <t>fault_mask !=0</t>
        </is>
      </c>
      <c r="C5" s="15" t="inlineStr">
        <is>
          <t>state=FAULT، هیچ pin تغییر نکند</t>
        </is>
      </c>
      <c r="D5" s="15" t="inlineStr">
        <is>
          <t>FAULT_NONE</t>
        </is>
      </c>
      <c r="E5" s="15" t="inlineStr">
        <is>
          <t>بالاترین اولویت پس از valid</t>
        </is>
      </c>
      <c r="F5" s="15" t="inlineStr">
        <is>
          <t>CO-004,005,018</t>
        </is>
      </c>
    </row>
    <row r="6" ht="14" customHeight="1">
      <c r="A6" s="15" t="inlineStr">
        <is>
          <t>قطع با آلارم</t>
        </is>
      </c>
      <c r="B6" s="15" t="inlineStr">
        <is>
          <t>v&lt;21000 و فلگ true</t>
        </is>
      </c>
      <c r="C6" s="15" t="inlineStr">
        <is>
          <t>پس از 3000ms PB11 Low (قطع) → SAFE</t>
        </is>
      </c>
      <c r="D6" s="15" t="inlineStr">
        <is>
          <t>CHANGEOVER_BAT_LOW_ALARM_CUT_MV=21000</t>
        </is>
      </c>
      <c r="E6" s="15" t="inlineStr">
        <is>
          <t>پیوسته</t>
        </is>
      </c>
      <c r="F6" s="15" t="inlineStr">
        <is>
          <t>CO-008,010,012</t>
        </is>
      </c>
    </row>
    <row r="7" ht="14" customHeight="1">
      <c r="A7" s="15" t="inlineStr">
        <is>
          <t>قطع مستقل</t>
        </is>
      </c>
      <c r="B7" s="15" t="inlineStr">
        <is>
          <t>v&lt;20800 (بدون فلگ)</t>
        </is>
      </c>
      <c r="C7" s="15" t="inlineStr">
        <is>
          <t>پس از 3000ms PB11 Low</t>
        </is>
      </c>
      <c r="D7" s="15" t="inlineStr">
        <is>
          <t>CHANGEOVER_BAT_CRITICAL_CUT_MV=20800</t>
        </is>
      </c>
      <c r="E7" s="15" t="inlineStr">
        <is>
          <t>مستقل</t>
        </is>
      </c>
      <c r="F7" s="15" t="inlineStr">
        <is>
          <t>CO-009,011</t>
        </is>
      </c>
    </row>
    <row r="8" ht="14" customHeight="1">
      <c r="A8" s="15" t="inlineStr">
        <is>
          <t>فیلتر زمان</t>
        </is>
      </c>
      <c r="B8" s="15" t="inlineStr">
        <is>
          <t>هر شرط &lt;3000ms</t>
        </is>
      </c>
      <c r="C8" s="15" t="inlineStr">
        <is>
          <t>عدم قطع/وصل</t>
        </is>
      </c>
      <c r="D8" s="15" t="inlineStr">
        <is>
          <t>CHANGEOVER_DURATION_MS=3000</t>
        </is>
      </c>
      <c r="E8" s="15" t="inlineStr">
        <is>
          <t>از rtos_time</t>
        </is>
      </c>
      <c r="F8" s="15" t="inlineStr">
        <is>
          <t>CO-012,015</t>
        </is>
      </c>
    </row>
    <row r="9" ht="14" customHeight="1">
      <c r="A9" s="15" t="inlineStr">
        <is>
          <t>وصل مجدد</t>
        </is>
      </c>
      <c r="B9" s="15" t="inlineStr">
        <is>
          <t>input==true و v≥21200</t>
        </is>
      </c>
      <c r="C9" s="15" t="inlineStr">
        <is>
          <t>پس از 3000ms PB11 High → INPUT</t>
        </is>
      </c>
      <c r="D9" s="15" t="inlineStr">
        <is>
          <t>CHANGEOVER_BAT_RECONNECT_MV=21200</t>
        </is>
      </c>
      <c r="E9" s="15" t="inlineStr">
        <is>
          <t>هر دو پیوسته</t>
        </is>
      </c>
      <c r="F9" s="15" t="inlineStr">
        <is>
          <t>CO-013,014,016</t>
        </is>
      </c>
    </row>
    <row r="10" ht="14" customHeight="1">
      <c r="A10" s="15" t="inlineStr">
        <is>
          <t>پس از reconnect</t>
        </is>
      </c>
      <c r="B10" s="15" t="inlineStr">
        <is>
          <t>state=INPUT</t>
        </is>
      </c>
      <c r="C10" s="15" t="inlineStr">
        <is>
          <t>نه IDLE</t>
        </is>
      </c>
      <c r="D10" s="15" t="inlineStr">
        <is>
          <t>app_types.h</t>
        </is>
      </c>
      <c r="E10" s="15" t="inlineStr">
        <is>
          <t>IDLE ممنوع برای valid</t>
        </is>
      </c>
      <c r="F10" s="15" t="inlineStr">
        <is>
          <t>CO-016</t>
        </is>
      </c>
    </row>
    <row r="11" ht="14" customHeight="1">
      <c r="A11" s="15" t="inlineStr">
        <is>
          <t>PB11 حفظ</t>
        </is>
      </c>
      <c r="B11" s="15" t="inlineStr">
        <is>
          <t>invalid/fault</t>
        </is>
      </c>
      <c r="C11" s="15" t="inlineStr">
        <is>
          <t>بدون تغییر</t>
        </is>
      </c>
      <c r="D11" s="15" t="inlineStr">
        <is>
          <t>—</t>
        </is>
      </c>
      <c r="E11" s="15" t="inlineStr">
        <is>
          <t>snapshot-first</t>
        </is>
      </c>
      <c r="F11" s="15" t="inlineStr">
        <is>
          <t>CO-017,018</t>
        </is>
      </c>
    </row>
    <row r="12" ht="14" customHeight="1">
      <c r="A12" s="15" t="inlineStr">
        <is>
          <t>PB5/PB7</t>
        </is>
      </c>
      <c r="B12" s="15" t="inlineStr">
        <is>
          <t>هیچ‌گاه</t>
        </is>
      </c>
      <c r="C12" s="15" t="inlineStr">
        <is>
          <t>بدون تغییر</t>
        </is>
      </c>
      <c r="D12" s="15" t="inlineStr">
        <is>
          <t>bsp_gpio.h:Forbidden</t>
        </is>
      </c>
      <c r="E12" s="15" t="inlineStr">
        <is>
          <t>فقط PROTECT_BATTERY</t>
        </is>
      </c>
      <c r="F12" s="15" t="inlineStr">
        <is>
          <t>CO-019,020</t>
        </is>
      </c>
    </row>
    <row r="13" ht="14" customHeight="1">
      <c r="A13" s="15" t="inlineStr">
        <is>
          <t>زمان</t>
        </is>
      </c>
      <c r="B13" s="15" t="inlineStr">
        <is>
          <t>ticks→ms via rtos_time</t>
        </is>
      </c>
      <c r="C13" s="15" t="inlineStr">
        <is>
          <t>بدون فرض 1ms</t>
        </is>
      </c>
      <c r="D13" s="15" t="inlineStr">
        <is>
          <t>func__Rtos_MillisecondsToTicks</t>
        </is>
      </c>
      <c r="E13" s="15" t="inlineStr">
        <is>
          <t>قابل‌حمل</t>
        </is>
      </c>
      <c r="F13" s="15" t="inlineStr">
        <is>
          <t>CO-021</t>
        </is>
      </c>
    </row>
    <row r="14" ht="14" customHeight="1">
      <c r="A14" s="15" t="inlineStr">
        <is>
          <t>duration0</t>
        </is>
      </c>
      <c r="B14" s="15" t="inlineStr">
        <is>
          <t>Ticks==0</t>
        </is>
      </c>
      <c r="C14" s="15" t="inlineStr">
        <is>
          <t>بدون تصمیم، حفظ state/PB11</t>
        </is>
      </c>
      <c r="D14" s="15" t="inlineStr">
        <is>
          <t>changeover.c guard</t>
        </is>
      </c>
      <c r="E14" s="15" t="inlineStr">
        <is>
          <t>frequency 0</t>
        </is>
      </c>
      <c r="F14" s="15" t="inlineStr">
        <is>
          <t>CO-022</t>
        </is>
      </c>
    </row>
    <row r="15" ht="14" customHeight="1">
      <c r="A15" s="15" t="inlineStr">
        <is>
          <t>منبع داده</t>
        </is>
      </c>
      <c r="B15" s="15" t="inlineStr">
        <is>
          <t>فقط 5 ورودی مجاز</t>
        </is>
      </c>
      <c r="C15" s="15" t="inlineStr">
        <is>
          <t>عدم استفاده از v_in/v_bat12 و ...</t>
        </is>
      </c>
      <c r="D15" s="15" t="inlineStr">
        <is>
          <t>app_types.h</t>
        </is>
      </c>
      <c r="E15" s="15" t="inlineStr">
        <is>
          <t>محدودیت</t>
        </is>
      </c>
      <c r="F15" s="15" t="inlineStr">
        <is>
          <t>CO-020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Changeover — PB11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Changeover — PB11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(2.1 — فیلتر 3000ms)</t>
        </is>
      </c>
      <c r="C5" s="26" t="inlineStr">
        <is>
          <t>نسخه فرم</t>
        </is>
      </c>
      <c r="D5" s="10" t="inlineStr">
        <is>
          <t>2.1 — فیلتر 3000ms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فرکانس تیک</t>
        </is>
      </c>
      <c r="B10" s="10" t="inlineStr">
        <is>
          <t>از osKernelGetTickFreq (قابل‌حمل)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آستانه‌ها</t>
        </is>
      </c>
      <c r="B11" s="10" t="inlineStr">
        <is>
          <t>21000/20800/21200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فیلتر</t>
        </is>
      </c>
      <c r="B12" s="10" t="inlineStr">
        <is>
          <t>3000ms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مجاز pin</t>
        </is>
      </c>
      <c r="B13" s="10" t="inlineStr">
        <is>
          <t>فقط BSP_GPIO_PROTECT_BATTERY</t>
        </is>
      </c>
      <c r="C13" s="26" t="inlineStr"/>
      <c r="D13" s="27" t="inlineStr"/>
      <c r="E13" s="11" t="n"/>
      <c r="F13" s="11" t="n"/>
    </row>
    <row r="14" ht="14" customHeight="1">
      <c r="A14" s="26" t="inlineStr">
        <is>
          <t>ممنوع</t>
        </is>
      </c>
      <c r="B14" s="10" t="inlineStr">
        <is>
          <t>PB5/PB7/HAL/board_pins</t>
        </is>
      </c>
      <c r="C14" s="26" t="inlineStr"/>
      <c r="D14" s="27" t="inlineStr"/>
      <c r="E14" s="11" t="n"/>
      <c r="F14" s="11" t="n"/>
    </row>
    <row r="15">
      <c r="A15" s="5" t="inlineStr">
        <is>
          <t>خلاصه خودکار وضعیت تست‌ها (پس از تست برد پر شود)</t>
        </is>
      </c>
    </row>
    <row r="16">
      <c r="A16" s="6" t="inlineStr">
        <is>
          <t>شاخص</t>
        </is>
      </c>
      <c r="B16" s="6" t="inlineStr">
        <is>
          <t>مقدار</t>
        </is>
      </c>
      <c r="C16" s="6" t="inlineStr">
        <is>
          <t>توضیح</t>
        </is>
      </c>
      <c r="D16" s="6" t="inlineStr">
        <is>
          <t>فرمول پیشنهادی</t>
        </is>
      </c>
      <c r="E16" s="8" t="n"/>
      <c r="F16" s="9" t="n"/>
    </row>
    <row r="17" ht="13" customHeight="1">
      <c r="A17" s="10" t="inlineStr">
        <is>
          <t>تعداد کل تست‌ها</t>
        </is>
      </c>
      <c r="B17" s="28">
        <f>COUNTA('برنامه تست'!A5:A200)</f>
        <v/>
      </c>
      <c r="C17" s="10" t="inlineStr">
        <is>
          <t>کل ردیف‌های برنامه تست</t>
        </is>
      </c>
      <c r="D17" s="10" t="inlineStr"/>
      <c r="E17" s="8" t="n"/>
      <c r="F17" s="9" t="n"/>
    </row>
    <row r="18" ht="13" customHeight="1">
      <c r="A18" s="10" t="inlineStr">
        <is>
          <t>تعداد قبول (PASS)</t>
        </is>
      </c>
      <c r="B18" s="28">
        <f>COUNTIF('برنامه تست'!K5:K200,"قبول")</f>
        <v/>
      </c>
      <c r="C18" s="10" t="inlineStr">
        <is>
          <t>تعداد ردیف با وضعیت = قبول</t>
        </is>
      </c>
      <c r="D18" s="10" t="inlineStr">
        <is>
          <t>COUNTIF('برنامه تست'!K5:K200,"قبول")</t>
        </is>
      </c>
      <c r="E18" s="8" t="n"/>
      <c r="F18" s="9" t="n"/>
    </row>
    <row r="19" ht="13" customHeight="1">
      <c r="A19" s="10" t="inlineStr">
        <is>
          <t>تعداد رد (FAIL)</t>
        </is>
      </c>
      <c r="B19" s="28">
        <f>COUNTIF('برنامه تست'!K5:K200,"رد")</f>
        <v/>
      </c>
      <c r="C19" s="10" t="inlineStr">
        <is>
          <t>تعداد ردیف با وضعیت = رد</t>
        </is>
      </c>
      <c r="D19" s="10" t="inlineStr">
        <is>
          <t>COUNTIF('برنامه تست'!K5:K200,"رد")</t>
        </is>
      </c>
      <c r="E19" s="8" t="n"/>
      <c r="F19" s="9" t="n"/>
    </row>
    <row r="20" ht="13" customHeight="1">
      <c r="A20" s="10" t="inlineStr">
        <is>
          <t>تعداد در انتظار</t>
        </is>
      </c>
      <c r="B20" s="28">
        <f>COUNTIF('برنامه تست'!K5:K200,"در انتظار")</f>
        <v/>
      </c>
      <c r="C20" s="10" t="inlineStr">
        <is>
          <t>تعداد ردیف با وضعیت = در انتظار</t>
        </is>
      </c>
      <c r="D20" s="10" t="inlineStr">
        <is>
          <t>COUNTIF('برنامه تست'!K5:K200,"در انتظار")</t>
        </is>
      </c>
      <c r="E20" s="8" t="n"/>
      <c r="F20" s="9" t="n"/>
    </row>
    <row r="21" ht="13" customHeight="1">
      <c r="A21" s="10" t="inlineStr">
        <is>
          <t>تعداد مسدود</t>
        </is>
      </c>
      <c r="B21" s="28">
        <f>COUNTIF('برنامه تست'!K5:K200,"مسدود")</f>
        <v/>
      </c>
      <c r="C21" s="10" t="inlineStr">
        <is>
          <t>تعداد ردیف با وضعیت = مسدود</t>
        </is>
      </c>
      <c r="D21" s="10" t="inlineStr"/>
      <c r="E21" s="8" t="n"/>
      <c r="F21" s="9" t="n"/>
    </row>
    <row r="22" ht="13" customHeight="1">
      <c r="A22" s="10" t="inlineStr">
        <is>
          <t>نرخ قبولی</t>
        </is>
      </c>
      <c r="B22" s="28">
        <f>IF(B17=0,"",TEXT(B18/B17,"0%"))</f>
        <v/>
      </c>
      <c r="C22" s="10" t="inlineStr">
        <is>
          <t>PASS / TOTAL</t>
        </is>
      </c>
      <c r="D22" s="10" t="inlineStr"/>
      <c r="E22" s="8" t="n"/>
      <c r="F22" s="9" t="n"/>
    </row>
    <row r="23">
      <c r="A23" s="5" t="inlineStr">
        <is>
          <t>امضاها</t>
        </is>
      </c>
    </row>
    <row r="24" ht="18" customHeight="1">
      <c r="A24" s="6" t="inlineStr">
        <is>
          <t>نقش</t>
        </is>
      </c>
      <c r="B24" s="6" t="inlineStr">
        <is>
          <t>نام و نام خانوادگی</t>
        </is>
      </c>
      <c r="C24" s="6" t="inlineStr">
        <is>
          <t>تاریخ</t>
        </is>
      </c>
      <c r="D24" s="6" t="inlineStr">
        <is>
          <t>امضا</t>
        </is>
      </c>
      <c r="E24" s="6" t="inlineStr">
        <is>
          <t>توضیحات</t>
        </is>
      </c>
      <c r="F24" s="9" t="n"/>
    </row>
    <row r="25" ht="22" customHeight="1">
      <c r="A25" s="10" t="inlineStr">
        <is>
          <t>تست‌کننده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بازبین فنی</t>
        </is>
      </c>
      <c r="B26" s="10" t="inlineStr"/>
      <c r="C26" s="10" t="inlineStr"/>
      <c r="D26" s="10" t="inlineStr"/>
      <c r="E26" s="10" t="inlineStr"/>
      <c r="F26" s="9" t="n"/>
    </row>
    <row r="27" ht="22" customHeight="1">
      <c r="A27" s="10" t="inlineStr">
        <is>
          <t>تأیید نهایی</t>
        </is>
      </c>
      <c r="B27" s="10" t="inlineStr"/>
      <c r="C27" s="10" t="inlineStr"/>
      <c r="D27" s="10" t="inlineStr"/>
      <c r="E27" s="10" t="inlineStr"/>
      <c r="F27" s="9" t="n"/>
    </row>
    <row r="28">
      <c r="A28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D17:F17"/>
    <mergeCell ref="A3:F3"/>
    <mergeCell ref="D16:F16"/>
    <mergeCell ref="E8:F8"/>
    <mergeCell ref="A2:F2"/>
    <mergeCell ref="E4:F4"/>
    <mergeCell ref="A23:F23"/>
    <mergeCell ref="D18:F18"/>
    <mergeCell ref="E9:F9"/>
    <mergeCell ref="E6:F6"/>
    <mergeCell ref="A28:F28"/>
    <mergeCell ref="E27:F27"/>
    <mergeCell ref="E26:F26"/>
    <mergeCell ref="D20:F20"/>
    <mergeCell ref="A15:F15"/>
    <mergeCell ref="D19:F19"/>
    <mergeCell ref="E7:F7"/>
    <mergeCell ref="E25:F25"/>
    <mergeCell ref="A1:F1"/>
    <mergeCell ref="D22:F22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1" t="inlineStr">
        <is>
          <t>ماشین حالت ماژول تغییر مسیر (Changeover)</t>
        </is>
      </c>
    </row>
    <row r="3" ht="24" customHeight="1">
      <c r="A3" s="32" t="inlineStr">
        <is>
          <t>حالت‌ها و گذارهای همین ماژول</t>
        </is>
      </c>
      <c r="B3" s="33" t="inlineStr">
        <is>
          <t>Changeover_State_Machine.xlsx</t>
        </is>
      </c>
    </row>
    <row r="4" ht="24" customHeight="1">
      <c r="A4" s="32" t="inlineStr">
        <is>
          <t>ماشین حالت کل برنامه (نمای سیستمی)</t>
        </is>
      </c>
      <c r="B4" s="33" t="inlineStr">
        <is>
          <t>../../../Documentation/System_State_Machine.xlsx</t>
        </is>
      </c>
    </row>
    <row r="5" ht="24" customHeight="1">
      <c r="A5" s="32" t="inlineStr">
        <is>
          <t>راهنمای رنگ‌ها</t>
        </is>
      </c>
      <c r="B5" s="3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2" t="inlineStr">
        <is>
          <t>بازتولید</t>
        </is>
      </c>
      <c r="B6" s="34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2026-09-16T16:35:39Z</dcterms:created>
  <dcterms:modified xsi:type="dcterms:W3CDTF">2026-10-12T04:26:21Z</dcterms:modified>
</cp:coreProperties>
</file>