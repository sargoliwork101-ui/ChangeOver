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برنامه تست" sheetId="2" state="visible" r:id="rId2"/>
    <sheet name="تست‌های برنامه‌نویسی" sheetId="3" state="visible" r:id="rId3"/>
    <sheet name="مراجع سناریو" sheetId="4" state="visible" r:id="rId4"/>
    <sheet name="ثبت ایراد" sheetId="5" state="visible" r:id="rId5"/>
    <sheet name="تأیید نهایی" sheetId="6" state="visible" r:id="rId6"/>
    <sheet name="فهرست‌ها" sheetId="7" state="visible" r:id="rId7"/>
    <sheet name="تست‌های آزمایشگاهی" sheetId="8" state="visible" r:id="rId8"/>
    <sheet name="ماشین حالت" sheetId="9" state="visible" r:id="rId9"/>
  </sheets>
  <definedNames>
    <definedName name="_xlnm._FilterDatabase" localSheetId="1" hidden="1">'برنامه تست'!$A$4:$Q$47</definedName>
    <definedName name="_xlnm.Print_Titles" localSheetId="1">'برنامه تست'!$4:$4</definedName>
    <definedName name="_xlnm._FilterDatabase" localSheetId="2" hidden="1">'تست‌های برنامه‌نویسی'!$A$4:$Q$7</definedName>
    <definedName name="_xlnm.Print_Titles" localSheetId="2">'تست‌های برنامه‌نویسی'!$4:$4</definedName>
  </definedNames>
  <calcPr calcId="124519" fullCalcOnLoad="1" iterate="1" iterateCount="100" iterateDelta="0.001"/>
</workbook>
</file>

<file path=xl/styles.xml><?xml version="1.0" encoding="utf-8"?>
<styleSheet xmlns="http://schemas.openxmlformats.org/spreadsheetml/2006/main">
  <numFmts count="1">
    <numFmt numFmtId="164" formatCode="yyyy-mm-dd"/>
  </numFmts>
  <fonts count="29">
    <font>
      <name val="Calibri"/>
      <family val="2"/>
      <color theme="1"/>
      <sz val="11"/>
      <scheme val="minor"/>
    </font>
    <font>
      <name val="Calibri"/>
      <b val="1"/>
      <sz val="10"/>
    </font>
    <font>
      <name val="Calibri"/>
      <sz val="8"/>
    </font>
    <font>
      <name val="Calibri"/>
      <b val="1"/>
      <sz val="8"/>
    </font>
    <font>
      <name val="Vazirmatn"/>
      <b val="1"/>
      <color rgb="00FFFFFF"/>
      <sz val="14"/>
    </font>
    <font>
      <name val="Vazirmatn"/>
      <b val="1"/>
      <sz val="10"/>
    </font>
    <font>
      <name val="Vazirmatn"/>
      <color rgb="000563C1"/>
      <sz val="10"/>
      <u val="single"/>
    </font>
    <font>
      <name val="Vazirmatn"/>
      <sz val="10"/>
    </font>
    <font>
      <name val="Tahoma"/>
      <b val="1"/>
      <sz val="10"/>
    </font>
    <font>
      <name val="Tahoma"/>
      <sz val="8"/>
    </font>
    <font>
      <name val="Tahoma"/>
      <b val="1"/>
      <sz val="8"/>
    </font>
    <font>
      <name val="Tahoma"/>
      <color theme="1"/>
      <sz val="11"/>
    </font>
    <font>
      <name val="Tahoma"/>
      <b val="1"/>
      <color rgb="00FFFFFF"/>
      <sz val="14"/>
    </font>
    <font>
      <name val="Tahoma"/>
      <color rgb="000563C1"/>
      <sz val="10"/>
      <u val="single"/>
    </font>
    <font>
      <name val="Tahoma"/>
      <sz val="10"/>
    </font>
    <font>
      <name val="Tahoma"/>
      <b val="1"/>
      <color rgb="00FFFFFF"/>
      <sz val="11"/>
    </font>
    <font>
      <name val="Tahoma"/>
      <b val="1"/>
      <color rgb="001F3864"/>
      <sz val="13"/>
    </font>
    <font>
      <name val="Tahoma"/>
      <b val="1"/>
      <color rgb="00C00000"/>
      <sz val="10"/>
    </font>
    <font>
      <name val="Tahoma"/>
      <color rgb="000563C1"/>
      <sz val="8"/>
      <u val="single"/>
    </font>
    <font>
      <name val="Tahoma"/>
      <b val="1"/>
      <color rgb="000563C1"/>
      <sz val="10"/>
      <u val="single"/>
    </font>
    <font>
      <name val="Vazirmatn"/>
      <sz val="8"/>
    </font>
    <font>
      <name val="Vazirmatn"/>
      <b val="1"/>
      <color rgb="00FFFFFF"/>
      <sz val="11"/>
    </font>
    <font>
      <name val="Vazirmatn"/>
      <color rgb="000563C1"/>
      <sz val="8"/>
      <u val="single"/>
    </font>
    <font>
      <name val="Vazirmatn"/>
      <b val="1"/>
      <color rgb="001F3864"/>
      <sz val="13"/>
    </font>
    <font>
      <name val="Vazirmatn"/>
      <family val="2"/>
      <color theme="1"/>
      <sz val="11"/>
      <scheme val="minor"/>
    </font>
    <font>
      <name val="Vazirmatn"/>
      <b val="1"/>
      <color rgb="00C00000"/>
      <sz val="10"/>
    </font>
    <font>
      <name val="Vazirmatn"/>
      <b val="1"/>
      <sz val="8"/>
    </font>
    <font>
      <name val="Vazirmatn"/>
      <color theme="1"/>
      <sz val="11"/>
    </font>
    <font>
      <name val="Vazirmatn"/>
      <sz val="11"/>
    </font>
  </fonts>
  <fills count="11">
    <fill>
      <patternFill/>
    </fill>
    <fill>
      <patternFill patternType="gray125"/>
    </fill>
    <fill>
      <patternFill patternType="solid">
        <fgColor rgb="00DDEBF7"/>
      </patternFill>
    </fill>
    <fill>
      <patternFill patternType="solid">
        <fgColor rgb="00FFEB9C"/>
      </patternFill>
    </fill>
    <fill>
      <patternFill patternType="solid">
        <fgColor rgb="001F3864"/>
      </patternFill>
    </fill>
    <fill>
      <patternFill patternType="solid">
        <fgColor rgb="00D9E2F3"/>
      </patternFill>
    </fill>
    <fill>
      <patternFill patternType="solid">
        <fgColor rgb="00FFE699"/>
      </patternFill>
    </fill>
    <fill>
      <patternFill patternType="solid">
        <fgColor rgb="00F2F6FC"/>
      </patternFill>
    </fill>
    <fill>
      <patternFill patternType="solid">
        <fgColor rgb="00FCE4D6"/>
      </patternFill>
    </fill>
    <fill>
      <patternFill patternType="solid">
        <fgColor rgb="001F4E79"/>
      </patternFill>
    </fill>
    <fill>
      <patternFill patternType="solid">
        <fgColor rgb="00FFFFFF"/>
      </patternFill>
    </fill>
  </fills>
  <borders count="8">
    <border>
      <left/>
      <right/>
      <top/>
      <bottom/>
      <diagonal/>
    </border>
    <border>
      <left style="thin">
        <color rgb="009DB7E8"/>
      </left>
      <right style="thin">
        <color rgb="009DB7E8"/>
      </right>
      <top style="thin">
        <color rgb="009DB7E8"/>
      </top>
      <bottom style="thin">
        <color rgb="009DB7E8"/>
      </bottom>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borders>
  <cellStyleXfs count="1">
    <xf numFmtId="0" fontId="0" fillId="0" borderId="0"/>
  </cellStyleXfs>
  <cellXfs count="91">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3"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pivotButton="0" quotePrefix="0" xfId="0"/>
    <xf numFmtId="0" fontId="2" fillId="0" borderId="0" pivotButton="0" quotePrefix="0" xfId="0"/>
    <xf numFmtId="0" fontId="1" fillId="3" borderId="0" pivotButton="0" quotePrefix="0" xfId="0"/>
    <xf numFmtId="0" fontId="4" fillId="4" borderId="0" applyAlignment="1" pivotButton="0" quotePrefix="0" xfId="0">
      <alignment horizontal="center" vertical="center"/>
    </xf>
    <xf numFmtId="0" fontId="5"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7" fillId="0" borderId="1" applyAlignment="1" pivotButton="0" quotePrefix="0" xfId="0">
      <alignment horizontal="right" vertical="center" wrapText="1"/>
    </xf>
    <xf numFmtId="0" fontId="8"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15" fillId="4" borderId="2" applyAlignment="1" pivotButton="0" quotePrefix="0" xfId="0">
      <alignment horizontal="center" vertical="center" wrapText="1"/>
    </xf>
    <xf numFmtId="0" fontId="18" fillId="0" borderId="0" applyAlignment="1" pivotButton="0" quotePrefix="0" xfId="0">
      <alignment horizontal="right" vertical="center" wrapText="1"/>
    </xf>
    <xf numFmtId="0" fontId="16" fillId="0" borderId="0" applyAlignment="1" pivotButton="0" quotePrefix="0" xfId="0">
      <alignment horizontal="right" vertical="center" wrapText="1"/>
    </xf>
    <xf numFmtId="0" fontId="8" fillId="5" borderId="2" applyAlignment="1" pivotButton="0" quotePrefix="0" xfId="0">
      <alignment horizontal="center" vertical="center"/>
    </xf>
    <xf numFmtId="0" fontId="14" fillId="0" borderId="2" applyAlignment="1" pivotButton="0" quotePrefix="0" xfId="0">
      <alignment horizontal="right" vertical="center" wrapText="1"/>
    </xf>
    <xf numFmtId="0" fontId="17"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8" fillId="6" borderId="2" applyAlignment="1" pivotButton="0" quotePrefix="0" xfId="0">
      <alignment horizontal="center" vertical="center" wrapText="1"/>
    </xf>
    <xf numFmtId="164" fontId="14" fillId="0" borderId="2" applyAlignment="1" pivotButton="0" quotePrefix="0" xfId="0">
      <alignment horizontal="center" vertical="center" wrapText="1"/>
    </xf>
    <xf numFmtId="0" fontId="14" fillId="7" borderId="2" applyAlignment="1" pivotButton="0" quotePrefix="0" xfId="0">
      <alignment horizontal="right" vertical="center" wrapText="1"/>
    </xf>
    <xf numFmtId="0" fontId="17" fillId="7" borderId="2" applyAlignment="1" pivotButton="0" quotePrefix="0" xfId="0">
      <alignment horizontal="center" vertical="center" wrapText="1"/>
    </xf>
    <xf numFmtId="0" fontId="14" fillId="7" borderId="2" applyAlignment="1" pivotButton="0" quotePrefix="0" xfId="0">
      <alignment horizontal="center" vertical="center" wrapText="1"/>
    </xf>
    <xf numFmtId="164" fontId="14" fillId="7" borderId="2" applyAlignment="1" pivotButton="0" quotePrefix="0" xfId="0">
      <alignment horizontal="center" vertical="center" wrapText="1"/>
    </xf>
    <xf numFmtId="0" fontId="8" fillId="8" borderId="2" applyAlignment="1" pivotButton="0" quotePrefix="0" xfId="0">
      <alignment horizontal="center" vertical="center" wrapText="1"/>
    </xf>
    <xf numFmtId="164" fontId="0" fillId="0" borderId="0" pivotButton="0" quotePrefix="0" xfId="0"/>
    <xf numFmtId="0" fontId="10" fillId="2"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pivotButton="0" quotePrefix="0" xfId="0"/>
    <xf numFmtId="0" fontId="9" fillId="0" borderId="0" pivotButton="0" quotePrefix="0" xfId="0"/>
    <xf numFmtId="0" fontId="8" fillId="3" borderId="0" pivotButton="0" quotePrefix="0" xfId="0"/>
    <xf numFmtId="0" fontId="11" fillId="0" borderId="0" pivotButton="0" quotePrefix="0" xfId="0"/>
    <xf numFmtId="0" fontId="12" fillId="4" borderId="0" applyAlignment="1" pivotButton="0" quotePrefix="0" xfId="0">
      <alignment horizontal="center" vertical="center"/>
    </xf>
    <xf numFmtId="0" fontId="8" fillId="0" borderId="1" applyAlignment="1" pivotButton="0" quotePrefix="0" xfId="0">
      <alignment horizontal="right" vertical="center" wrapText="1"/>
    </xf>
    <xf numFmtId="0" fontId="13" fillId="0" borderId="1" applyAlignment="1" pivotButton="0" quotePrefix="0" xfId="0">
      <alignment horizontal="right" vertical="center" wrapText="1"/>
    </xf>
    <xf numFmtId="0" fontId="14" fillId="0" borderId="1" applyAlignment="1" pivotButton="0" quotePrefix="0" xfId="0">
      <alignment horizontal="right" vertical="center" wrapText="1"/>
    </xf>
    <xf numFmtId="0" fontId="0" fillId="0" borderId="5" pivotButton="0" quotePrefix="0" xfId="0"/>
    <xf numFmtId="0" fontId="0" fillId="0" borderId="6" pivotButton="0" quotePrefix="0" xfId="0"/>
    <xf numFmtId="0" fontId="13" fillId="7" borderId="2" applyAlignment="1" pivotButton="0" quotePrefix="0" xfId="0">
      <alignment horizontal="right" vertical="center" wrapText="1"/>
    </xf>
    <xf numFmtId="0" fontId="13" fillId="0" borderId="2" applyAlignment="1" pivotButton="0" quotePrefix="0" xfId="0">
      <alignment horizontal="right" vertical="center" wrapText="1"/>
    </xf>
    <xf numFmtId="0" fontId="18" fillId="0" borderId="0" applyAlignment="1" pivotButton="0" quotePrefix="0" xfId="0">
      <alignment horizontal="center" vertical="center" wrapText="1"/>
    </xf>
    <xf numFmtId="0" fontId="16" fillId="0" borderId="0" pivotButton="0" quotePrefix="0" xfId="0"/>
    <xf numFmtId="0" fontId="14" fillId="0" borderId="0" applyAlignment="1" pivotButton="0" quotePrefix="0" xfId="0">
      <alignment vertical="center" wrapText="1"/>
    </xf>
    <xf numFmtId="0" fontId="19" fillId="5" borderId="2" applyAlignment="1" pivotButton="0" quotePrefix="0" xfId="0">
      <alignment horizontal="center" vertical="center"/>
    </xf>
    <xf numFmtId="0" fontId="5" fillId="0" borderId="0" applyAlignment="1" pivotButton="0" quotePrefix="0" xfId="0">
      <alignment horizontal="right" vertical="center" wrapText="1"/>
    </xf>
    <xf numFmtId="0" fontId="20" fillId="0" borderId="0" applyAlignment="1" pivotButton="0" quotePrefix="0" xfId="0">
      <alignment horizontal="right" vertical="center" wrapText="1"/>
    </xf>
    <xf numFmtId="0" fontId="21" fillId="4" borderId="2" applyAlignment="1" pivotButton="0" quotePrefix="0" xfId="0">
      <alignment horizontal="center" vertical="center" wrapText="1"/>
    </xf>
    <xf numFmtId="0" fontId="22" fillId="0" borderId="0" applyAlignment="1" pivotButton="0" quotePrefix="0" xfId="0">
      <alignment horizontal="right" vertical="center" wrapText="1"/>
    </xf>
    <xf numFmtId="0" fontId="23" fillId="0" borderId="0" applyAlignment="1" pivotButton="0" quotePrefix="0" xfId="0">
      <alignment horizontal="right" vertical="center" wrapText="1"/>
    </xf>
    <xf numFmtId="0" fontId="24" fillId="0" borderId="0" pivotButton="0" quotePrefix="0" xfId="0"/>
    <xf numFmtId="0" fontId="5" fillId="5" borderId="2" applyAlignment="1" pivotButton="0" quotePrefix="0" xfId="0">
      <alignment horizontal="center" vertical="center"/>
    </xf>
    <xf numFmtId="0" fontId="7" fillId="0" borderId="2" applyAlignment="1" pivotButton="0" quotePrefix="0" xfId="0">
      <alignment horizontal="right" vertical="center" wrapText="1"/>
    </xf>
    <xf numFmtId="0" fontId="25" fillId="0" borderId="2" applyAlignment="1" pivotButton="0" quotePrefix="0" xfId="0">
      <alignment horizontal="center" vertical="center" wrapText="1"/>
    </xf>
    <xf numFmtId="0" fontId="7" fillId="0" borderId="2" applyAlignment="1" pivotButton="0" quotePrefix="0" xfId="0">
      <alignment horizontal="center" vertical="center" wrapText="1"/>
    </xf>
    <xf numFmtId="0" fontId="5" fillId="6" borderId="2" applyAlignment="1" pivotButton="0" quotePrefix="0" xfId="0">
      <alignment horizontal="center" vertical="center" wrapText="1"/>
    </xf>
    <xf numFmtId="164" fontId="7" fillId="0" borderId="2" applyAlignment="1" pivotButton="0" quotePrefix="0" xfId="0">
      <alignment horizontal="center" vertical="center" wrapText="1"/>
    </xf>
    <xf numFmtId="164" fontId="24" fillId="0" borderId="0" pivotButton="0" quotePrefix="0" xfId="0"/>
    <xf numFmtId="0" fontId="23" fillId="0" borderId="0" pivotButton="0" quotePrefix="0" xfId="0"/>
    <xf numFmtId="0" fontId="7" fillId="0" borderId="0" applyAlignment="1" pivotButton="0" quotePrefix="0" xfId="0">
      <alignment vertical="center" wrapText="1"/>
    </xf>
    <xf numFmtId="0" fontId="7" fillId="7" borderId="2" applyAlignment="1" pivotButton="0" quotePrefix="0" xfId="0">
      <alignment horizontal="right" vertical="center" wrapText="1"/>
    </xf>
    <xf numFmtId="0" fontId="7" fillId="7" borderId="2" applyAlignment="1" pivotButton="0" quotePrefix="0" xfId="0">
      <alignment horizontal="center" vertical="center" wrapText="1"/>
    </xf>
    <xf numFmtId="0" fontId="6" fillId="7" borderId="2" applyAlignment="1" pivotButton="0" quotePrefix="0" xfId="0">
      <alignment horizontal="right" vertical="center" wrapText="1"/>
    </xf>
    <xf numFmtId="164" fontId="7" fillId="7" borderId="2" applyAlignment="1" pivotButton="0" quotePrefix="0" xfId="0">
      <alignment horizontal="center" vertical="center" wrapText="1"/>
    </xf>
    <xf numFmtId="0" fontId="6" fillId="0" borderId="2" applyAlignment="1" pivotButton="0" quotePrefix="0" xfId="0">
      <alignment horizontal="right" vertical="center" wrapText="1"/>
    </xf>
    <xf numFmtId="0" fontId="2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24" fillId="0" borderId="5" pivotButton="0" quotePrefix="0" xfId="0"/>
    <xf numFmtId="0" fontId="24" fillId="0" borderId="6" pivotButton="0" quotePrefix="0" xfId="0"/>
    <xf numFmtId="0" fontId="26" fillId="2" borderId="0" applyAlignment="1" pivotButton="0" quotePrefix="0" xfId="0">
      <alignment horizontal="center" vertical="center" wrapText="1"/>
    </xf>
    <xf numFmtId="0" fontId="20"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5" fillId="0" borderId="0" pivotButton="0" quotePrefix="0" xfId="0"/>
    <xf numFmtId="0" fontId="20" fillId="0" borderId="0" pivotButton="0" quotePrefix="0" xfId="0"/>
    <xf numFmtId="0" fontId="5" fillId="3" borderId="0" pivotButton="0" quotePrefix="0" xfId="0"/>
    <xf numFmtId="0" fontId="27" fillId="0" borderId="0" pivotButton="0" quotePrefix="0" xfId="0"/>
    <xf numFmtId="0" fontId="28" fillId="0" borderId="0" pivotButton="0" quotePrefix="0" xfId="0"/>
    <xf numFmtId="0" fontId="28" fillId="0" borderId="7" pivotButton="0" quotePrefix="0" xfId="0"/>
    <xf numFmtId="164" fontId="28" fillId="0" borderId="7" pivotButton="0" quotePrefix="0" xfId="0"/>
    <xf numFmtId="0" fontId="4" fillId="4" borderId="0" applyAlignment="1" pivotButton="0" quotePrefix="0" xfId="0">
      <alignment horizontal="right" vertical="center" wrapText="1"/>
    </xf>
    <xf numFmtId="0" fontId="21" fillId="9" borderId="2" applyAlignment="1" pivotButton="0" quotePrefix="0" xfId="0">
      <alignment horizontal="center" vertical="center" wrapText="1"/>
    </xf>
    <xf numFmtId="0" fontId="7" fillId="10" borderId="2" applyAlignment="1" pivotButton="0" quotePrefix="0" xfId="0">
      <alignment horizontal="right" vertical="center" wrapText="1"/>
    </xf>
    <xf numFmtId="0" fontId="25" fillId="10" borderId="2" applyAlignment="1" pivotButton="0" quotePrefix="0" xfId="0">
      <alignment horizontal="center" vertical="center" wrapText="1"/>
    </xf>
    <xf numFmtId="0" fontId="7" fillId="10" borderId="2" applyAlignment="1" pivotButton="0" quotePrefix="0" xfId="0">
      <alignment horizontal="center" vertical="center" wrapText="1"/>
    </xf>
    <xf numFmtId="164" fontId="7" fillId="10" borderId="2" applyAlignment="1" pivotButton="0" quotePrefix="0" xfId="0">
      <alignment horizontal="center" vertical="center" wrapText="1"/>
    </xf>
    <xf numFmtId="0" fontId="4" fillId="4" borderId="0" pivotButton="0" quotePrefix="0" xfId="0"/>
    <xf numFmtId="0" fontId="6" fillId="10" borderId="2" applyAlignment="1" pivotButton="0" quotePrefix="0" xfId="0">
      <alignment horizontal="right" vertical="center" wrapText="1"/>
    </xf>
    <xf numFmtId="0" fontId="4" fillId="4" borderId="2" applyAlignment="1" pivotButton="0" quotePrefix="0" xfId="0">
      <alignment horizontal="center" vertical="center" wrapText="1"/>
    </xf>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Config/Inc/modules_enable.h" TargetMode="External" Id="rId1" /><Relationship Type="http://schemas.openxmlformats.org/officeDocument/2006/relationships/hyperlink" Target="protection.c" TargetMode="External" Id="rId2" /><Relationship Type="http://schemas.openxmlformats.org/officeDocument/2006/relationships/hyperlink" Target="../Fault/fault.h" TargetMode="External" Id="rId3" /></Relationships>
</file>

<file path=xl/worksheets/_rels/sheet9.xml.rels><Relationships xmlns="http://schemas.openxmlformats.org/package/2006/relationships"><Relationship Type="http://schemas.openxmlformats.org/officeDocument/2006/relationships/hyperlink" Target="Protection_State_Machine.xlsx" TargetMode="External" Id="rId1" /><Relationship Type="http://schemas.openxmlformats.org/officeDocument/2006/relationships/hyperlink" Target="../../../Documentation/System_State_Machine.xlsx" TargetMode="External" Id="rId2" /></Relationships>
</file>

<file path=xl/worksheets/sheet1.xml><?xml version="1.0" encoding="utf-8"?>
<worksheet xmlns="http://schemas.openxmlformats.org/spreadsheetml/2006/main">
  <sheetPr>
    <tabColor rgb="007F7F7F"/>
    <outlinePr summaryBelow="1" summaryRight="1"/>
    <pageSetUpPr/>
  </sheetPr>
  <dimension ref="A1:A11"/>
  <sheetViews>
    <sheetView rightToLeft="1" workbookViewId="0">
      <pane ySplit="1" topLeftCell="A2" activePane="bottomLeft" state="frozen"/>
      <selection pane="bottomLeft" activeCell="A1" sqref="A1"/>
    </sheetView>
  </sheetViews>
  <sheetFormatPr baseColWidth="8" defaultRowHeight="15"/>
  <cols>
    <col width="110" customWidth="1" min="1" max="1"/>
  </cols>
  <sheetData>
    <row r="1">
      <c r="A1" s="81" t="inlineStr">
        <is>
          <t>برگه تست و اعتبارسنجی عملی ماژول Protection</t>
        </is>
      </c>
    </row>
    <row r="2">
      <c r="A2" s="48" t="inlineStr">
        <is>
          <t>Protection | این ماژول فعلاً در برنامه خاموش است (MODULE_PROTECTION=0).
فقط بیت خطای ADC (FAULT_ADC) را نگه می‌دارد و آن هم لحظه‌ای است.</t>
        </is>
      </c>
    </row>
    <row r="3" ht="30" customHeight="1">
      <c r="A3" s="82" t="inlineStr">
        <is>
          <t>هدف فایل</t>
        </is>
      </c>
    </row>
    <row r="4">
      <c r="A4" s="48" t="inlineStr"/>
    </row>
    <row r="5">
      <c r="A5" s="48" t="inlineStr">
        <is>
          <t>این ماژول در بیلد فعلی فعال نیست.
تنها رفتار مشخصش این است:
اگر دادهٔ اندازه‌گیری نامعتبر شود، بیت FAULT_ADC ست می‌شود.
اگر داده معتبر شود، بیت خودش پاک می‌شود.
یعنی قفل نمی‌ماند؛ لحظه‌ای است.</t>
        </is>
      </c>
    </row>
    <row r="6">
      <c r="A6" s="48" t="inlineStr">
        <is>
          <t>ایراد قدیمی این بود که بیت FAULT_ADC موقع روشن‌شدن برای همیشه قفل می‌ماند.
در ممیزی ۲۰۲۶-۰۹-۲۲ درست شد. حالا Changeover موقع روشن‌شدن در وضعیت خطا گیر نمی‌کند.</t>
        </is>
      </c>
    </row>
    <row r="7">
      <c r="A7" s="48" t="inlineStr">
        <is>
          <t>حفاظت کامل (اضافه‌جریان و باتری ضعیف) بعداً و فقط با دستور کاربر فعال می‌شود (MODULE_PROTECTION=1).</t>
        </is>
      </c>
    </row>
    <row r="8">
      <c r="A8" s="48" t="inlineStr"/>
    </row>
    <row r="9">
      <c r="A9" s="50" t="inlineStr">
        <is>
          <t>یادداشت: تست‌های PR-002 و PR-003 به یک بیلد تستی نیاز دارند که در آن MODULE_PROTECTION=1 باشد.
در بیلد فعلی فقط تست PR-001 اجرا می‌شود.</t>
        </is>
      </c>
    </row>
    <row r="10"/>
    <row r="11">
      <c r="A11" s="78" t="inlineStr">
        <is>
          <t>اولویت‌ها ساده‌اند:
«بالا» یعنی اول همین‌ها را تست کن. این‌ها کارهای اصلی دستگاه‌اند: روشن‌شدن، شروع و پایان شارژ، چراغ‌های اصلی، رفتن تغذیه روی برق ورودی و خطاهای اصلی.
«متوسط» یعنی کارهای فرعی ولی کاربردی.
«پایین» یعنی ریزه‌کاری‌ها؛ مثل اثر نوسان کوچک روی ریتم چشمک.
در ستون «چه چیزی باید ببینید تا بگویید درست است» نوشته‌ایم دقیقاً چه باید ببینی یا بشنوی.
اگر چیز دیگری دیدی، وضعیت را «رد» بزن و در «شرح ایراد» بنویس چه دیدی.</t>
        </is>
      </c>
    </row>
  </sheetData>
  <mergeCells count="9">
    <mergeCell ref="A8"/>
    <mergeCell ref="A6"/>
    <mergeCell ref="A9"/>
    <mergeCell ref="A4"/>
    <mergeCell ref="A3"/>
    <mergeCell ref="A7"/>
    <mergeCell ref="A2"/>
    <mergeCell ref="A5"/>
    <mergeCell ref="A1"/>
  </mergeCells>
  <hyperlinks>
    <hyperlink ref="A9" location="'تست‌های آزمایشگاهی'!A5"/>
  </hyperlinks>
  <pageMargins left="0.75" right="0.75" top="1" bottom="1" header="0.5" footer="0.5"/>
</worksheet>
</file>

<file path=xl/worksheets/sheet2.xml><?xml version="1.0" encoding="utf-8"?>
<worksheet xmlns="http://schemas.openxmlformats.org/spreadsheetml/2006/main">
  <sheetPr>
    <tabColor rgb="001F4E79"/>
    <outlinePr summaryBelow="1" summaryRight="1"/>
    <pageSetUpPr fitToPage="1"/>
  </sheetPr>
  <dimension ref="A1:Q46"/>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1" t="inlineStr">
        <is>
          <t>برنامهٔ تست عملی — ماژول Protection</t>
        </is>
      </c>
    </row>
    <row r="2">
      <c r="A2" s="48" t="inlineStr">
        <is>
          <t>وضعیت فقط یکی از: در انتظار / قبول / رد / مسدود / نیاز به تکرار. تست Host جایگزین تست برد نیست.</t>
        </is>
      </c>
    </row>
    <row r="3">
      <c r="A3" s="48" t="inlineStr">
        <is>
          <t>برای هر ردیف پیش‌شرط، ورودی، انتظار و معیار قبولی صریح است؛ نتیجهٔ واقعی فقط با اندازه‌گیری روی برد پر می‌شود.</t>
        </is>
      </c>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 شرایط</t>
        </is>
      </c>
      <c r="G4" s="82" t="inlineStr">
        <is>
          <t>مدت مشاهده</t>
        </is>
      </c>
      <c r="H4" s="82" t="inlineStr">
        <is>
          <t>رفتار مورد انتظار</t>
        </is>
      </c>
      <c r="I4" s="82" t="inlineStr">
        <is>
          <t>می‌ماند یا پاک می‌شود</t>
        </is>
      </c>
      <c r="J4" s="82" t="inlineStr">
        <is>
          <t>چه چیزی باید ببینید تا بگویید درست است</t>
        </is>
      </c>
      <c r="K4" s="82" t="inlineStr">
        <is>
          <t>نتیجهٔ واقعی / اندازه‌گیری</t>
        </is>
      </c>
      <c r="L4" s="82" t="inlineStr">
        <is>
          <t>وضعیت</t>
        </is>
      </c>
      <c r="M4" s="82" t="inlineStr">
        <is>
          <t>شرح ایراد / تفاوت</t>
        </is>
      </c>
      <c r="N4" s="82" t="inlineStr">
        <is>
          <t>مدرک تست</t>
        </is>
      </c>
      <c r="O4" s="82" t="inlineStr">
        <is>
          <t>نسخهٔ برنامه</t>
        </is>
      </c>
      <c r="P4" s="82" t="inlineStr">
        <is>
          <t>نام تست‌کننده</t>
        </is>
      </c>
      <c r="Q4" s="82" t="inlineStr">
        <is>
          <t>تاریخ</t>
        </is>
      </c>
    </row>
    <row r="5" ht="40.5" customHeight="1">
      <c r="A5" s="53" t="inlineStr">
        <is>
          <t>PR-001</t>
        </is>
      </c>
      <c r="B5" s="62" t="inlineStr">
        <is>
          <t>ماژول خاموش</t>
        </is>
      </c>
      <c r="C5" s="67" t="inlineStr">
        <is>
          <t>بالا</t>
        </is>
      </c>
      <c r="D5" s="62" t="inlineStr">
        <is>
          <t>دستگاه در حال کار عادی با باتری و بار واقعی است</t>
        </is>
      </c>
      <c r="E5" s="62" t="inlineStr">
        <is>
          <t>گام ۱: دستگاه را چند ساعت در کار عادی (شارژ و مصرف) زیر نظر بگیر.
گام ۲: دنبال قطع حفاظتیِ بی‌دلیل بگرد.</t>
        </is>
      </c>
      <c r="F5" s="63" t="inlineStr">
        <is>
          <t>کار عادی چندساعته</t>
        </is>
      </c>
      <c r="G5" s="63" t="inlineStr">
        <is>
          <t>چند ساعت</t>
        </is>
      </c>
      <c r="H5" s="62" t="inlineStr">
        <is>
          <t>هیچ قطع حفاظتیِ اضافه‌ای در کار عادی دیده نمی‌شود؛ محصول با همان حفاظت‌های ماژول‌های فعال کار می‌کند</t>
        </is>
      </c>
      <c r="I5" s="62" t="inlineStr">
        <is>
          <t>—</t>
        </is>
      </c>
      <c r="J5" s="62" t="inlineStr">
        <is>
          <t>باید ببینید: در کار عادی هیچ قطع حفاظتیِ اضافه‌ای نیست و دستگاه چند ساعت تمیز کار می‌کند. اگر قطع بی‌دلیل دیدید، قبول نیست.</t>
        </is>
      </c>
      <c r="K5" s="54" t="n"/>
      <c r="L5" s="57" t="inlineStr">
        <is>
          <t>در انتظار</t>
        </is>
      </c>
      <c r="M5" s="54" t="n"/>
      <c r="N5" s="54" t="n"/>
      <c r="O5" s="63" t="inlineStr">
        <is>
          <t>(بعد از تست پر شود)</t>
        </is>
      </c>
      <c r="P5" s="56" t="n"/>
      <c r="Q5" s="65">
        <f>IF(OR(L5="",L5="در انتظار"),"",IF(Q5="",TODAY(),Q5))</f>
        <v/>
      </c>
    </row>
    <row r="6" ht="54" customHeight="1">
      <c r="A6" s="53" t="inlineStr">
        <is>
          <t>PR-003</t>
        </is>
      </c>
      <c r="B6" s="83" t="inlineStr">
        <is>
          <t>بوت قبل از warm-up</t>
        </is>
      </c>
      <c r="C6" s="84" t="inlineStr">
        <is>
          <t>متوسط</t>
        </is>
      </c>
      <c r="D6" s="83" t="inlineStr">
        <is>
          <t>دستگاه کاملاً خاموش و سرد است؛ بار روی خروجی وصل است</t>
        </is>
      </c>
      <c r="E6" s="83" t="inlineStr">
        <is>
          <t>گام ۱: دستگاه را روشن کن.
گام ۲: در همان ثانیه‌های اول بار را نگاه کن.</t>
        </is>
      </c>
      <c r="F6" s="85" t="inlineStr">
        <is>
          <t>روشن‌کردن سرد با بار</t>
        </is>
      </c>
      <c r="G6" s="85" t="inlineStr">
        <is>
          <t>یک دقیقه</t>
        </is>
      </c>
      <c r="H6" s="83" t="inlineStr">
        <is>
          <t>خروجی در لحظه‌های اول بی‌دلیل قطع نمی‌شود؛ دستگاه تمیز بالا می‌آید و بار عادی کار می‌کند</t>
        </is>
      </c>
      <c r="I6" s="83" t="inlineStr">
        <is>
          <t>—</t>
        </is>
      </c>
      <c r="J6" s="83" t="inlineStr">
        <is>
          <t>باید ببینید: دستگاه در لحظه‌های اول بی‌دلیل قطع نمی‌شود و تمیز بالا می‌آید و بار عادی کار می‌کند. اگر قطع‌ووصل اول کار دیدید، قبول نیست.</t>
        </is>
      </c>
      <c r="K6" s="54" t="n"/>
      <c r="L6" s="57" t="inlineStr">
        <is>
          <t>در انتظار</t>
        </is>
      </c>
      <c r="M6" s="54" t="n"/>
      <c r="N6" s="54" t="n"/>
      <c r="O6" s="85" t="inlineStr">
        <is>
          <t>(بعد از تست پر شود)</t>
        </is>
      </c>
      <c r="P6" s="56" t="n"/>
      <c r="Q6" s="86">
        <f>IF(OR(L6="",L6="در انتظار"),"",IF(Q6="",TODAY(),Q6))</f>
        <v/>
      </c>
    </row>
    <row r="7">
      <c r="A7" s="79" t="n"/>
      <c r="B7" s="79" t="n"/>
      <c r="C7" s="79" t="n"/>
      <c r="D7" s="79" t="n"/>
      <c r="E7" s="79" t="n"/>
      <c r="F7" s="79" t="n"/>
      <c r="G7" s="79" t="n"/>
      <c r="H7" s="79" t="n"/>
      <c r="I7" s="79" t="n"/>
      <c r="J7" s="79" t="n"/>
      <c r="K7" s="79" t="n"/>
      <c r="L7" s="79" t="n"/>
      <c r="M7" s="79" t="n"/>
      <c r="N7" s="79" t="n"/>
      <c r="O7" s="79" t="n"/>
      <c r="P7" s="79" t="n"/>
      <c r="Q7" s="80" t="n"/>
    </row>
    <row r="8">
      <c r="A8" s="79" t="n"/>
      <c r="B8" s="79" t="n"/>
      <c r="C8" s="79" t="n"/>
      <c r="D8" s="79" t="n"/>
      <c r="E8" s="79" t="n"/>
      <c r="F8" s="79" t="n"/>
      <c r="G8" s="79" t="n"/>
      <c r="H8" s="79" t="n"/>
      <c r="I8" s="79" t="n"/>
      <c r="J8" s="79" t="n"/>
      <c r="K8" s="79" t="n"/>
      <c r="L8" s="79" t="n"/>
      <c r="M8" s="79" t="n"/>
      <c r="N8" s="79" t="n"/>
      <c r="O8" s="79" t="n"/>
      <c r="P8" s="79" t="n"/>
      <c r="Q8" s="80" t="n"/>
    </row>
    <row r="9">
      <c r="A9" s="79" t="n"/>
      <c r="B9" s="79" t="n"/>
      <c r="C9" s="79" t="n"/>
      <c r="D9" s="79" t="n"/>
      <c r="E9" s="79" t="n"/>
      <c r="F9" s="79" t="n"/>
      <c r="G9" s="79" t="n"/>
      <c r="H9" s="79" t="n"/>
      <c r="I9" s="79" t="n"/>
      <c r="J9" s="79" t="n"/>
      <c r="K9" s="79" t="n"/>
      <c r="L9" s="79" t="n"/>
      <c r="M9" s="79" t="n"/>
      <c r="N9" s="79" t="n"/>
      <c r="O9" s="79" t="n"/>
      <c r="P9" s="79" t="n"/>
      <c r="Q9" s="80" t="n"/>
    </row>
    <row r="10">
      <c r="A10" s="79" t="n"/>
      <c r="B10" s="79" t="n"/>
      <c r="C10" s="79" t="n"/>
      <c r="D10" s="79" t="n"/>
      <c r="E10" s="79" t="n"/>
      <c r="F10" s="79" t="n"/>
      <c r="G10" s="79" t="n"/>
      <c r="H10" s="79" t="n"/>
      <c r="I10" s="79" t="n"/>
      <c r="J10" s="79" t="n"/>
      <c r="K10" s="79" t="n"/>
      <c r="L10" s="79" t="n"/>
      <c r="M10" s="79" t="n"/>
      <c r="N10" s="79" t="n"/>
      <c r="O10" s="79" t="n"/>
      <c r="P10" s="79" t="n"/>
      <c r="Q10" s="80" t="n"/>
    </row>
    <row r="11">
      <c r="A11" s="79" t="n"/>
      <c r="B11" s="79" t="n"/>
      <c r="C11" s="79" t="n"/>
      <c r="D11" s="79" t="n"/>
      <c r="E11" s="79" t="n"/>
      <c r="F11" s="79" t="n"/>
      <c r="G11" s="79" t="n"/>
      <c r="H11" s="79" t="n"/>
      <c r="I11" s="79" t="n"/>
      <c r="J11" s="79" t="n"/>
      <c r="K11" s="79" t="n"/>
      <c r="L11" s="79" t="n"/>
      <c r="M11" s="79" t="n"/>
      <c r="N11" s="79" t="n"/>
      <c r="O11" s="79" t="n"/>
      <c r="P11" s="79" t="n"/>
      <c r="Q11" s="80" t="n"/>
    </row>
    <row r="12">
      <c r="A12" s="79" t="n"/>
      <c r="B12" s="79" t="n"/>
      <c r="C12" s="79" t="n"/>
      <c r="D12" s="79" t="n"/>
      <c r="E12" s="79" t="n"/>
      <c r="F12" s="79" t="n"/>
      <c r="G12" s="79" t="n"/>
      <c r="H12" s="79" t="n"/>
      <c r="I12" s="79" t="n"/>
      <c r="J12" s="79" t="n"/>
      <c r="K12" s="79" t="n"/>
      <c r="L12" s="79" t="n"/>
      <c r="M12" s="79" t="n"/>
      <c r="N12" s="79" t="n"/>
      <c r="O12" s="79" t="n"/>
      <c r="P12" s="79" t="n"/>
      <c r="Q12" s="80" t="n"/>
    </row>
    <row r="13">
      <c r="A13" s="79" t="n"/>
      <c r="B13" s="79" t="n"/>
      <c r="C13" s="79" t="n"/>
      <c r="D13" s="79" t="n"/>
      <c r="E13" s="79" t="n"/>
      <c r="F13" s="79" t="n"/>
      <c r="G13" s="79" t="n"/>
      <c r="H13" s="79" t="n"/>
      <c r="I13" s="79" t="n"/>
      <c r="J13" s="79" t="n"/>
      <c r="K13" s="79" t="n"/>
      <c r="L13" s="79" t="n"/>
      <c r="M13" s="79" t="n"/>
      <c r="N13" s="79" t="n"/>
      <c r="O13" s="79" t="n"/>
      <c r="P13" s="79" t="n"/>
      <c r="Q13" s="80" t="n"/>
    </row>
    <row r="14">
      <c r="A14" s="79" t="n"/>
      <c r="B14" s="79" t="n"/>
      <c r="C14" s="79" t="n"/>
      <c r="D14" s="79" t="n"/>
      <c r="E14" s="79" t="n"/>
      <c r="F14" s="79" t="n"/>
      <c r="G14" s="79" t="n"/>
      <c r="H14" s="79" t="n"/>
      <c r="I14" s="79" t="n"/>
      <c r="J14" s="79" t="n"/>
      <c r="K14" s="79" t="n"/>
      <c r="L14" s="79" t="n"/>
      <c r="M14" s="79" t="n"/>
      <c r="N14" s="79" t="n"/>
      <c r="O14" s="79" t="n"/>
      <c r="P14" s="79" t="n"/>
      <c r="Q14" s="80" t="n"/>
    </row>
    <row r="15">
      <c r="A15" s="79" t="n"/>
      <c r="B15" s="79" t="n"/>
      <c r="C15" s="79" t="n"/>
      <c r="D15" s="79" t="n"/>
      <c r="E15" s="79" t="n"/>
      <c r="F15" s="79" t="n"/>
      <c r="G15" s="79" t="n"/>
      <c r="H15" s="79" t="n"/>
      <c r="I15" s="79" t="n"/>
      <c r="J15" s="79" t="n"/>
      <c r="K15" s="79" t="n"/>
      <c r="L15" s="79" t="n"/>
      <c r="M15" s="79" t="n"/>
      <c r="N15" s="79" t="n"/>
      <c r="O15" s="79" t="n"/>
      <c r="P15" s="79" t="n"/>
      <c r="Q15" s="80" t="n"/>
    </row>
    <row r="16">
      <c r="A16" s="79" t="n"/>
      <c r="B16" s="79" t="n"/>
      <c r="C16" s="79" t="n"/>
      <c r="D16" s="79" t="n"/>
      <c r="E16" s="79" t="n"/>
      <c r="F16" s="79" t="n"/>
      <c r="G16" s="79" t="n"/>
      <c r="H16" s="79" t="n"/>
      <c r="I16" s="79" t="n"/>
      <c r="J16" s="79" t="n"/>
      <c r="K16" s="79" t="n"/>
      <c r="L16" s="79" t="n"/>
      <c r="M16" s="79" t="n"/>
      <c r="N16" s="79" t="n"/>
      <c r="O16" s="79" t="n"/>
      <c r="P16" s="79" t="n"/>
      <c r="Q16" s="80" t="n"/>
    </row>
    <row r="17">
      <c r="A17" s="79" t="n"/>
      <c r="B17" s="79" t="n"/>
      <c r="C17" s="79" t="n"/>
      <c r="D17" s="79" t="n"/>
      <c r="E17" s="79" t="n"/>
      <c r="F17" s="79" t="n"/>
      <c r="G17" s="79" t="n"/>
      <c r="H17" s="79" t="n"/>
      <c r="I17" s="79" t="n"/>
      <c r="J17" s="79" t="n"/>
      <c r="K17" s="79" t="n"/>
      <c r="L17" s="79" t="n"/>
      <c r="M17" s="79" t="n"/>
      <c r="N17" s="79" t="n"/>
      <c r="O17" s="79" t="n"/>
      <c r="P17" s="79" t="n"/>
      <c r="Q17" s="80" t="n"/>
    </row>
    <row r="18">
      <c r="A18" s="79" t="n"/>
      <c r="B18" s="79" t="n"/>
      <c r="C18" s="79" t="n"/>
      <c r="D18" s="79" t="n"/>
      <c r="E18" s="79" t="n"/>
      <c r="F18" s="79" t="n"/>
      <c r="G18" s="79" t="n"/>
      <c r="H18" s="79" t="n"/>
      <c r="I18" s="79" t="n"/>
      <c r="J18" s="79" t="n"/>
      <c r="K18" s="79" t="n"/>
      <c r="L18" s="79" t="n"/>
      <c r="M18" s="79" t="n"/>
      <c r="N18" s="79" t="n"/>
      <c r="O18" s="79" t="n"/>
      <c r="P18" s="79" t="n"/>
      <c r="Q18" s="80" t="n"/>
    </row>
    <row r="19">
      <c r="A19" s="79" t="n"/>
      <c r="B19" s="79" t="n"/>
      <c r="C19" s="79" t="n"/>
      <c r="D19" s="79" t="n"/>
      <c r="E19" s="79" t="n"/>
      <c r="F19" s="79" t="n"/>
      <c r="G19" s="79" t="n"/>
      <c r="H19" s="79" t="n"/>
      <c r="I19" s="79" t="n"/>
      <c r="J19" s="79" t="n"/>
      <c r="K19" s="79" t="n"/>
      <c r="L19" s="79" t="n"/>
      <c r="M19" s="79" t="n"/>
      <c r="N19" s="79" t="n"/>
      <c r="O19" s="79" t="n"/>
      <c r="P19" s="79" t="n"/>
      <c r="Q19" s="80" t="n"/>
    </row>
    <row r="20">
      <c r="A20" s="79" t="n"/>
      <c r="B20" s="79" t="n"/>
      <c r="C20" s="79" t="n"/>
      <c r="D20" s="79" t="n"/>
      <c r="E20" s="79" t="n"/>
      <c r="F20" s="79" t="n"/>
      <c r="G20" s="79" t="n"/>
      <c r="H20" s="79" t="n"/>
      <c r="I20" s="79" t="n"/>
      <c r="J20" s="79" t="n"/>
      <c r="K20" s="79" t="n"/>
      <c r="L20" s="79" t="n"/>
      <c r="M20" s="79" t="n"/>
      <c r="N20" s="79" t="n"/>
      <c r="O20" s="79" t="n"/>
      <c r="P20" s="79" t="n"/>
      <c r="Q20" s="80" t="n"/>
    </row>
    <row r="21">
      <c r="A21" s="79" t="n"/>
      <c r="B21" s="79" t="n"/>
      <c r="C21" s="79" t="n"/>
      <c r="D21" s="79" t="n"/>
      <c r="E21" s="79" t="n"/>
      <c r="F21" s="79" t="n"/>
      <c r="G21" s="79" t="n"/>
      <c r="H21" s="79" t="n"/>
      <c r="I21" s="79" t="n"/>
      <c r="J21" s="79" t="n"/>
      <c r="K21" s="79" t="n"/>
      <c r="L21" s="79" t="n"/>
      <c r="M21" s="79" t="n"/>
      <c r="N21" s="79" t="n"/>
      <c r="O21" s="79" t="n"/>
      <c r="P21" s="79" t="n"/>
      <c r="Q21" s="80" t="n"/>
    </row>
    <row r="22">
      <c r="A22" s="79" t="n"/>
      <c r="B22" s="79" t="n"/>
      <c r="C22" s="79" t="n"/>
      <c r="D22" s="79" t="n"/>
      <c r="E22" s="79" t="n"/>
      <c r="F22" s="79" t="n"/>
      <c r="G22" s="79" t="n"/>
      <c r="H22" s="79" t="n"/>
      <c r="I22" s="79" t="n"/>
      <c r="J22" s="79" t="n"/>
      <c r="K22" s="79" t="n"/>
      <c r="L22" s="79" t="n"/>
      <c r="M22" s="79" t="n"/>
      <c r="N22" s="79" t="n"/>
      <c r="O22" s="79" t="n"/>
      <c r="P22" s="79" t="n"/>
      <c r="Q22" s="80" t="n"/>
    </row>
    <row r="23">
      <c r="A23" s="79" t="n"/>
      <c r="B23" s="79" t="n"/>
      <c r="C23" s="79" t="n"/>
      <c r="D23" s="79" t="n"/>
      <c r="E23" s="79" t="n"/>
      <c r="F23" s="79" t="n"/>
      <c r="G23" s="79" t="n"/>
      <c r="H23" s="79" t="n"/>
      <c r="I23" s="79" t="n"/>
      <c r="J23" s="79" t="n"/>
      <c r="K23" s="79" t="n"/>
      <c r="L23" s="79" t="n"/>
      <c r="M23" s="79" t="n"/>
      <c r="N23" s="79" t="n"/>
      <c r="O23" s="79" t="n"/>
      <c r="P23" s="79" t="n"/>
      <c r="Q23" s="80" t="n"/>
    </row>
    <row r="24">
      <c r="A24" s="79" t="n"/>
      <c r="B24" s="79" t="n"/>
      <c r="C24" s="79" t="n"/>
      <c r="D24" s="79" t="n"/>
      <c r="E24" s="79" t="n"/>
      <c r="F24" s="79" t="n"/>
      <c r="G24" s="79" t="n"/>
      <c r="H24" s="79" t="n"/>
      <c r="I24" s="79" t="n"/>
      <c r="J24" s="79" t="n"/>
      <c r="K24" s="79" t="n"/>
      <c r="L24" s="79" t="n"/>
      <c r="M24" s="79" t="n"/>
      <c r="N24" s="79" t="n"/>
      <c r="O24" s="79" t="n"/>
      <c r="P24" s="79" t="n"/>
      <c r="Q24" s="80" t="n"/>
    </row>
    <row r="25">
      <c r="A25" s="79" t="n"/>
      <c r="B25" s="79" t="n"/>
      <c r="C25" s="79" t="n"/>
      <c r="D25" s="79" t="n"/>
      <c r="E25" s="79" t="n"/>
      <c r="F25" s="79" t="n"/>
      <c r="G25" s="79" t="n"/>
      <c r="H25" s="79" t="n"/>
      <c r="I25" s="79" t="n"/>
      <c r="J25" s="79" t="n"/>
      <c r="K25" s="79" t="n"/>
      <c r="L25" s="79" t="n"/>
      <c r="M25" s="79" t="n"/>
      <c r="N25" s="79" t="n"/>
      <c r="O25" s="79" t="n"/>
      <c r="P25" s="79" t="n"/>
      <c r="Q25" s="80" t="n"/>
    </row>
    <row r="26">
      <c r="A26" s="79" t="n"/>
      <c r="B26" s="79" t="n"/>
      <c r="C26" s="79" t="n"/>
      <c r="D26" s="79" t="n"/>
      <c r="E26" s="79" t="n"/>
      <c r="F26" s="79" t="n"/>
      <c r="G26" s="79" t="n"/>
      <c r="H26" s="79" t="n"/>
      <c r="I26" s="79" t="n"/>
      <c r="J26" s="79" t="n"/>
      <c r="K26" s="79" t="n"/>
      <c r="L26" s="79" t="n"/>
      <c r="M26" s="79" t="n"/>
      <c r="N26" s="79" t="n"/>
      <c r="O26" s="79" t="n"/>
      <c r="P26" s="79" t="n"/>
      <c r="Q26" s="80" t="n"/>
    </row>
    <row r="27">
      <c r="A27" s="79" t="n"/>
      <c r="B27" s="79" t="n"/>
      <c r="C27" s="79" t="n"/>
      <c r="D27" s="79" t="n"/>
      <c r="E27" s="79" t="n"/>
      <c r="F27" s="79" t="n"/>
      <c r="G27" s="79" t="n"/>
      <c r="H27" s="79" t="n"/>
      <c r="I27" s="79" t="n"/>
      <c r="J27" s="79" t="n"/>
      <c r="K27" s="79" t="n"/>
      <c r="L27" s="79" t="n"/>
      <c r="M27" s="79" t="n"/>
      <c r="N27" s="79" t="n"/>
      <c r="O27" s="79" t="n"/>
      <c r="P27" s="79" t="n"/>
      <c r="Q27" s="80" t="n"/>
    </row>
    <row r="28">
      <c r="A28" s="79" t="n"/>
      <c r="B28" s="79" t="n"/>
      <c r="C28" s="79" t="n"/>
      <c r="D28" s="79" t="n"/>
      <c r="E28" s="79" t="n"/>
      <c r="F28" s="79" t="n"/>
      <c r="G28" s="79" t="n"/>
      <c r="H28" s="79" t="n"/>
      <c r="I28" s="79" t="n"/>
      <c r="J28" s="79" t="n"/>
      <c r="K28" s="79" t="n"/>
      <c r="L28" s="79" t="n"/>
      <c r="M28" s="79" t="n"/>
      <c r="N28" s="79" t="n"/>
      <c r="O28" s="79" t="n"/>
      <c r="P28" s="79" t="n"/>
      <c r="Q28" s="80" t="n"/>
    </row>
    <row r="29">
      <c r="A29" s="79" t="n"/>
      <c r="B29" s="79" t="n"/>
      <c r="C29" s="79" t="n"/>
      <c r="D29" s="79" t="n"/>
      <c r="E29" s="79" t="n"/>
      <c r="F29" s="79" t="n"/>
      <c r="G29" s="79" t="n"/>
      <c r="H29" s="79" t="n"/>
      <c r="I29" s="79" t="n"/>
      <c r="J29" s="79" t="n"/>
      <c r="K29" s="79" t="n"/>
      <c r="L29" s="79" t="n"/>
      <c r="M29" s="79" t="n"/>
      <c r="N29" s="79" t="n"/>
      <c r="O29" s="79" t="n"/>
      <c r="P29" s="79" t="n"/>
      <c r="Q29" s="80" t="n"/>
    </row>
    <row r="30">
      <c r="A30" s="79" t="n"/>
      <c r="B30" s="79" t="n"/>
      <c r="C30" s="79" t="n"/>
      <c r="D30" s="79" t="n"/>
      <c r="E30" s="79" t="n"/>
      <c r="F30" s="79" t="n"/>
      <c r="G30" s="79" t="n"/>
      <c r="H30" s="79" t="n"/>
      <c r="I30" s="79" t="n"/>
      <c r="J30" s="79" t="n"/>
      <c r="K30" s="79" t="n"/>
      <c r="L30" s="79" t="n"/>
      <c r="M30" s="79" t="n"/>
      <c r="N30" s="79" t="n"/>
      <c r="O30" s="79" t="n"/>
      <c r="P30" s="79" t="n"/>
      <c r="Q30" s="80" t="n"/>
    </row>
    <row r="31">
      <c r="A31" s="79" t="n"/>
      <c r="B31" s="79" t="n"/>
      <c r="C31" s="79" t="n"/>
      <c r="D31" s="79" t="n"/>
      <c r="E31" s="79" t="n"/>
      <c r="F31" s="79" t="n"/>
      <c r="G31" s="79" t="n"/>
      <c r="H31" s="79" t="n"/>
      <c r="I31" s="79" t="n"/>
      <c r="J31" s="79" t="n"/>
      <c r="K31" s="79" t="n"/>
      <c r="L31" s="79" t="n"/>
      <c r="M31" s="79" t="n"/>
      <c r="N31" s="79" t="n"/>
      <c r="O31" s="79" t="n"/>
      <c r="P31" s="79" t="n"/>
      <c r="Q31" s="80" t="n"/>
    </row>
    <row r="32">
      <c r="A32" s="79" t="n"/>
      <c r="B32" s="79" t="n"/>
      <c r="C32" s="79" t="n"/>
      <c r="D32" s="79" t="n"/>
      <c r="E32" s="79" t="n"/>
      <c r="F32" s="79" t="n"/>
      <c r="G32" s="79" t="n"/>
      <c r="H32" s="79" t="n"/>
      <c r="I32" s="79" t="n"/>
      <c r="J32" s="79" t="n"/>
      <c r="K32" s="79" t="n"/>
      <c r="L32" s="79" t="n"/>
      <c r="M32" s="79" t="n"/>
      <c r="N32" s="79" t="n"/>
      <c r="O32" s="79" t="n"/>
      <c r="P32" s="79" t="n"/>
      <c r="Q32" s="80" t="n"/>
    </row>
    <row r="33">
      <c r="A33" s="79" t="n"/>
      <c r="B33" s="79" t="n"/>
      <c r="C33" s="79" t="n"/>
      <c r="D33" s="79" t="n"/>
      <c r="E33" s="79" t="n"/>
      <c r="F33" s="79" t="n"/>
      <c r="G33" s="79" t="n"/>
      <c r="H33" s="79" t="n"/>
      <c r="I33" s="79" t="n"/>
      <c r="J33" s="79" t="n"/>
      <c r="K33" s="79" t="n"/>
      <c r="L33" s="79" t="n"/>
      <c r="M33" s="79" t="n"/>
      <c r="N33" s="79" t="n"/>
      <c r="O33" s="79" t="n"/>
      <c r="P33" s="79" t="n"/>
      <c r="Q33" s="80" t="n"/>
    </row>
    <row r="34">
      <c r="A34" s="79" t="n"/>
      <c r="B34" s="79" t="n"/>
      <c r="C34" s="79" t="n"/>
      <c r="D34" s="79" t="n"/>
      <c r="E34" s="79" t="n"/>
      <c r="F34" s="79" t="n"/>
      <c r="G34" s="79" t="n"/>
      <c r="H34" s="79" t="n"/>
      <c r="I34" s="79" t="n"/>
      <c r="J34" s="79" t="n"/>
      <c r="K34" s="79" t="n"/>
      <c r="L34" s="79" t="n"/>
      <c r="M34" s="79" t="n"/>
      <c r="N34" s="79" t="n"/>
      <c r="O34" s="79" t="n"/>
      <c r="P34" s="79" t="n"/>
      <c r="Q34" s="80" t="n"/>
    </row>
    <row r="35">
      <c r="A35" s="79" t="n"/>
      <c r="B35" s="79" t="n"/>
      <c r="C35" s="79" t="n"/>
      <c r="D35" s="79" t="n"/>
      <c r="E35" s="79" t="n"/>
      <c r="F35" s="79" t="n"/>
      <c r="G35" s="79" t="n"/>
      <c r="H35" s="79" t="n"/>
      <c r="I35" s="79" t="n"/>
      <c r="J35" s="79" t="n"/>
      <c r="K35" s="79" t="n"/>
      <c r="L35" s="79" t="n"/>
      <c r="M35" s="79" t="n"/>
      <c r="N35" s="79" t="n"/>
      <c r="O35" s="79" t="n"/>
      <c r="P35" s="79" t="n"/>
      <c r="Q35" s="80" t="n"/>
    </row>
    <row r="36">
      <c r="A36" s="79" t="n"/>
      <c r="B36" s="79" t="n"/>
      <c r="C36" s="79" t="n"/>
      <c r="D36" s="79" t="n"/>
      <c r="E36" s="79" t="n"/>
      <c r="F36" s="79" t="n"/>
      <c r="G36" s="79" t="n"/>
      <c r="H36" s="79" t="n"/>
      <c r="I36" s="79" t="n"/>
      <c r="J36" s="79" t="n"/>
      <c r="K36" s="79" t="n"/>
      <c r="L36" s="79" t="n"/>
      <c r="M36" s="79" t="n"/>
      <c r="N36" s="79" t="n"/>
      <c r="O36" s="79" t="n"/>
      <c r="P36" s="79" t="n"/>
      <c r="Q36" s="80" t="n"/>
    </row>
    <row r="37">
      <c r="A37" s="79" t="n"/>
      <c r="B37" s="79" t="n"/>
      <c r="C37" s="79" t="n"/>
      <c r="D37" s="79" t="n"/>
      <c r="E37" s="79" t="n"/>
      <c r="F37" s="79" t="n"/>
      <c r="G37" s="79" t="n"/>
      <c r="H37" s="79" t="n"/>
      <c r="I37" s="79" t="n"/>
      <c r="J37" s="79" t="n"/>
      <c r="K37" s="79" t="n"/>
      <c r="L37" s="79" t="n"/>
      <c r="M37" s="79" t="n"/>
      <c r="N37" s="79" t="n"/>
      <c r="O37" s="79" t="n"/>
      <c r="P37" s="79" t="n"/>
      <c r="Q37" s="80" t="n"/>
    </row>
    <row r="38">
      <c r="A38" s="79" t="n"/>
      <c r="B38" s="79" t="n"/>
      <c r="C38" s="79" t="n"/>
      <c r="D38" s="79" t="n"/>
      <c r="E38" s="79" t="n"/>
      <c r="F38" s="79" t="n"/>
      <c r="G38" s="79" t="n"/>
      <c r="H38" s="79" t="n"/>
      <c r="I38" s="79" t="n"/>
      <c r="J38" s="79" t="n"/>
      <c r="K38" s="79" t="n"/>
      <c r="L38" s="79" t="n"/>
      <c r="M38" s="79" t="n"/>
      <c r="N38" s="79" t="n"/>
      <c r="O38" s="79" t="n"/>
      <c r="P38" s="79" t="n"/>
      <c r="Q38" s="80" t="n"/>
    </row>
    <row r="39">
      <c r="A39" s="79" t="n"/>
      <c r="B39" s="79" t="n"/>
      <c r="C39" s="79" t="n"/>
      <c r="D39" s="79" t="n"/>
      <c r="E39" s="79" t="n"/>
      <c r="F39" s="79" t="n"/>
      <c r="G39" s="79" t="n"/>
      <c r="H39" s="79" t="n"/>
      <c r="I39" s="79" t="n"/>
      <c r="J39" s="79" t="n"/>
      <c r="K39" s="79" t="n"/>
      <c r="L39" s="79" t="n"/>
      <c r="M39" s="79" t="n"/>
      <c r="N39" s="79" t="n"/>
      <c r="O39" s="79" t="n"/>
      <c r="P39" s="79" t="n"/>
      <c r="Q39" s="80" t="n"/>
    </row>
    <row r="40">
      <c r="A40" s="79" t="n"/>
      <c r="B40" s="79" t="n"/>
      <c r="C40" s="79" t="n"/>
      <c r="D40" s="79" t="n"/>
      <c r="E40" s="79" t="n"/>
      <c r="F40" s="79" t="n"/>
      <c r="G40" s="79" t="n"/>
      <c r="H40" s="79" t="n"/>
      <c r="I40" s="79" t="n"/>
      <c r="J40" s="79" t="n"/>
      <c r="K40" s="79" t="n"/>
      <c r="L40" s="79" t="n"/>
      <c r="M40" s="79" t="n"/>
      <c r="N40" s="79" t="n"/>
      <c r="O40" s="79" t="n"/>
      <c r="P40" s="79" t="n"/>
      <c r="Q40" s="80" t="n"/>
    </row>
    <row r="41">
      <c r="A41" s="79" t="n"/>
      <c r="B41" s="79" t="n"/>
      <c r="C41" s="79" t="n"/>
      <c r="D41" s="79" t="n"/>
      <c r="E41" s="79" t="n"/>
      <c r="F41" s="79" t="n"/>
      <c r="G41" s="79" t="n"/>
      <c r="H41" s="79" t="n"/>
      <c r="I41" s="79" t="n"/>
      <c r="J41" s="79" t="n"/>
      <c r="K41" s="79" t="n"/>
      <c r="L41" s="79" t="n"/>
      <c r="M41" s="79" t="n"/>
      <c r="N41" s="79" t="n"/>
      <c r="O41" s="79" t="n"/>
      <c r="P41" s="79" t="n"/>
      <c r="Q41" s="80" t="n"/>
    </row>
    <row r="42">
      <c r="A42" s="79" t="n"/>
      <c r="B42" s="79" t="n"/>
      <c r="C42" s="79" t="n"/>
      <c r="D42" s="79" t="n"/>
      <c r="E42" s="79" t="n"/>
      <c r="F42" s="79" t="n"/>
      <c r="G42" s="79" t="n"/>
      <c r="H42" s="79" t="n"/>
      <c r="I42" s="79" t="n"/>
      <c r="J42" s="79" t="n"/>
      <c r="K42" s="79" t="n"/>
      <c r="L42" s="79" t="n"/>
      <c r="M42" s="79" t="n"/>
      <c r="N42" s="79" t="n"/>
      <c r="O42" s="79" t="n"/>
      <c r="P42" s="79" t="n"/>
      <c r="Q42" s="80" t="n"/>
    </row>
    <row r="43">
      <c r="A43" s="79" t="n"/>
      <c r="B43" s="79" t="n"/>
      <c r="C43" s="79" t="n"/>
      <c r="D43" s="79" t="n"/>
      <c r="E43" s="79" t="n"/>
      <c r="F43" s="79" t="n"/>
      <c r="G43" s="79" t="n"/>
      <c r="H43" s="79" t="n"/>
      <c r="I43" s="79" t="n"/>
      <c r="J43" s="79" t="n"/>
      <c r="K43" s="79" t="n"/>
      <c r="L43" s="79" t="n"/>
      <c r="M43" s="79" t="n"/>
      <c r="N43" s="79" t="n"/>
      <c r="O43" s="79" t="n"/>
      <c r="P43" s="79" t="n"/>
      <c r="Q43" s="80" t="n"/>
    </row>
    <row r="44">
      <c r="A44" s="79" t="n"/>
      <c r="B44" s="79" t="n"/>
      <c r="C44" s="79" t="n"/>
      <c r="D44" s="79" t="n"/>
      <c r="E44" s="79" t="n"/>
      <c r="F44" s="79" t="n"/>
      <c r="G44" s="79" t="n"/>
      <c r="H44" s="79" t="n"/>
      <c r="I44" s="79" t="n"/>
      <c r="J44" s="79" t="n"/>
      <c r="K44" s="79" t="n"/>
      <c r="L44" s="79" t="n"/>
      <c r="M44" s="79" t="n"/>
      <c r="N44" s="79" t="n"/>
      <c r="O44" s="79" t="n"/>
      <c r="P44" s="79" t="n"/>
      <c r="Q44" s="80" t="n"/>
    </row>
    <row r="45">
      <c r="A45" s="79" t="n"/>
      <c r="B45" s="79" t="n"/>
      <c r="C45" s="79" t="n"/>
      <c r="D45" s="79" t="n"/>
      <c r="E45" s="79" t="n"/>
      <c r="F45" s="79" t="n"/>
      <c r="G45" s="79" t="n"/>
      <c r="H45" s="79" t="n"/>
      <c r="I45" s="79" t="n"/>
      <c r="J45" s="79" t="n"/>
      <c r="K45" s="79" t="n"/>
      <c r="L45" s="79" t="n"/>
      <c r="M45" s="79" t="n"/>
      <c r="N45" s="79" t="n"/>
      <c r="O45" s="79" t="n"/>
      <c r="P45" s="79" t="n"/>
      <c r="Q45" s="80" t="n"/>
    </row>
    <row r="46">
      <c r="A46" s="79" t="n"/>
      <c r="B46" s="79" t="n"/>
      <c r="C46" s="79" t="n"/>
      <c r="D46" s="79" t="n"/>
      <c r="E46" s="79" t="n"/>
      <c r="F46" s="79" t="n"/>
      <c r="G46" s="79" t="n"/>
      <c r="H46" s="79" t="n"/>
      <c r="I46" s="79" t="n"/>
      <c r="J46" s="79" t="n"/>
      <c r="K46" s="79" t="n"/>
      <c r="L46" s="79" t="n"/>
      <c r="M46" s="79" t="n"/>
      <c r="N46" s="79" t="n"/>
      <c r="O46" s="79" t="n"/>
      <c r="P46" s="79" t="n"/>
      <c r="Q46" s="80" t="n"/>
    </row>
  </sheetData>
  <autoFilter ref="A4:Q47"/>
  <mergeCells count="3">
    <mergeCell ref="A3:Q3"/>
    <mergeCell ref="A2:Q2"/>
    <mergeCell ref="A1:Q1"/>
  </mergeCells>
  <dataValidations count="2">
    <dataValidation sqref="C5:C6" showDropDown="0" showInputMessage="0" showErrorMessage="0" allowBlank="1" type="list">
      <formula1>='فهرست‌ها'!$B$9:$B$11</formula1>
    </dataValidation>
    <dataValidation sqref="L5:L6"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385723"/>
    <outlinePr summaryBelow="1" summaryRight="1"/>
    <pageSetUpPr fitToPage="1"/>
  </sheetPr>
  <dimension ref="A1:Q27"/>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7" t="inlineStr">
        <is>
          <t>تست‌های برنامه‌نویسی و هاست (جدا از ولیدیشن عملی برد)</t>
        </is>
      </c>
      <c r="B1" s="52" t="n"/>
      <c r="C1" s="52" t="n"/>
      <c r="D1" s="52" t="n"/>
      <c r="E1" s="52" t="n"/>
      <c r="F1" s="52" t="n"/>
      <c r="G1" s="52" t="n"/>
      <c r="H1" s="52" t="n"/>
      <c r="I1" s="52" t="n"/>
      <c r="J1" s="52" t="n"/>
      <c r="K1" s="52" t="n"/>
      <c r="L1" s="52" t="n"/>
      <c r="M1" s="52" t="n"/>
      <c r="N1" s="52" t="n"/>
      <c r="O1" s="52" t="n"/>
      <c r="P1" s="52" t="n"/>
      <c r="Q1" s="52" t="n"/>
    </row>
    <row r="2" ht="42" customHeight="1">
      <c r="A2" s="52" t="n"/>
      <c r="B2" s="61" t="inlineStr">
        <is>
          <t>این شیت جدا از ولیدیشن عملی برد است: چک‌های کدنویسی، تست‌های هاست، بازبینی کد و تزریق با دیباگر. این‌ها با گیت‌های check_ai_rules و check_firmware_syntax و تست‌های هاست پوشش داده می‌شوند؛ برای بررسی عملکرد روی برد واقعی لازم نیستند.</t>
        </is>
      </c>
      <c r="C2" s="52" t="n"/>
      <c r="D2" s="52" t="n"/>
      <c r="E2" s="52" t="n"/>
      <c r="F2" s="52" t="n"/>
      <c r="G2" s="52" t="n"/>
      <c r="H2" s="52" t="n"/>
      <c r="I2" s="52" t="n"/>
      <c r="J2" s="52" t="n"/>
      <c r="K2" s="52" t="n"/>
      <c r="L2" s="52" t="n"/>
      <c r="M2" s="52" t="n"/>
      <c r="N2" s="52" t="n"/>
      <c r="O2" s="52" t="n"/>
      <c r="P2" s="52" t="n"/>
      <c r="Q2" s="52" t="n"/>
    </row>
    <row r="3">
      <c r="A3" s="52" t="n"/>
      <c r="B3" s="52" t="n"/>
      <c r="C3" s="52" t="n"/>
      <c r="D3" s="52" t="n"/>
      <c r="E3" s="52" t="n"/>
      <c r="F3" s="52" t="n"/>
      <c r="G3" s="52" t="n"/>
      <c r="H3" s="52" t="n"/>
      <c r="I3" s="52" t="n"/>
      <c r="J3" s="52" t="n"/>
      <c r="K3" s="52" t="n"/>
      <c r="L3" s="52" t="n"/>
      <c r="M3" s="52" t="n"/>
      <c r="N3" s="52" t="n"/>
      <c r="O3" s="52" t="n"/>
      <c r="P3" s="52" t="n"/>
      <c r="Q3" s="52" t="n"/>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 شرایط</t>
        </is>
      </c>
      <c r="G4" s="82" t="inlineStr">
        <is>
          <t>مدت مشاهده</t>
        </is>
      </c>
      <c r="H4" s="82" t="inlineStr">
        <is>
          <t>رفتار مورد انتظار</t>
        </is>
      </c>
      <c r="I4" s="82" t="inlineStr">
        <is>
          <t>می‌ماند یا پاک می‌شود</t>
        </is>
      </c>
      <c r="J4" s="82" t="inlineStr">
        <is>
          <t>معیار قبولی</t>
        </is>
      </c>
      <c r="K4" s="82" t="inlineStr">
        <is>
          <t>نتیجهٔ واقعی / اندازه‌گیری</t>
        </is>
      </c>
      <c r="L4" s="82" t="inlineStr">
        <is>
          <t>وضعیت</t>
        </is>
      </c>
      <c r="M4" s="82" t="inlineStr">
        <is>
          <t>شرح ایراد / تفاوت</t>
        </is>
      </c>
      <c r="N4" s="82" t="inlineStr">
        <is>
          <t>مدرک تست</t>
        </is>
      </c>
      <c r="O4" s="82" t="inlineStr">
        <is>
          <t>نسخهٔ برنامه</t>
        </is>
      </c>
      <c r="P4" s="82" t="inlineStr">
        <is>
          <t>نام تست‌کننده</t>
        </is>
      </c>
      <c r="Q4" s="82" t="inlineStr">
        <is>
          <t>تاریخ</t>
        </is>
      </c>
    </row>
    <row r="5" ht="54" customHeight="1">
      <c r="A5" s="53" t="inlineStr">
        <is>
          <t>PR-004</t>
        </is>
      </c>
      <c r="B5" s="62" t="inlineStr">
        <is>
          <t>عدم تداخل مالکیت</t>
        </is>
      </c>
      <c r="C5" s="63" t="inlineStr">
        <is>
          <t>متوسط</t>
        </is>
      </c>
      <c r="D5" s="62" t="inlineStr">
        <is>
          <t>—</t>
        </is>
      </c>
      <c r="E5" s="64" t="inlineStr">
        <is>
          <t>گام ۱: جدول بیت‌های FAULT_* در app_types.h را جلوی خودت بگذار.
گام ۲: کد protection.c را خط‌به‌خط با مالکیت بیت‌ها مقایسه کن.
گام ۳: این ماژول باید فقط FAULT_ADC را ست/پاک کند؛ FAULT_CHARGER_BAT_LOST مال ماژول Fault است و بقیهٔ بیت‌ها هم صاحب خودشان را دارند.
گام ۴: هیچ تداخلی بین بیت‌ها نباید باشد.</t>
        </is>
      </c>
      <c r="F5" s="63" t="inlineStr">
        <is>
          <t>—</t>
        </is>
      </c>
      <c r="G5" s="63" t="inlineStr">
        <is>
          <t>—</t>
        </is>
      </c>
      <c r="H5" s="62" t="inlineStr">
        <is>
          <t>این ماژول فقط FAULT_ADC را لمس می‌کند؛ FAULT_CHARGER_BAT_LOST مالک Fault است</t>
        </is>
      </c>
      <c r="I5" s="62" t="inlineStr">
        <is>
          <t>—</t>
        </is>
      </c>
      <c r="J5" s="62" t="inlineStr">
        <is>
          <t>بدون تداخل بیت‌ها</t>
        </is>
      </c>
      <c r="K5" s="62" t="n"/>
      <c r="L5" s="57" t="inlineStr">
        <is>
          <t>در انتظار</t>
        </is>
      </c>
      <c r="M5" s="62" t="n"/>
      <c r="N5" s="62" t="n"/>
      <c r="O5" s="63" t="inlineStr">
        <is>
          <t>(بعد از تست پر شود)</t>
        </is>
      </c>
      <c r="P5" s="63" t="n"/>
      <c r="Q5" s="65" t="inlineStr">
        <is>
          <t>2026-09-23</t>
        </is>
      </c>
    </row>
    <row r="6" ht="54" customHeight="1">
      <c r="A6" s="53" t="inlineStr">
        <is>
          <t>PR-005</t>
        </is>
      </c>
      <c r="B6" s="83" t="inlineStr">
        <is>
          <t>فعال‌سازی آینده</t>
        </is>
      </c>
      <c r="C6" s="85" t="inlineStr">
        <is>
          <t>پایین</t>
        </is>
      </c>
      <c r="D6" s="83" t="inlineStr">
        <is>
          <t>—</t>
        </is>
      </c>
      <c r="E6" s="88" t="inlineStr">
        <is>
          <t>گام ۱: کد ماژول را کامل مرور کن (protection.c و هدرش).
گام ۲: شرایط فعال‌سازی حفاظت کامل (اضافه‌جریان، باتری ضعیف و...) و سیاست هر کدام را روی کاغذ بنویس.
گام ۳: قبل از اینکه MODULE_PROTECTION=1 شود، سند تصمیم را به تأیید کاربر برسان.
گام ۴: قبولی یعنی همین سند تصمیم موجود و تأیید شده باشد؛ این ردیف تست برد نیست.</t>
        </is>
      </c>
      <c r="F6" s="85" t="inlineStr">
        <is>
          <t>—</t>
        </is>
      </c>
      <c r="G6" s="85" t="inlineStr">
        <is>
          <t>—</t>
        </is>
      </c>
      <c r="H6" s="83" t="inlineStr">
        <is>
          <t>شرایط فعال‌سازی و سیاست‌ها قبل از MODULE_PROTECTION=1 مستند و به تأیید کاربر برسد</t>
        </is>
      </c>
      <c r="I6" s="83" t="inlineStr">
        <is>
          <t>—</t>
        </is>
      </c>
      <c r="J6" s="83" t="inlineStr">
        <is>
          <t>سند تصمیم موجود</t>
        </is>
      </c>
      <c r="K6" s="54" t="n"/>
      <c r="L6" s="57" t="inlineStr">
        <is>
          <t>در انتظار</t>
        </is>
      </c>
      <c r="M6" s="54" t="n"/>
      <c r="N6" s="54" t="n"/>
      <c r="O6" s="85" t="inlineStr">
        <is>
          <t>(بعد از تست پر شود)</t>
        </is>
      </c>
      <c r="P6" s="56" t="n"/>
      <c r="Q6" s="86" t="inlineStr">
        <is>
          <t>2026-09-23</t>
        </is>
      </c>
    </row>
    <row r="7" ht="54" customHeight="1">
      <c r="A7" s="53" t="inlineStr">
        <is>
          <t>PR-010</t>
        </is>
      </c>
      <c r="B7" s="62" t="inlineStr">
        <is>
          <t>snapshot zeroing</t>
        </is>
      </c>
      <c r="C7" s="67" t="inlineStr">
        <is>
          <t>بالا</t>
        </is>
      </c>
      <c r="D7" s="62" t="inlineStr">
        <is>
          <t>valid=false</t>
        </is>
      </c>
      <c r="E7" s="62" t="inlineStr">
        <is>
          <t>گام ۱: یک snapshot نامعتبر بساز: valid=false و هر 9 فیلد صفر.
گام ۲: آن را 2 ثانیه به Protection_Run بده.
گام ۳: تابع باید فقط valid را چک کند و به فیلدهای صفر دست نزند.
گام ۴: FAULT_ADC باید به‌صورت زنده (بدون latch) بماند و هیچ fault کاذبی ساخته نشود.</t>
        </is>
      </c>
      <c r="F7" s="63" t="inlineStr">
        <is>
          <t>valid=false</t>
        </is>
      </c>
      <c r="G7" s="63" t="inlineStr">
        <is>
          <t>2s</t>
        </is>
      </c>
      <c r="H7" s="62" t="inlineStr">
        <is>
          <t>فقط valid چک شود؛ هر 9 فیلد صفر؛ FAULT_ADC زنده بماند بدون latch کاذب</t>
        </is>
      </c>
      <c r="I7" s="62" t="inlineStr">
        <is>
          <t>—</t>
        </is>
      </c>
      <c r="J7" s="62" t="inlineStr">
        <is>
          <t>بدون fault کاذب</t>
        </is>
      </c>
      <c r="K7" s="62" t="n"/>
      <c r="L7" s="68" t="inlineStr">
        <is>
          <t>نیاز به تکرار</t>
        </is>
      </c>
      <c r="M7" s="62" t="n"/>
      <c r="N7" s="62" t="n"/>
      <c r="O7" s="63" t="inlineStr">
        <is>
          <t>62f3782</t>
        </is>
      </c>
      <c r="P7" s="63" t="n"/>
      <c r="Q7" s="65" t="inlineStr">
        <is>
          <t>2026-10-12</t>
        </is>
      </c>
    </row>
    <row r="8">
      <c r="A8" s="52" t="n"/>
      <c r="B8" s="52" t="n"/>
      <c r="C8" s="52" t="n"/>
      <c r="D8" s="52" t="n"/>
      <c r="E8" s="52" t="n"/>
      <c r="F8" s="52" t="n"/>
      <c r="G8" s="52" t="n"/>
      <c r="H8" s="52" t="n"/>
      <c r="I8" s="52" t="n"/>
      <c r="J8" s="52" t="n"/>
      <c r="K8" s="52" t="n"/>
      <c r="L8" s="52" t="n"/>
      <c r="M8" s="52" t="n"/>
      <c r="N8" s="52" t="n"/>
      <c r="O8" s="52" t="n"/>
      <c r="P8" s="52" t="n"/>
      <c r="Q8" s="59">
        <f>IF(OR(L8="",L8="در انتظار"),"",IF(Q8="",TODAY(),Q8))</f>
        <v/>
      </c>
    </row>
    <row r="9">
      <c r="A9" s="52" t="n"/>
      <c r="B9" s="52" t="n"/>
      <c r="C9" s="52" t="n"/>
      <c r="D9" s="52" t="n"/>
      <c r="E9" s="52" t="n"/>
      <c r="F9" s="52" t="n"/>
      <c r="G9" s="52" t="n"/>
      <c r="H9" s="52" t="n"/>
      <c r="I9" s="52" t="n"/>
      <c r="J9" s="52" t="n"/>
      <c r="K9" s="52" t="n"/>
      <c r="L9" s="52" t="n"/>
      <c r="M9" s="52" t="n"/>
      <c r="N9" s="52" t="n"/>
      <c r="O9" s="52" t="n"/>
      <c r="P9" s="52" t="n"/>
      <c r="Q9" s="59">
        <f>IF(OR(L9="",L9="در انتظار"),"",IF(Q9="",TODAY(),Q9))</f>
        <v/>
      </c>
    </row>
    <row r="10">
      <c r="A10" s="52" t="n"/>
      <c r="B10" s="52" t="n"/>
      <c r="C10" s="52" t="n"/>
      <c r="D10" s="52" t="n"/>
      <c r="E10" s="52" t="n"/>
      <c r="F10" s="52" t="n"/>
      <c r="G10" s="52" t="n"/>
      <c r="H10" s="52" t="n"/>
      <c r="I10" s="52" t="n"/>
      <c r="J10" s="52" t="n"/>
      <c r="K10" s="52" t="n"/>
      <c r="L10" s="52" t="n"/>
      <c r="M10" s="52" t="n"/>
      <c r="N10" s="52" t="n"/>
      <c r="O10" s="52" t="n"/>
      <c r="P10" s="52" t="n"/>
      <c r="Q10" s="59">
        <f>IF(OR(L10="",L10="در انتظار"),"",IF(Q10="",TODAY(),Q10))</f>
        <v/>
      </c>
    </row>
    <row r="11">
      <c r="A11" s="52" t="n"/>
      <c r="B11" s="52" t="n"/>
      <c r="C11" s="52" t="n"/>
      <c r="D11" s="52" t="n"/>
      <c r="E11" s="52" t="n"/>
      <c r="F11" s="52" t="n"/>
      <c r="G11" s="52" t="n"/>
      <c r="H11" s="52" t="n"/>
      <c r="I11" s="52" t="n"/>
      <c r="J11" s="52" t="n"/>
      <c r="K11" s="52" t="n"/>
      <c r="L11" s="52" t="n"/>
      <c r="M11" s="52" t="n"/>
      <c r="N11" s="52" t="n"/>
      <c r="O11" s="52" t="n"/>
      <c r="P11" s="52" t="n"/>
      <c r="Q11" s="59">
        <f>IF(OR(L11="",L11="در انتظار"),"",IF(Q11="",TODAY(),Q11))</f>
        <v/>
      </c>
    </row>
    <row r="12">
      <c r="A12" s="52" t="n"/>
      <c r="B12" s="52" t="n"/>
      <c r="C12" s="52" t="n"/>
      <c r="D12" s="52" t="n"/>
      <c r="E12" s="52" t="n"/>
      <c r="F12" s="52" t="n"/>
      <c r="G12" s="52" t="n"/>
      <c r="H12" s="52" t="n"/>
      <c r="I12" s="52" t="n"/>
      <c r="J12" s="52" t="n"/>
      <c r="K12" s="52" t="n"/>
      <c r="L12" s="52" t="n"/>
      <c r="M12" s="52" t="n"/>
      <c r="N12" s="52" t="n"/>
      <c r="O12" s="52" t="n"/>
      <c r="P12" s="52" t="n"/>
      <c r="Q12" s="59">
        <f>IF(OR(L12="",L12="در انتظار"),"",IF(Q12="",TODAY(),Q12))</f>
        <v/>
      </c>
    </row>
    <row r="13">
      <c r="A13" s="52" t="n"/>
      <c r="B13" s="52" t="n"/>
      <c r="C13" s="52" t="n"/>
      <c r="D13" s="52" t="n"/>
      <c r="E13" s="52" t="n"/>
      <c r="F13" s="52" t="n"/>
      <c r="G13" s="52" t="n"/>
      <c r="H13" s="52" t="n"/>
      <c r="I13" s="52" t="n"/>
      <c r="J13" s="52" t="n"/>
      <c r="K13" s="52" t="n"/>
      <c r="L13" s="52" t="n"/>
      <c r="M13" s="52" t="n"/>
      <c r="N13" s="52" t="n"/>
      <c r="O13" s="52" t="n"/>
      <c r="P13" s="52" t="n"/>
      <c r="Q13" s="59">
        <f>IF(OR(L13="",L13="در انتظار"),"",IF(Q13="",TODAY(),Q13))</f>
        <v/>
      </c>
    </row>
    <row r="14">
      <c r="A14" s="52" t="n"/>
      <c r="B14" s="52" t="n"/>
      <c r="C14" s="52" t="n"/>
      <c r="D14" s="52" t="n"/>
      <c r="E14" s="52" t="n"/>
      <c r="F14" s="52" t="n"/>
      <c r="G14" s="52" t="n"/>
      <c r="H14" s="52" t="n"/>
      <c r="I14" s="52" t="n"/>
      <c r="J14" s="52" t="n"/>
      <c r="K14" s="52" t="n"/>
      <c r="L14" s="52" t="n"/>
      <c r="M14" s="52" t="n"/>
      <c r="N14" s="52" t="n"/>
      <c r="O14" s="52" t="n"/>
      <c r="P14" s="52" t="n"/>
      <c r="Q14" s="59">
        <f>IF(OR(L14="",L14="در انتظار"),"",IF(Q14="",TODAY(),Q14))</f>
        <v/>
      </c>
    </row>
    <row r="15">
      <c r="A15" s="52" t="n"/>
      <c r="B15" s="52" t="n"/>
      <c r="C15" s="52" t="n"/>
      <c r="D15" s="52" t="n"/>
      <c r="E15" s="52" t="n"/>
      <c r="F15" s="52" t="n"/>
      <c r="G15" s="52" t="n"/>
      <c r="H15" s="52" t="n"/>
      <c r="I15" s="52" t="n"/>
      <c r="J15" s="52" t="n"/>
      <c r="K15" s="52" t="n"/>
      <c r="L15" s="52" t="n"/>
      <c r="M15" s="52" t="n"/>
      <c r="N15" s="52" t="n"/>
      <c r="O15" s="52" t="n"/>
      <c r="P15" s="52" t="n"/>
      <c r="Q15" s="59">
        <f>IF(OR(L15="",L15="در انتظار"),"",IF(Q15="",TODAY(),Q15))</f>
        <v/>
      </c>
    </row>
    <row r="16">
      <c r="A16" s="52" t="n"/>
      <c r="B16" s="52" t="n"/>
      <c r="C16" s="52" t="n"/>
      <c r="D16" s="52" t="n"/>
      <c r="E16" s="52" t="n"/>
      <c r="F16" s="52" t="n"/>
      <c r="G16" s="52" t="n"/>
      <c r="H16" s="52" t="n"/>
      <c r="I16" s="52" t="n"/>
      <c r="J16" s="52" t="n"/>
      <c r="K16" s="52" t="n"/>
      <c r="L16" s="52" t="n"/>
      <c r="M16" s="52" t="n"/>
      <c r="N16" s="52" t="n"/>
      <c r="O16" s="52" t="n"/>
      <c r="P16" s="52" t="n"/>
      <c r="Q16" s="59">
        <f>IF(OR(L16="",L16="در انتظار"),"",IF(Q16="",TODAY(),Q16))</f>
        <v/>
      </c>
    </row>
    <row r="17">
      <c r="A17" s="52" t="n"/>
      <c r="B17" s="52" t="n"/>
      <c r="C17" s="52" t="n"/>
      <c r="D17" s="52" t="n"/>
      <c r="E17" s="52" t="n"/>
      <c r="F17" s="52" t="n"/>
      <c r="G17" s="52" t="n"/>
      <c r="H17" s="52" t="n"/>
      <c r="I17" s="52" t="n"/>
      <c r="J17" s="52" t="n"/>
      <c r="K17" s="52" t="n"/>
      <c r="L17" s="52" t="n"/>
      <c r="M17" s="52" t="n"/>
      <c r="N17" s="52" t="n"/>
      <c r="O17" s="52" t="n"/>
      <c r="P17" s="52" t="n"/>
      <c r="Q17" s="59">
        <f>IF(OR(L17="",L17="در انتظار"),"",IF(Q17="",TODAY(),Q17))</f>
        <v/>
      </c>
    </row>
    <row r="18">
      <c r="A18" s="52" t="n"/>
      <c r="B18" s="52" t="n"/>
      <c r="C18" s="52" t="n"/>
      <c r="D18" s="52" t="n"/>
      <c r="E18" s="52" t="n"/>
      <c r="F18" s="52" t="n"/>
      <c r="G18" s="52" t="n"/>
      <c r="H18" s="52" t="n"/>
      <c r="I18" s="52" t="n"/>
      <c r="J18" s="52" t="n"/>
      <c r="K18" s="52" t="n"/>
      <c r="L18" s="52" t="n"/>
      <c r="M18" s="52" t="n"/>
      <c r="N18" s="52" t="n"/>
      <c r="O18" s="52" t="n"/>
      <c r="P18" s="52" t="n"/>
      <c r="Q18" s="59">
        <f>IF(OR(L18="",L18="در انتظار"),"",IF(Q18="",TODAY(),Q18))</f>
        <v/>
      </c>
    </row>
    <row r="19">
      <c r="A19" s="52" t="n"/>
      <c r="B19" s="52" t="n"/>
      <c r="C19" s="52" t="n"/>
      <c r="D19" s="52" t="n"/>
      <c r="E19" s="52" t="n"/>
      <c r="F19" s="52" t="n"/>
      <c r="G19" s="52" t="n"/>
      <c r="H19" s="52" t="n"/>
      <c r="I19" s="52" t="n"/>
      <c r="J19" s="52" t="n"/>
      <c r="K19" s="52" t="n"/>
      <c r="L19" s="52" t="n"/>
      <c r="M19" s="52" t="n"/>
      <c r="N19" s="52" t="n"/>
      <c r="O19" s="52" t="n"/>
      <c r="P19" s="52" t="n"/>
      <c r="Q19" s="59">
        <f>IF(OR(L19="",L19="در انتظار"),"",IF(Q19="",TODAY(),Q19))</f>
        <v/>
      </c>
    </row>
    <row r="20">
      <c r="A20" s="52" t="n"/>
      <c r="B20" s="52" t="n"/>
      <c r="C20" s="52" t="n"/>
      <c r="D20" s="52" t="n"/>
      <c r="E20" s="52" t="n"/>
      <c r="F20" s="52" t="n"/>
      <c r="G20" s="52" t="n"/>
      <c r="H20" s="52" t="n"/>
      <c r="I20" s="52" t="n"/>
      <c r="J20" s="52" t="n"/>
      <c r="K20" s="52" t="n"/>
      <c r="L20" s="52" t="n"/>
      <c r="M20" s="52" t="n"/>
      <c r="N20" s="52" t="n"/>
      <c r="O20" s="52" t="n"/>
      <c r="P20" s="52" t="n"/>
      <c r="Q20" s="59">
        <f>IF(OR(L20="",L20="در انتظار"),"",IF(Q20="",TODAY(),Q20))</f>
        <v/>
      </c>
    </row>
    <row r="21">
      <c r="A21" s="52" t="n"/>
      <c r="B21" s="52" t="n"/>
      <c r="C21" s="52" t="n"/>
      <c r="D21" s="52" t="n"/>
      <c r="E21" s="52" t="n"/>
      <c r="F21" s="52" t="n"/>
      <c r="G21" s="52" t="n"/>
      <c r="H21" s="52" t="n"/>
      <c r="I21" s="52" t="n"/>
      <c r="J21" s="52" t="n"/>
      <c r="K21" s="52" t="n"/>
      <c r="L21" s="52" t="n"/>
      <c r="M21" s="52" t="n"/>
      <c r="N21" s="52" t="n"/>
      <c r="O21" s="52" t="n"/>
      <c r="P21" s="52" t="n"/>
      <c r="Q21" s="59">
        <f>IF(OR(L21="",L21="در انتظار"),"",IF(Q21="",TODAY(),Q21))</f>
        <v/>
      </c>
    </row>
    <row r="22">
      <c r="A22" s="52" t="n"/>
      <c r="B22" s="52" t="n"/>
      <c r="C22" s="52" t="n"/>
      <c r="D22" s="52" t="n"/>
      <c r="E22" s="52" t="n"/>
      <c r="F22" s="52" t="n"/>
      <c r="G22" s="52" t="n"/>
      <c r="H22" s="52" t="n"/>
      <c r="I22" s="52" t="n"/>
      <c r="J22" s="52" t="n"/>
      <c r="K22" s="52" t="n"/>
      <c r="L22" s="52" t="n"/>
      <c r="M22" s="52" t="n"/>
      <c r="N22" s="52" t="n"/>
      <c r="O22" s="52" t="n"/>
      <c r="P22" s="52" t="n"/>
      <c r="Q22" s="59">
        <f>IF(OR(L22="",L22="در انتظار"),"",IF(Q22="",TODAY(),Q22))</f>
        <v/>
      </c>
    </row>
    <row r="23">
      <c r="A23" s="52" t="n"/>
      <c r="B23" s="52" t="n"/>
      <c r="C23" s="52" t="n"/>
      <c r="D23" s="52" t="n"/>
      <c r="E23" s="52" t="n"/>
      <c r="F23" s="52" t="n"/>
      <c r="G23" s="52" t="n"/>
      <c r="H23" s="52" t="n"/>
      <c r="I23" s="52" t="n"/>
      <c r="J23" s="52" t="n"/>
      <c r="K23" s="52" t="n"/>
      <c r="L23" s="52" t="n"/>
      <c r="M23" s="52" t="n"/>
      <c r="N23" s="52" t="n"/>
      <c r="O23" s="52" t="n"/>
      <c r="P23" s="52" t="n"/>
      <c r="Q23" s="59">
        <f>IF(OR(L23="",L23="در انتظار"),"",IF(Q23="",TODAY(),Q23))</f>
        <v/>
      </c>
    </row>
    <row r="24">
      <c r="A24" s="52" t="n"/>
      <c r="B24" s="52" t="n"/>
      <c r="C24" s="52" t="n"/>
      <c r="D24" s="52" t="n"/>
      <c r="E24" s="52" t="n"/>
      <c r="F24" s="52" t="n"/>
      <c r="G24" s="52" t="n"/>
      <c r="H24" s="52" t="n"/>
      <c r="I24" s="52" t="n"/>
      <c r="J24" s="52" t="n"/>
      <c r="K24" s="52" t="n"/>
      <c r="L24" s="52" t="n"/>
      <c r="M24" s="52" t="n"/>
      <c r="N24" s="52" t="n"/>
      <c r="O24" s="52" t="n"/>
      <c r="P24" s="52" t="n"/>
      <c r="Q24" s="59">
        <f>IF(OR(L24="",L24="در انتظار"),"",IF(Q24="",TODAY(),Q24))</f>
        <v/>
      </c>
    </row>
    <row r="25">
      <c r="A25" s="52" t="n"/>
      <c r="B25" s="52" t="n"/>
      <c r="C25" s="52" t="n"/>
      <c r="D25" s="52" t="n"/>
      <c r="E25" s="52" t="n"/>
      <c r="F25" s="52" t="n"/>
      <c r="G25" s="52" t="n"/>
      <c r="H25" s="52" t="n"/>
      <c r="I25" s="52" t="n"/>
      <c r="J25" s="52" t="n"/>
      <c r="K25" s="52" t="n"/>
      <c r="L25" s="52" t="n"/>
      <c r="M25" s="52" t="n"/>
      <c r="N25" s="52" t="n"/>
      <c r="O25" s="52" t="n"/>
      <c r="P25" s="52" t="n"/>
      <c r="Q25" s="59">
        <f>IF(OR(L25="",L25="در انتظار"),"",IF(Q25="",TODAY(),Q25))</f>
        <v/>
      </c>
    </row>
    <row r="26">
      <c r="A26" s="52" t="n"/>
      <c r="B26" s="52" t="n"/>
      <c r="C26" s="52" t="n"/>
      <c r="D26" s="52" t="n"/>
      <c r="E26" s="52" t="n"/>
      <c r="F26" s="52" t="n"/>
      <c r="G26" s="52" t="n"/>
      <c r="H26" s="52" t="n"/>
      <c r="I26" s="52" t="n"/>
      <c r="J26" s="52" t="n"/>
      <c r="K26" s="52" t="n"/>
      <c r="L26" s="52" t="n"/>
      <c r="M26" s="52" t="n"/>
      <c r="N26" s="52" t="n"/>
      <c r="O26" s="52" t="n"/>
      <c r="P26" s="52" t="n"/>
      <c r="Q26" s="59">
        <f>IF(OR(L26="",L26="در انتظار"),"",IF(Q26="",TODAY(),Q26))</f>
        <v/>
      </c>
    </row>
    <row r="27">
      <c r="A27" s="52" t="n"/>
      <c r="B27" s="52" t="n"/>
      <c r="C27" s="52" t="n"/>
      <c r="D27" s="52" t="n"/>
      <c r="E27" s="52" t="n"/>
      <c r="F27" s="52" t="n"/>
      <c r="G27" s="52" t="n"/>
      <c r="H27" s="52" t="n"/>
      <c r="I27" s="52" t="n"/>
      <c r="J27" s="52" t="n"/>
      <c r="K27" s="52" t="n"/>
      <c r="L27" s="52" t="n"/>
      <c r="M27" s="52" t="n"/>
      <c r="N27" s="52" t="n"/>
      <c r="O27" s="52" t="n"/>
      <c r="P27" s="52" t="n"/>
      <c r="Q27" s="59">
        <f>IF(OR(L27="",L27="در انتظار"),"",IF(Q27="",TODAY(),Q27))</f>
        <v/>
      </c>
    </row>
  </sheetData>
  <autoFilter ref="A4:Q7"/>
  <dataValidations count="1">
    <dataValidation sqref="L5 L6 L7 L8 L9 L10 L11 L12 L13 L14 L15 L16 L17 L18 L19 L20 L21 L22 L23 L24 L25 L26 L27"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BF8F00"/>
    <outlinePr summaryBelow="1" summaryRight="1"/>
    <pageSetUpPr/>
  </sheetPr>
  <dimension ref="A1:E7"/>
  <sheetViews>
    <sheetView rightToLeft="1"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ht="30" customHeight="1">
      <c r="A1" s="89" t="inlineStr">
        <is>
          <t>مرجع سریع سناریوها و ثابت‌های ماژول Protection</t>
        </is>
      </c>
      <c r="B1" s="39" t="n"/>
      <c r="C1" s="39" t="n"/>
      <c r="D1" s="39" t="n"/>
      <c r="E1" s="40" t="n"/>
    </row>
    <row r="2">
      <c r="A2" s="52" t="n"/>
      <c r="B2" s="52" t="n"/>
      <c r="C2" s="52" t="n"/>
      <c r="D2" s="52" t="n"/>
      <c r="E2" s="52" t="n"/>
    </row>
    <row r="3">
      <c r="A3" s="71" t="inlineStr">
        <is>
          <t>موضوع</t>
        </is>
      </c>
      <c r="B3" s="71" t="inlineStr">
        <is>
          <t>شرط / مقدار</t>
        </is>
      </c>
      <c r="C3" s="71" t="inlineStr">
        <is>
          <t>رفتار مورد انتظار</t>
        </is>
      </c>
      <c r="D3" s="71" t="inlineStr">
        <is>
          <t>ثابت / محل کد</t>
        </is>
      </c>
      <c r="E3" s="71" t="inlineStr">
        <is>
          <t>توضیح</t>
        </is>
      </c>
    </row>
    <row r="4">
      <c r="A4" s="72" t="inlineStr">
        <is>
          <t>وضعیت</t>
        </is>
      </c>
      <c r="B4" s="72" t="inlineStr">
        <is>
          <t>MODULE_PROTECTION=0</t>
        </is>
      </c>
      <c r="C4" s="72" t="inlineStr">
        <is>
          <t>خاموش؛ اسکلت</t>
        </is>
      </c>
      <c r="D4" s="73" t="inlineStr">
        <is>
          <t>modules_enable.h</t>
        </is>
      </c>
      <c r="E4" s="72" t="inlineStr">
        <is>
          <t>فعال‌سازی با دستور کاربر</t>
        </is>
      </c>
    </row>
    <row r="5">
      <c r="A5" s="72" t="inlineStr">
        <is>
          <t>FAULT_ADC</t>
        </is>
      </c>
      <c r="B5" s="72" t="inlineStr">
        <is>
          <t>Set در نامعتبر / Clear در معتبر</t>
        </is>
      </c>
      <c r="C5" s="72" t="inlineStr">
        <is>
          <t>لحظه‌ای، بدون latch</t>
        </is>
      </c>
      <c r="D5" s="73" t="inlineStr">
        <is>
          <t>protection.c (اصلاح 2026-09-22)</t>
        </is>
      </c>
      <c r="E5" s="72" t="inlineStr">
        <is>
          <t>قبلاً latch ابدی بود</t>
        </is>
      </c>
    </row>
    <row r="6">
      <c r="A6" s="72" t="inlineStr">
        <is>
          <t>مالکیت بیت‌ها</t>
        </is>
      </c>
      <c r="B6" s="72" t="inlineStr">
        <is>
          <t>این ماژول فقط FAULT_ADC</t>
        </is>
      </c>
      <c r="C6" s="72" t="inlineStr">
        <is>
          <t>BAT_LOST مالک Fault</t>
        </is>
      </c>
      <c r="D6" s="73" t="inlineStr">
        <is>
          <t>fault.h / app_types.h</t>
        </is>
      </c>
      <c r="E6" s="72" t="inlineStr">
        <is>
          <t>—</t>
        </is>
      </c>
    </row>
    <row r="7"/>
  </sheetData>
  <mergeCells count="1">
    <mergeCell ref="A1:E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M3"/>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81" t="inlineStr">
        <is>
          <t>ثبت ایرادهای مشاهده‌شده — ماژول Protection</t>
        </is>
      </c>
    </row>
    <row r="2" ht="30" customHeight="1">
      <c r="A2" s="82" t="inlineStr">
        <is>
          <t>برای هر وضعیت «رد» یا تفاوت مهم، یک ردیف با شناسهٔ یکتا ثبت و پس از اصلاح دوباره تست شود.</t>
        </is>
      </c>
      <c r="B2" s="39" t="n"/>
      <c r="C2" s="39" t="n"/>
      <c r="D2" s="39" t="n"/>
      <c r="E2" s="39" t="n"/>
      <c r="F2" s="39" t="n"/>
      <c r="G2" s="39" t="n"/>
      <c r="H2" s="39" t="n"/>
      <c r="I2" s="39" t="n"/>
      <c r="J2" s="39" t="n"/>
      <c r="K2" s="39" t="n"/>
      <c r="L2" s="39" t="n"/>
      <c r="M2" s="40" t="n"/>
    </row>
    <row r="3">
      <c r="A3" s="71" t="inlineStr">
        <is>
          <t>شماره ایراد</t>
        </is>
      </c>
      <c r="B3" s="71" t="inlineStr">
        <is>
          <t>شناسه تست</t>
        </is>
      </c>
      <c r="C3" s="71" t="inlineStr">
        <is>
          <t>تاریخ کشف</t>
        </is>
      </c>
      <c r="D3" s="71" t="inlineStr">
        <is>
          <t>شدت</t>
        </is>
      </c>
      <c r="E3" s="71" t="inlineStr">
        <is>
          <t>شرح کوتاه ایراد</t>
        </is>
      </c>
      <c r="F3" s="71" t="inlineStr">
        <is>
          <t>مراحل بازتولید</t>
        </is>
      </c>
      <c r="G3" s="71" t="inlineStr">
        <is>
          <t>انتظار</t>
        </is>
      </c>
      <c r="H3" s="71" t="inlineStr">
        <is>
          <t>واقعیت</t>
        </is>
      </c>
      <c r="I3" s="71" t="inlineStr">
        <is>
          <t>مدرک/مسیر عکس یا scope</t>
        </is>
      </c>
      <c r="J3" s="71" t="inlineStr">
        <is>
          <t>نسخهٔ برنامه</t>
        </is>
      </c>
      <c r="K3" s="71" t="inlineStr">
        <is>
          <t>محل احتمالی</t>
        </is>
      </c>
      <c r="L3" s="71" t="inlineStr">
        <is>
          <t>وضعیت ایراد</t>
        </is>
      </c>
      <c r="M3" s="71" t="inlineStr">
        <is>
          <t>تأیید رفع / توضیحات</t>
        </is>
      </c>
    </row>
  </sheetData>
  <mergeCells count="2">
    <mergeCell ref="A2:M2"/>
    <mergeCell ref="A1:M1"/>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C19"/>
  <sheetViews>
    <sheetView rightToLeft="1" workbookViewId="0">
      <selection activeCell="A1" sqref="A1"/>
    </sheetView>
  </sheetViews>
  <sheetFormatPr baseColWidth="8" defaultRowHeight="15"/>
  <cols>
    <col width="20" customWidth="1" min="1" max="1"/>
    <col width="26" customWidth="1" min="2" max="2"/>
    <col width="30" customWidth="1" min="3" max="3"/>
  </cols>
  <sheetData>
    <row r="1">
      <c r="A1" s="81" t="inlineStr">
        <is>
          <t>تأیید نهایی اعتبارسنجی — ماژول Protection</t>
        </is>
      </c>
    </row>
    <row r="2">
      <c r="A2" s="48" t="inlineStr">
        <is>
          <t>این صفحه فقط پس از تکمیل تست‌ها و بسته‌شدن ایرادها پر می‌شود.</t>
        </is>
      </c>
    </row>
    <row r="3">
      <c r="A3" s="48" t="inlineStr">
        <is>
          <t>مشخصات تست</t>
        </is>
      </c>
    </row>
    <row r="4">
      <c r="A4" s="48" t="inlineStr">
        <is>
          <t>پروژه</t>
        </is>
      </c>
      <c r="B4" s="48" t="inlineStr">
        <is>
          <t>ChangeOver</t>
        </is>
      </c>
      <c r="C4" s="52" t="n"/>
    </row>
    <row r="5">
      <c r="A5" s="48" t="inlineStr">
        <is>
          <t>ماژول</t>
        </is>
      </c>
      <c r="B5" s="48" t="inlineStr">
        <is>
          <t>Protection — اسکلت حفاظت</t>
        </is>
      </c>
      <c r="C5" s="52" t="n"/>
    </row>
    <row r="6">
      <c r="A6" s="48" t="inlineStr">
        <is>
          <t>تاریخ ساخت فرم</t>
        </is>
      </c>
      <c r="B6" s="48" t="inlineStr">
        <is>
          <t>2026-09-23 (1.0)</t>
        </is>
      </c>
      <c r="C6" s="52" t="n"/>
    </row>
    <row r="7">
      <c r="A7" s="48" t="inlineStr">
        <is>
          <t>نسخه فرم</t>
        </is>
      </c>
      <c r="B7" s="48" t="inlineStr">
        <is>
          <t>1.0</t>
        </is>
      </c>
      <c r="C7" s="52" t="n"/>
    </row>
    <row r="8">
      <c r="A8" s="48" t="inlineStr">
        <is>
          <t>نسخهٔ برنامه</t>
        </is>
      </c>
      <c r="B8" s="48" t="inlineStr">
        <is>
          <t>(بعد از تست پر شود)</t>
        </is>
      </c>
      <c r="C8" s="52" t="n"/>
    </row>
    <row r="9">
      <c r="A9" s="48" t="inlineStr">
        <is>
          <t>ابزار</t>
        </is>
      </c>
      <c r="B9" s="48" t="inlineStr">
        <is>
          <t>بیلد تستی + پنل ESP</t>
        </is>
      </c>
      <c r="C9" s="52" t="n"/>
    </row>
    <row r="10">
      <c r="A10" s="52" t="n"/>
      <c r="B10" s="52" t="n"/>
      <c r="C10" s="52" t="n"/>
    </row>
    <row r="11">
      <c r="A11" s="74" t="inlineStr">
        <is>
          <t>خلاصهٔ خودکار وضعیت تست‌ها</t>
        </is>
      </c>
      <c r="B11" s="52" t="n"/>
      <c r="C11" s="52" t="n"/>
    </row>
    <row r="12">
      <c r="A12" s="71" t="inlineStr">
        <is>
          <t>شاخص</t>
        </is>
      </c>
      <c r="B12" s="71" t="inlineStr">
        <is>
          <t>مقدار</t>
        </is>
      </c>
      <c r="C12" s="71" t="inlineStr">
        <is>
          <t>توضیح</t>
        </is>
      </c>
    </row>
    <row r="13">
      <c r="A13" s="75" t="inlineStr">
        <is>
          <t>کل تست‌ها</t>
        </is>
      </c>
      <c r="B13" s="75" t="n">
        <v>5</v>
      </c>
      <c r="C13" s="75" t="inlineStr">
        <is>
          <t>همهٔ ردیف‌های برنامه تست</t>
        </is>
      </c>
    </row>
    <row r="14">
      <c r="A14" s="75" t="inlineStr">
        <is>
          <t>قبول</t>
        </is>
      </c>
      <c r="B14" s="75">
        <f>COUNTIF('برنامه تست'!L:L,"قبول")</f>
        <v/>
      </c>
      <c r="C14" s="75" t="inlineStr">
        <is>
          <t>COUNTIF برنامه تست</t>
        </is>
      </c>
    </row>
    <row r="15">
      <c r="A15" s="75" t="inlineStr">
        <is>
          <t>رد</t>
        </is>
      </c>
      <c r="B15" s="75">
        <f>COUNTIF('برنامه تست'!L:L,"رد")</f>
        <v/>
      </c>
      <c r="C15" s="75" t="inlineStr">
        <is>
          <t>COUNTIF رد</t>
        </is>
      </c>
    </row>
    <row r="16">
      <c r="A16" s="75" t="inlineStr">
        <is>
          <t>در انتظار</t>
        </is>
      </c>
      <c r="B16" s="75">
        <f>COUNTIF('برنامه تست'!L:L,"در انتظار")</f>
        <v/>
      </c>
      <c r="C16" s="75" t="inlineStr">
        <is>
          <t>پیش از تست برد</t>
        </is>
      </c>
    </row>
    <row r="17">
      <c r="A17" s="75" t="inlineStr">
        <is>
          <t>نرخ قبولی</t>
        </is>
      </c>
      <c r="B17" s="75">
        <f>IF(5=0,0,COUNTIF('برنامه تست'!L:L,"قبول")/5)</f>
        <v/>
      </c>
      <c r="C17" s="75" t="inlineStr">
        <is>
          <t>قبول/کل</t>
        </is>
      </c>
    </row>
    <row r="18">
      <c r="A18" s="52" t="n"/>
      <c r="B18" s="52" t="n"/>
      <c r="C18" s="52" t="n"/>
    </row>
    <row r="19">
      <c r="A19" s="74" t="inlineStr">
        <is>
          <t>امضا و تأیید: تست‌کننده ______  بازبین ______  تاریخ ______</t>
        </is>
      </c>
      <c r="B19" s="52" t="n"/>
      <c r="C19" s="52" t="n"/>
    </row>
  </sheetData>
  <mergeCells count="3">
    <mergeCell ref="A1:C1"/>
    <mergeCell ref="A3:C3"/>
    <mergeCell ref="A2:C2"/>
  </mergeCells>
  <pageMargins left="0.75" right="0.75" top="1" bottom="1" header="0.5" footer="0.5"/>
</worksheet>
</file>

<file path=xl/worksheets/sheet7.xml><?xml version="1.0" encoding="utf-8"?>
<worksheet xmlns="http://schemas.openxmlformats.org/spreadsheetml/2006/main">
  <sheetPr>
    <tabColor rgb="00A6A6A6"/>
    <outlinePr summaryBelow="1" summaryRight="1"/>
    <pageSetUpPr/>
  </sheetPr>
  <dimension ref="A1:B17"/>
  <sheetViews>
    <sheetView rightToLeft="1" workbookViewId="0">
      <selection activeCell="A1" sqref="A1"/>
    </sheetView>
  </sheetViews>
  <sheetFormatPr baseColWidth="8" defaultRowHeight="15"/>
  <cols>
    <col width="16" customWidth="1" min="1" max="1"/>
    <col width="16" customWidth="1" min="2" max="2"/>
  </cols>
  <sheetData>
    <row r="1">
      <c r="A1" s="90" t="inlineStr">
        <is>
          <t>وضعیت</t>
        </is>
      </c>
      <c r="B1" s="52" t="n"/>
    </row>
    <row r="2">
      <c r="A2" s="77" t="inlineStr">
        <is>
          <t>در انتظار</t>
        </is>
      </c>
      <c r="B2" s="52" t="n"/>
    </row>
    <row r="3">
      <c r="A3" s="77" t="inlineStr">
        <is>
          <t>انجام شد</t>
        </is>
      </c>
      <c r="B3" s="52" t="n"/>
    </row>
    <row r="4">
      <c r="A4" s="77" t="inlineStr">
        <is>
          <t>قبول</t>
        </is>
      </c>
      <c r="B4" s="52" t="n"/>
    </row>
    <row r="5">
      <c r="A5" s="77" t="inlineStr">
        <is>
          <t>رد</t>
        </is>
      </c>
      <c r="B5" s="52" t="n"/>
    </row>
    <row r="6">
      <c r="A6" s="77" t="inlineStr">
        <is>
          <t>مسدود</t>
        </is>
      </c>
      <c r="B6" s="52" t="n"/>
    </row>
    <row r="7">
      <c r="A7" s="52" t="inlineStr">
        <is>
          <t>نیاز به تکرار</t>
        </is>
      </c>
      <c r="B7" s="52" t="n"/>
    </row>
    <row r="8">
      <c r="A8" s="90" t="inlineStr">
        <is>
          <t>اولویت</t>
        </is>
      </c>
      <c r="B8" s="52" t="n"/>
    </row>
    <row r="9">
      <c r="A9" s="52" t="n"/>
      <c r="B9" s="77" t="inlineStr">
        <is>
          <t>بالا</t>
        </is>
      </c>
    </row>
    <row r="10">
      <c r="A10" s="52" t="n"/>
      <c r="B10" s="77" t="inlineStr">
        <is>
          <t>متوسط</t>
        </is>
      </c>
    </row>
    <row r="11">
      <c r="A11" s="52" t="n"/>
      <c r="B11" s="77" t="inlineStr">
        <is>
          <t>پایین</t>
        </is>
      </c>
    </row>
    <row r="12">
      <c r="A12" s="52" t="n"/>
      <c r="B12" s="52" t="n"/>
    </row>
    <row r="13">
      <c r="A13" s="90" t="inlineStr">
        <is>
          <t>شدت</t>
        </is>
      </c>
      <c r="B13" s="52" t="n"/>
    </row>
    <row r="14">
      <c r="A14" s="77" t="inlineStr">
        <is>
          <t>بحرانی</t>
        </is>
      </c>
      <c r="B14" s="52" t="n"/>
    </row>
    <row r="15">
      <c r="A15" s="77" t="inlineStr">
        <is>
          <t>بالا</t>
        </is>
      </c>
      <c r="B15" s="52" t="n"/>
    </row>
    <row r="16">
      <c r="A16" s="77" t="inlineStr">
        <is>
          <t>متوسط</t>
        </is>
      </c>
      <c r="B16" s="52" t="n"/>
    </row>
    <row r="17">
      <c r="A17" s="77" t="inlineStr">
        <is>
          <t>پایین</t>
        </is>
      </c>
      <c r="B17" s="52" t="n"/>
    </row>
  </sheetData>
  <pageMargins left="0.75" right="0.75" top="1" bottom="1" header="0.5" footer="0.5"/>
</worksheet>
</file>

<file path=xl/worksheets/sheet8.xml><?xml version="1.0" encoding="utf-8"?>
<worksheet xmlns="http://schemas.openxmlformats.org/spreadsheetml/2006/main">
  <sheetPr>
    <tabColor rgb="00ED7D31"/>
    <outlinePr summaryBelow="1" summaryRight="1"/>
    <pageSetUpPr fitToPage="1"/>
  </sheetPr>
  <dimension ref="A1:Q5"/>
  <sheetViews>
    <sheetView workbookViewId="0">
      <selection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1" t="inlineStr">
        <is>
          <t>برنامهٔ تست آزمایشگاهی — ماژول Protection</t>
        </is>
      </c>
    </row>
    <row r="2">
      <c r="A2" s="48" t="inlineStr">
        <is>
          <t>وضعیت فقط یکی از: در انتظار / قبول / رد / مسدود / نیاز به تکرار. تست Host جایگزین تست برد نیست.</t>
        </is>
      </c>
    </row>
    <row r="3">
      <c r="A3" s="48" t="inlineStr">
        <is>
          <t>برای هر ردیف پیش‌شرط، ورودی، انتظار و معیار قبولی صریح است؛ نتیجهٔ واقعی فقط با اندازه‌گیری روی برد پر می‌شود.</t>
        </is>
      </c>
    </row>
    <row r="4" ht="30" customHeight="1">
      <c r="A4" s="82" t="inlineStr">
        <is>
          <t>شناسه</t>
        </is>
      </c>
      <c r="B4" s="82" t="inlineStr">
        <is>
          <t>دسته</t>
        </is>
      </c>
      <c r="C4" s="82" t="inlineStr">
        <is>
          <t>اولویت</t>
        </is>
      </c>
      <c r="D4" s="82" t="inlineStr">
        <is>
          <t>پیش‌شرط</t>
        </is>
      </c>
      <c r="E4" s="82" t="inlineStr">
        <is>
          <t>روش اجرای دقیق</t>
        </is>
      </c>
      <c r="F4" s="82" t="inlineStr">
        <is>
          <t>ورودی‌ها / شرایط</t>
        </is>
      </c>
      <c r="G4" s="82" t="inlineStr">
        <is>
          <t>مدت مشاهده</t>
        </is>
      </c>
      <c r="H4" s="82" t="inlineStr">
        <is>
          <t>رفتار مورد انتظار</t>
        </is>
      </c>
      <c r="I4" s="82" t="inlineStr">
        <is>
          <t>می‌ماند یا پاک می‌شود</t>
        </is>
      </c>
      <c r="J4" s="82" t="inlineStr">
        <is>
          <t>معیار قبولی</t>
        </is>
      </c>
      <c r="K4" s="82" t="inlineStr">
        <is>
          <t>نتیجهٔ واقعی / اندازه‌گیری</t>
        </is>
      </c>
      <c r="L4" s="82" t="inlineStr">
        <is>
          <t>وضعیت</t>
        </is>
      </c>
      <c r="M4" s="82" t="inlineStr">
        <is>
          <t>شرح ایراد / تفاوت</t>
        </is>
      </c>
      <c r="N4" s="82" t="inlineStr">
        <is>
          <t>مدرک تست</t>
        </is>
      </c>
      <c r="O4" s="82" t="inlineStr">
        <is>
          <t>نسخهٔ برنامه</t>
        </is>
      </c>
      <c r="P4" s="82" t="inlineStr">
        <is>
          <t>نام تست‌کننده</t>
        </is>
      </c>
      <c r="Q4" s="82" t="inlineStr">
        <is>
          <t>تاریخ</t>
        </is>
      </c>
    </row>
    <row r="5" ht="40.5" customHeight="1">
      <c r="A5" s="53" t="inlineStr">
        <is>
          <t>PR-002</t>
        </is>
      </c>
      <c r="B5" s="62" t="inlineStr">
        <is>
          <t>FAULT_ADC لحظه‌ای</t>
        </is>
      </c>
      <c r="C5" s="67" t="inlineStr">
        <is>
          <t>بالا</t>
        </is>
      </c>
      <c r="D5" s="62" t="inlineStr">
        <is>
          <t>بیلد تستی با MODULE_PROTECTION=1</t>
        </is>
      </c>
      <c r="E5" s="62" t="inlineStr">
        <is>
          <t>گام ۱: یک بیلد تستی بگیر که در آن MODULE_PROTECTION=1 باشد.
گام ۲: ADC را موقتاً نامعتبر کن. مثلاً ورودی را در دورهٔ گرم‌شدن (warm-up) قطع کن تا snapshot نامعتبر شود.
گام ۳: بیت FAULT_ADC باید همان لحظه ست شود. در پنل یا ماسک ببین.
گام ۴: ADC را معتبر کن و اولین snapshot معتبر را بده. 5 ثانیه کافی است.
گام ۵: بیت باید خودش پاک شود. پس بعد از معتبرشدن، بیت صفر است.</t>
        </is>
      </c>
      <c r="F5" s="63" t="inlineStr">
        <is>
          <t>snapshot نامعتبر</t>
        </is>
      </c>
      <c r="G5" s="63" t="inlineStr">
        <is>
          <t>5s</t>
        </is>
      </c>
      <c r="H5" s="62" t="inlineStr">
        <is>
          <t>Set بیت FAULT_ADC به‌صورت لحظه‌ای؛ با اولین snapshot معتبر خودش پاک می‌شود</t>
        </is>
      </c>
      <c r="I5" s="62" t="inlineStr">
        <is>
          <t>لحظه‌ای نه latch</t>
        </is>
      </c>
      <c r="J5" s="62" t="inlineStr">
        <is>
          <t>بیت بعد از معتبر شدن صفر</t>
        </is>
      </c>
      <c r="K5" s="62" t="n"/>
      <c r="L5" s="57" t="inlineStr">
        <is>
          <t>در انتظار</t>
        </is>
      </c>
      <c r="M5" s="62" t="n"/>
      <c r="N5" s="62" t="n"/>
      <c r="O5" s="63" t="inlineStr">
        <is>
          <t>(بعد از تست پر شود)</t>
        </is>
      </c>
      <c r="P5" s="63" t="n"/>
      <c r="Q5" s="65">
        <f>IF(OR(L5="",L5="در انتظار"),"",IF(Q5="",TODAY(),Q5))</f>
        <v/>
      </c>
    </row>
    <row r="6" ht="54" customHeight="1"/>
    <row r="7" ht="54" customHeight="1"/>
    <row r="8" ht="54" customHeight="1"/>
    <row r="9" ht="54" customHeight="1"/>
    <row r="10" ht="54" customHeight="1"/>
  </sheetData>
  <mergeCells count="3">
    <mergeCell ref="A3:Q3"/>
    <mergeCell ref="A2:Q2"/>
    <mergeCell ref="A1:Q1"/>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7030A0"/>
    <outlinePr summaryBelow="1" summaryRight="1"/>
    <pageSetUpPr/>
  </sheetPr>
  <dimension ref="A1:C7"/>
  <sheetViews>
    <sheetView rightToLeft="1" workbookViewId="0">
      <selection activeCell="A1" sqref="A1"/>
    </sheetView>
  </sheetViews>
  <sheetFormatPr baseColWidth="8" defaultRowHeight="15"/>
  <cols>
    <col width="34" customWidth="1" min="1" max="1"/>
    <col width="78" customWidth="1" min="2" max="2"/>
  </cols>
  <sheetData>
    <row r="1" ht="30" customHeight="1">
      <c r="A1" s="8" t="inlineStr">
        <is>
          <t>ماشین حالت ماژول نگهبان اعتبار (Protection)</t>
        </is>
      </c>
    </row>
    <row r="2"/>
    <row r="3" ht="24" customHeight="1">
      <c r="A3" s="9" t="inlineStr">
        <is>
          <t>حالت‌ها و گذارهای همین ماژول</t>
        </is>
      </c>
      <c r="B3" s="10" t="inlineStr">
        <is>
          <t>Protection_State_Machine.xlsx</t>
        </is>
      </c>
    </row>
    <row r="4" ht="24" customHeight="1">
      <c r="A4" s="9" t="inlineStr">
        <is>
          <t>ماشین حالت کل برنامه (نمای سیستمی)</t>
        </is>
      </c>
      <c r="B4" s="10" t="inlineStr">
        <is>
          <t>../../../Documentation/System_State_Machine.xlsx</t>
        </is>
      </c>
    </row>
    <row r="5" ht="24" customHeight="1">
      <c r="A5" s="9" t="inlineStr">
        <is>
          <t>راهنمای رنگ‌ها</t>
        </is>
      </c>
      <c r="B5" s="11" t="inlineStr">
        <is>
          <t>سبز = عادی/سالم · زرد = هشدار یا انتظار · قرمز = خطا یا قفل · نارنجی = در حال کار · خاکستری = بی‌کار · آبی = اطلاعاتی</t>
        </is>
      </c>
    </row>
    <row r="6" ht="24" customHeight="1">
      <c r="A6" s="9" t="inlineStr">
        <is>
          <t>بازتولید</t>
        </is>
      </c>
      <c r="B6" s="11" t="inlineStr">
        <is>
          <t>python3 tools/make_module_state_machines.py</t>
        </is>
      </c>
    </row>
    <row r="7"/>
  </sheetData>
  <mergeCells count="1">
    <mergeCell ref="A1:C1"/>
  </mergeCells>
  <hyperlinks>
    <hyperlink xmlns:r="http://schemas.openxmlformats.org/officeDocument/2006/relationships" ref="B3" r:id="rId1"/>
    <hyperlink xmlns:r="http://schemas.openxmlformats.org/officeDocument/2006/relationships" ref="B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2026-09-23T12:47:22Z</dcterms:created>
  <dcterms:modified xsi:type="dcterms:W3CDTF">2026-10-17T12:51:07Z</dcterms:modified>
</cp:coreProperties>
</file>