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برنامه‌نویسی" sheetId="3" state="visible" r:id="rId3"/>
    <sheet name="مراجع سناریو" sheetId="4" state="visible" r:id="rId4"/>
    <sheet name="ثبت ایراد" sheetId="5" state="visible" r:id="rId5"/>
    <sheet name="تأیید نهایی" sheetId="6" state="visible" r:id="rId6"/>
    <sheet name="فهرست‌ها" sheetId="7" state="visible" r:id="rId7"/>
    <sheet name="ماشین حالت" sheetId="8" state="visible" r:id="rId8"/>
    <sheet name="تست‌های آزمایشگاهی" sheetId="9" state="visible" r:id="rId9"/>
  </sheets>
  <definedNames>
    <definedName name="_xlnm._FilterDatabase" localSheetId="1" hidden="1">'برنامه تست'!$A$4:$Q$50</definedName>
    <definedName name="_xlnm.Print_Titles" localSheetId="1">'برنامه تست'!$4:$4</definedName>
    <definedName name="_xlnm._FilterDatabase" localSheetId="2" hidden="1">'تست‌های برنامه‌نویسی'!$A$4:$Q$6</definedName>
    <definedName name="_xlnm.Print_Titles" localSheetId="2">'تست‌های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29">
    <font>
      <name val="Calibri"/>
      <family val="2"/>
      <color theme="1"/>
      <sz val="11"/>
      <scheme val="minor"/>
    </font>
    <font>
      <name val="Calibri"/>
      <b val="1"/>
      <sz val="10"/>
    </font>
    <font>
      <name val="Calibri"/>
      <sz val="8"/>
    </font>
    <font>
      <name val="Calibri"/>
      <b val="1"/>
      <sz val="8"/>
    </font>
    <font>
      <name val="Vazirmatn"/>
      <b val="1"/>
      <color rgb="00FFFFFF"/>
      <sz val="14"/>
    </font>
    <font>
      <name val="Vazirmatn"/>
      <b val="1"/>
      <sz val="10"/>
    </font>
    <font>
      <name val="Vazirmatn"/>
      <color rgb="000563C1"/>
      <sz val="10"/>
      <u val="single"/>
    </font>
    <font>
      <name val="Vazirmatn"/>
      <sz val="10"/>
    </font>
    <font>
      <name val="Tahoma"/>
      <b val="1"/>
      <sz val="10"/>
    </font>
    <font>
      <name val="Tahoma"/>
      <sz val="8"/>
    </font>
    <font>
      <name val="Tahoma"/>
      <b val="1"/>
      <sz val="8"/>
    </font>
    <font>
      <name val="Tahoma"/>
      <color theme="1"/>
      <sz val="11"/>
    </font>
    <font>
      <name val="Tahoma"/>
      <b val="1"/>
      <color rgb="00FFFFFF"/>
      <sz val="14"/>
    </font>
    <font>
      <name val="Tahoma"/>
      <color rgb="000563C1"/>
      <sz val="10"/>
      <u val="single"/>
    </font>
    <font>
      <name val="Tahoma"/>
      <sz val="10"/>
    </font>
    <font>
      <name val="Tahoma"/>
      <b val="1"/>
      <color rgb="00FFFFFF"/>
      <sz val="11"/>
    </font>
    <font>
      <name val="Tahoma"/>
      <b val="1"/>
      <color rgb="001F3864"/>
      <sz val="13"/>
    </font>
    <font>
      <name val="Tahoma"/>
      <b val="1"/>
      <color rgb="00C00000"/>
      <sz val="10"/>
    </font>
    <font>
      <name val="Tahoma"/>
      <color rgb="000563C1"/>
      <sz val="8"/>
      <u val="single"/>
    </font>
    <font>
      <name val="Tahoma"/>
      <b val="1"/>
      <color rgb="000563C1"/>
      <sz val="10"/>
      <u val="single"/>
    </font>
    <font>
      <name val="Vazirmatn"/>
      <sz val="8"/>
    </font>
    <font>
      <name val="Vazirmatn"/>
      <b val="1"/>
      <color rgb="00FFFFFF"/>
      <sz val="11"/>
    </font>
    <font>
      <name val="Vazirmatn"/>
      <b val="1"/>
      <color rgb="001F3864"/>
      <sz val="13"/>
    </font>
    <font>
      <name val="Vazirmatn"/>
      <family val="2"/>
      <color theme="1"/>
      <sz val="11"/>
      <scheme val="minor"/>
    </font>
    <font>
      <name val="Vazirmatn"/>
      <b val="1"/>
      <color rgb="00C00000"/>
      <sz val="10"/>
    </font>
    <font>
      <name val="Vazirmatn"/>
      <b val="1"/>
      <sz val="8"/>
    </font>
    <font>
      <name val="Vazirmatn"/>
      <color rgb="000563C1"/>
      <sz val="8"/>
      <u val="single"/>
    </font>
    <font>
      <name val="Vazirmatn"/>
      <color theme="1"/>
      <sz val="11"/>
    </font>
    <font>
      <name val="Vazirmatn"/>
      <sz val="11"/>
    </font>
  </fonts>
  <fills count="9">
    <fill>
      <patternFill/>
    </fill>
    <fill>
      <patternFill patternType="gray125"/>
    </fill>
    <fill>
      <patternFill patternType="solid">
        <fgColor rgb="00DDEBF7"/>
      </patternFill>
    </fill>
    <fill>
      <patternFill patternType="solid">
        <fgColor rgb="00FFEB9C"/>
      </patternFill>
    </fill>
    <fill>
      <patternFill patternType="solid">
        <fgColor rgb="001F3864"/>
      </patternFill>
    </fill>
    <fill>
      <patternFill patternType="solid">
        <fgColor rgb="00D9E2F3"/>
      </patternFill>
    </fill>
    <fill>
      <patternFill patternType="solid">
        <fgColor rgb="00FFE699"/>
      </patternFill>
    </fill>
    <fill>
      <patternFill patternType="solid">
        <fgColor rgb="00F2F6FC"/>
      </patternFill>
    </fill>
    <fill>
      <patternFill patternType="solid">
        <fgColor rgb="00FCE4D6"/>
      </patternFill>
    </fill>
  </fills>
  <borders count="8">
    <border>
      <left/>
      <right/>
      <top/>
      <bottom/>
      <diagonal/>
    </border>
    <border>
      <left style="thin">
        <color rgb="009DB7E8"/>
      </left>
      <right style="thin">
        <color rgb="009DB7E8"/>
      </right>
      <top style="thin">
        <color rgb="009DB7E8"/>
      </top>
      <bottom style="thin">
        <color rgb="009DB7E8"/>
      </bottom>
    </border>
    <border>
      <left style="thin">
        <color rgb="00B4C6E7"/>
      </left>
      <right style="thin">
        <color rgb="00B4C6E7"/>
      </right>
      <top style="thin">
        <color rgb="00B4C6E7"/>
      </top>
      <bottom style="thin">
        <color rgb="00B4C6E7"/>
      </bottom>
    </border>
    <border>
      <left/>
      <right/>
      <top style="thin">
        <color rgb="00B4C6E7"/>
      </top>
      <bottom/>
      <diagonal/>
    </border>
    <border>
      <left/>
      <right style="thin">
        <color rgb="00B4C6E7"/>
      </right>
      <top style="thin">
        <color rgb="00B4C6E7"/>
      </top>
      <bottom/>
      <diagonal/>
    </border>
    <border>
      <left/>
      <right/>
      <top style="thin">
        <color rgb="00B4C6E7"/>
      </top>
      <bottom style="thin">
        <color rgb="00B4C6E7"/>
      </bottom>
      <diagonal/>
    </border>
    <border>
      <left/>
      <right style="thin">
        <color rgb="00B4C6E7"/>
      </right>
      <top style="thin">
        <color rgb="00B4C6E7"/>
      </top>
      <bottom style="thin">
        <color rgb="00B4C6E7"/>
      </bottom>
      <diagonal/>
    </border>
    <border/>
  </borders>
  <cellStyleXfs count="1">
    <xf numFmtId="0" fontId="0" fillId="0" borderId="0"/>
  </cellStyleXfs>
  <cellXfs count="77">
    <xf numFmtId="0" fontId="0" fillId="0" borderId="0" pivotButton="0" quotePrefix="0" xfId="0"/>
    <xf numFmtId="0" fontId="1" fillId="0" borderId="0" applyAlignment="1" pivotButton="0" quotePrefix="0" xfId="0">
      <alignment horizontal="right" vertical="center" wrapText="1"/>
    </xf>
    <xf numFmtId="0" fontId="2" fillId="0" borderId="0" applyAlignment="1" pivotButton="0" quotePrefix="0" xfId="0">
      <alignment horizontal="right" vertical="center" wrapText="1"/>
    </xf>
    <xf numFmtId="0" fontId="3" fillId="2" borderId="0" applyAlignment="1" pivotButton="0" quotePrefix="0" xfId="0">
      <alignment horizontal="center" vertical="center" wrapText="1"/>
    </xf>
    <xf numFmtId="0" fontId="2" fillId="0" borderId="0" applyAlignment="1" pivotButton="0" quotePrefix="0" xfId="0">
      <alignment horizontal="center" vertical="center" wrapText="1"/>
    </xf>
    <xf numFmtId="0" fontId="1" fillId="0" borderId="0" pivotButton="0" quotePrefix="0" xfId="0"/>
    <xf numFmtId="0" fontId="2" fillId="0" borderId="0" pivotButton="0" quotePrefix="0" xfId="0"/>
    <xf numFmtId="0" fontId="1" fillId="3" borderId="0" pivotButton="0" quotePrefix="0" xfId="0"/>
    <xf numFmtId="0" fontId="4" fillId="4" borderId="0" applyAlignment="1" pivotButton="0" quotePrefix="0" xfId="0">
      <alignment horizontal="center" vertical="center"/>
    </xf>
    <xf numFmtId="0" fontId="5" fillId="0" borderId="1" applyAlignment="1" pivotButton="0" quotePrefix="0" xfId="0">
      <alignment horizontal="right" vertical="center" wrapText="1"/>
    </xf>
    <xf numFmtId="0" fontId="6" fillId="0" borderId="1" applyAlignment="1" pivotButton="0" quotePrefix="0" xfId="0">
      <alignment horizontal="right" vertical="center" wrapText="1"/>
    </xf>
    <xf numFmtId="0" fontId="7" fillId="0" borderId="1" applyAlignment="1" pivotButton="0" quotePrefix="0" xfId="0">
      <alignment horizontal="right" vertical="center" wrapText="1"/>
    </xf>
    <xf numFmtId="0" fontId="8" fillId="0" borderId="0" applyAlignment="1" pivotButton="0" quotePrefix="0" xfId="0">
      <alignment horizontal="right" vertical="center" wrapText="1"/>
    </xf>
    <xf numFmtId="0" fontId="9" fillId="0" borderId="0" applyAlignment="1" pivotButton="0" quotePrefix="0" xfId="0">
      <alignment horizontal="right" vertical="center" wrapText="1"/>
    </xf>
    <xf numFmtId="0" fontId="15" fillId="4" borderId="2" applyAlignment="1" pivotButton="0" quotePrefix="0" xfId="0">
      <alignment horizontal="center" vertical="center" wrapText="1"/>
    </xf>
    <xf numFmtId="0" fontId="16" fillId="0" borderId="0" applyAlignment="1" pivotButton="0" quotePrefix="0" xfId="0">
      <alignment horizontal="right" vertical="center" wrapText="1"/>
    </xf>
    <xf numFmtId="0" fontId="8" fillId="5" borderId="2" applyAlignment="1" pivotButton="0" quotePrefix="0" xfId="0">
      <alignment horizontal="center" vertical="center"/>
    </xf>
    <xf numFmtId="0" fontId="14" fillId="0" borderId="2" applyAlignment="1" pivotButton="0" quotePrefix="0" xfId="0">
      <alignment horizontal="right" vertical="center" wrapText="1"/>
    </xf>
    <xf numFmtId="0" fontId="17"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8" fillId="6" borderId="2" applyAlignment="1" pivotButton="0" quotePrefix="0" xfId="0">
      <alignment horizontal="center" vertical="center" wrapText="1"/>
    </xf>
    <xf numFmtId="164" fontId="14" fillId="0" borderId="2" applyAlignment="1" pivotButton="0" quotePrefix="0" xfId="0">
      <alignment horizontal="center" vertical="center" wrapText="1"/>
    </xf>
    <xf numFmtId="0" fontId="14" fillId="7" borderId="2" applyAlignment="1" pivotButton="0" quotePrefix="0" xfId="0">
      <alignment horizontal="right" vertical="center" wrapText="1"/>
    </xf>
    <xf numFmtId="0" fontId="17" fillId="7" borderId="2" applyAlignment="1" pivotButton="0" quotePrefix="0" xfId="0">
      <alignment horizontal="center" vertical="center" wrapText="1"/>
    </xf>
    <xf numFmtId="0" fontId="14" fillId="7" borderId="2" applyAlignment="1" pivotButton="0" quotePrefix="0" xfId="0">
      <alignment horizontal="center" vertical="center" wrapText="1"/>
    </xf>
    <xf numFmtId="164" fontId="14" fillId="7" borderId="2" applyAlignment="1" pivotButton="0" quotePrefix="0" xfId="0">
      <alignment horizontal="center" vertical="center" wrapText="1"/>
    </xf>
    <xf numFmtId="0" fontId="8" fillId="8" borderId="2" applyAlignment="1" pivotButton="0" quotePrefix="0" xfId="0">
      <alignment horizontal="center" vertical="center" wrapText="1"/>
    </xf>
    <xf numFmtId="164" fontId="0" fillId="0" borderId="0" pivotButton="0" quotePrefix="0" xfId="0"/>
    <xf numFmtId="0" fontId="10" fillId="2" borderId="0" applyAlignment="1" pivotButton="0" quotePrefix="0" xfId="0">
      <alignment horizontal="center" vertical="center" wrapText="1"/>
    </xf>
    <xf numFmtId="0" fontId="9" fillId="0" borderId="0" applyAlignment="1" pivotButton="0" quotePrefix="0" xfId="0">
      <alignment horizontal="center" vertical="center" wrapText="1"/>
    </xf>
    <xf numFmtId="0" fontId="8" fillId="0" borderId="0" pivotButton="0" quotePrefix="0" xfId="0"/>
    <xf numFmtId="0" fontId="9" fillId="0" borderId="0" pivotButton="0" quotePrefix="0" xfId="0"/>
    <xf numFmtId="0" fontId="8" fillId="3" borderId="0" pivotButton="0" quotePrefix="0" xfId="0"/>
    <xf numFmtId="0" fontId="11" fillId="0" borderId="0" pivotButton="0" quotePrefix="0" xfId="0"/>
    <xf numFmtId="0" fontId="12" fillId="4" borderId="0" applyAlignment="1" pivotButton="0" quotePrefix="0" xfId="0">
      <alignment horizontal="center" vertical="center"/>
    </xf>
    <xf numFmtId="0" fontId="8" fillId="0" borderId="1" applyAlignment="1" pivotButton="0" quotePrefix="0" xfId="0">
      <alignment horizontal="right" vertical="center" wrapText="1"/>
    </xf>
    <xf numFmtId="0" fontId="13" fillId="0" borderId="1" applyAlignment="1" pivotButton="0" quotePrefix="0" xfId="0">
      <alignment horizontal="right" vertical="center" wrapText="1"/>
    </xf>
    <xf numFmtId="0" fontId="14" fillId="0" borderId="1" applyAlignment="1" pivotButton="0" quotePrefix="0" xfId="0">
      <alignment horizontal="right" vertical="center" wrapText="1"/>
    </xf>
    <xf numFmtId="0" fontId="0" fillId="0" borderId="5" pivotButton="0" quotePrefix="0" xfId="0"/>
    <xf numFmtId="0" fontId="0" fillId="0" borderId="6" pivotButton="0" quotePrefix="0" xfId="0"/>
    <xf numFmtId="0" fontId="13" fillId="0" borderId="2" applyAlignment="1" pivotButton="0" quotePrefix="0" xfId="0">
      <alignment horizontal="right" vertical="center" wrapText="1"/>
    </xf>
    <xf numFmtId="0" fontId="18" fillId="0" borderId="0" applyAlignment="1" pivotButton="0" quotePrefix="0" xfId="0">
      <alignment horizontal="center" vertical="center" wrapText="1"/>
    </xf>
    <xf numFmtId="0" fontId="16" fillId="0" borderId="0" pivotButton="0" quotePrefix="0" xfId="0"/>
    <xf numFmtId="0" fontId="14" fillId="0" borderId="0" applyAlignment="1" pivotButton="0" quotePrefix="0" xfId="0">
      <alignment vertical="center" wrapText="1"/>
    </xf>
    <xf numFmtId="0" fontId="19" fillId="5" borderId="2" applyAlignment="1" pivotButton="0" quotePrefix="0" xfId="0">
      <alignment horizontal="center" vertical="center"/>
    </xf>
    <xf numFmtId="0" fontId="5" fillId="0" borderId="0" applyAlignment="1" pivotButton="0" quotePrefix="0" xfId="0">
      <alignment horizontal="right" vertical="center" wrapText="1"/>
    </xf>
    <xf numFmtId="0" fontId="20" fillId="0" borderId="0" applyAlignment="1" pivotButton="0" quotePrefix="0" xfId="0">
      <alignment horizontal="right" vertical="center" wrapText="1"/>
    </xf>
    <xf numFmtId="0" fontId="21" fillId="4" borderId="2" applyAlignment="1" pivotButton="0" quotePrefix="0" xfId="0">
      <alignment horizontal="center" vertical="center" wrapText="1"/>
    </xf>
    <xf numFmtId="0" fontId="22" fillId="0" borderId="0" applyAlignment="1" pivotButton="0" quotePrefix="0" xfId="0">
      <alignment horizontal="right" vertical="center" wrapText="1"/>
    </xf>
    <xf numFmtId="0" fontId="23" fillId="0" borderId="0" pivotButton="0" quotePrefix="0" xfId="0"/>
    <xf numFmtId="0" fontId="5" fillId="5" borderId="2" applyAlignment="1" pivotButton="0" quotePrefix="0" xfId="0">
      <alignment horizontal="center" vertical="center"/>
    </xf>
    <xf numFmtId="0" fontId="7" fillId="7" borderId="2" applyAlignment="1" pivotButton="0" quotePrefix="0" xfId="0">
      <alignment horizontal="right" vertical="center" wrapText="1"/>
    </xf>
    <xf numFmtId="0" fontId="7" fillId="7" borderId="2" applyAlignment="1" pivotButton="0" quotePrefix="0" xfId="0">
      <alignment horizontal="center" vertical="center" wrapText="1"/>
    </xf>
    <xf numFmtId="0" fontId="5" fillId="8" borderId="2" applyAlignment="1" pivotButton="0" quotePrefix="0" xfId="0">
      <alignment horizontal="center" vertical="center" wrapText="1"/>
    </xf>
    <xf numFmtId="164" fontId="7" fillId="7" borderId="2" applyAlignment="1" pivotButton="0" quotePrefix="0" xfId="0">
      <alignment horizontal="center" vertical="center" wrapText="1"/>
    </xf>
    <xf numFmtId="164" fontId="23" fillId="0" borderId="0" pivotButton="0" quotePrefix="0" xfId="0"/>
    <xf numFmtId="0" fontId="22" fillId="0" borderId="0" pivotButton="0" quotePrefix="0" xfId="0"/>
    <xf numFmtId="0" fontId="7" fillId="0" borderId="0" applyAlignment="1" pivotButton="0" quotePrefix="0" xfId="0">
      <alignment vertical="center" wrapText="1"/>
    </xf>
    <xf numFmtId="0" fontId="7" fillId="0" borderId="2" applyAlignment="1" pivotButton="0" quotePrefix="0" xfId="0">
      <alignment horizontal="right" vertical="center" wrapText="1"/>
    </xf>
    <xf numFmtId="0" fontId="24" fillId="0" borderId="2" applyAlignment="1" pivotButton="0" quotePrefix="0" xfId="0">
      <alignment horizontal="center" vertical="center" wrapText="1"/>
    </xf>
    <xf numFmtId="0" fontId="6" fillId="0" borderId="2" applyAlignment="1" pivotButton="0" quotePrefix="0" xfId="0">
      <alignment horizontal="right" vertical="center" wrapText="1"/>
    </xf>
    <xf numFmtId="0" fontId="7" fillId="0" borderId="2" applyAlignment="1" pivotButton="0" quotePrefix="0" xfId="0">
      <alignment horizontal="center" vertical="center" wrapText="1"/>
    </xf>
    <xf numFmtId="0" fontId="5" fillId="6" borderId="2" applyAlignment="1" pivotButton="0" quotePrefix="0" xfId="0">
      <alignment horizontal="center" vertical="center" wrapText="1"/>
    </xf>
    <xf numFmtId="164" fontId="7" fillId="0" borderId="2" applyAlignment="1" pivotButton="0" quotePrefix="0" xfId="0">
      <alignment horizontal="center" vertical="center" wrapText="1"/>
    </xf>
    <xf numFmtId="0" fontId="23" fillId="0" borderId="5" pivotButton="0" quotePrefix="0" xfId="0"/>
    <xf numFmtId="0" fontId="23" fillId="0" borderId="6" pivotButton="0" quotePrefix="0" xfId="0"/>
    <xf numFmtId="0" fontId="25" fillId="2" borderId="0" applyAlignment="1" pivotButton="0" quotePrefix="0" xfId="0">
      <alignment horizontal="center" vertical="center" wrapText="1"/>
    </xf>
    <xf numFmtId="0" fontId="20" fillId="0" borderId="0" applyAlignment="1" pivotButton="0" quotePrefix="0" xfId="0">
      <alignment horizontal="center" vertical="center" wrapText="1"/>
    </xf>
    <xf numFmtId="0" fontId="26" fillId="0" borderId="0" applyAlignment="1" pivotButton="0" quotePrefix="0" xfId="0">
      <alignment horizontal="center" vertical="center" wrapText="1"/>
    </xf>
    <xf numFmtId="0" fontId="5" fillId="0" borderId="0" pivotButton="0" quotePrefix="0" xfId="0"/>
    <xf numFmtId="0" fontId="20" fillId="0" borderId="0" pivotButton="0" quotePrefix="0" xfId="0"/>
    <xf numFmtId="0" fontId="5" fillId="3" borderId="0" pivotButton="0" quotePrefix="0" xfId="0"/>
    <xf numFmtId="0" fontId="27" fillId="0" borderId="0" pivotButton="0" quotePrefix="0" xfId="0"/>
    <xf numFmtId="0" fontId="24" fillId="7" borderId="2" applyAlignment="1" pivotButton="0" quotePrefix="0" xfId="0">
      <alignment horizontal="center" vertical="center" wrapText="1"/>
    </xf>
    <xf numFmtId="0" fontId="28" fillId="0" borderId="0" pivotButton="0" quotePrefix="0" xfId="0"/>
    <xf numFmtId="0" fontId="28" fillId="0" borderId="7" pivotButton="0" quotePrefix="0" xfId="0"/>
    <xf numFmtId="164" fontId="28" fillId="0"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Config/Inc/board_pins.h" TargetMode="External" Id="rId1" /><Relationship Type="http://schemas.openxmlformats.org/officeDocument/2006/relationships/hyperlink" Target="../Charger/charger.c" TargetMode="External" Id="rId2" /><Relationship Type="http://schemas.openxmlformats.org/officeDocument/2006/relationships/hyperlink" Target="../../Bsp/Src/bsp_exti.c" TargetMode="External" Id="rId3" /><Relationship Type="http://schemas.openxmlformats.org/officeDocument/2006/relationships/hyperlink" Target="../Charger/charger.c" TargetMode="External" Id="rId4" /></Relationships>
</file>

<file path=xl/worksheets/_rels/sheet8.xml.rels><Relationships xmlns="http://schemas.openxmlformats.org/package/2006/relationships"><Relationship Type="http://schemas.openxmlformats.org/officeDocument/2006/relationships/hyperlink" Target="Jitter_State_Machine.xlsx" TargetMode="External" Id="rId1" /><Relationship Type="http://schemas.openxmlformats.org/officeDocument/2006/relationships/hyperlink" Target="../../../Documentation/System_State_Machine.xlsx" TargetMode="External" Id="rId2" /><Relationship Type="http://schemas.openxmlformats.org/officeDocument/2006/relationships/hyperlink" Target="../../../tools/make_module_state_machines.py" TargetMode="External" Id="rId3" /></Relationships>
</file>

<file path=xl/worksheets/sheet1.xml><?xml version="1.0" encoding="utf-8"?>
<worksheet xmlns="http://schemas.openxmlformats.org/spreadsheetml/2006/main">
  <sheetPr>
    <tabColor rgb="007F7F7F"/>
    <outlinePr summaryBelow="1" summaryRight="1"/>
    <pageSetUpPr/>
  </sheetPr>
  <dimension ref="A1:A11"/>
  <sheetViews>
    <sheetView rightToLeft="1" workbookViewId="0">
      <pane ySplit="1" topLeftCell="A2" activePane="bottomLeft" state="frozen"/>
      <selection pane="bottomLeft" activeCell="A1" sqref="A1"/>
    </sheetView>
  </sheetViews>
  <sheetFormatPr baseColWidth="8" defaultRowHeight="15"/>
  <cols>
    <col width="110" customWidth="1" min="1" max="1"/>
  </cols>
  <sheetData>
    <row r="1">
      <c r="A1" s="45" t="inlineStr">
        <is>
          <t>برگه تست و اعتبارسنجی عملی ماژول Jitter</t>
        </is>
      </c>
    </row>
    <row r="2">
      <c r="A2" s="46" t="inlineStr">
        <is>
          <t>Jitter | مصرف رویدادهای EXTI مقایسه‌گر LM393 (PB2/PB6) و صف احیای تک‌تک JIT شارژر</t>
        </is>
      </c>
    </row>
    <row r="3" ht="30" customHeight="1">
      <c r="A3" s="47" t="inlineStr">
        <is>
          <t>هدف فایل</t>
        </is>
      </c>
    </row>
    <row r="4">
      <c r="A4" s="46" t="inlineStr"/>
    </row>
    <row r="5">
      <c r="A5" s="46" t="inlineStr">
        <is>
          <t>مقایسه‌گر LM393 خروجی باز (open-collector) دارد.
وقتی جریان از حد رد شود، پایه پایین می‌آید (low).
برنامه روی لبهٔ پایین‌رونده تنظیم شده است و دوباره چک می‌کند که پایه هنوز پایین باشد.</t>
        </is>
      </c>
    </row>
    <row r="6">
      <c r="A6" s="46" t="inlineStr">
        <is>
          <t>گرفتن رویداد اتمیک است (با PRIMASK). پس هیچ رویدادی گم نمی‌شود.</t>
        </is>
      </c>
    </row>
    <row r="7">
      <c r="A7" s="46" t="inlineStr">
        <is>
          <t>احیای کانال‌های تریپ‌شده تک‌تک و به ترتیب انجام می‌شود.</t>
        </is>
      </c>
    </row>
    <row r="8">
      <c r="A8" s="46" t="inlineStr"/>
    </row>
    <row r="9">
      <c r="A9" s="46" t="inlineStr">
        <is>
          <t>هشدار: تریپ عمدی JIT با جریان واقعی فقط با منبع محدودشده و زیر نظارت.</t>
        </is>
      </c>
    </row>
    <row r="10"/>
    <row r="11">
      <c r="A11" s="74" t="inlineStr">
        <is>
          <t>اولویت‌ها ساده‌اند:
«بالا» یعنی اول همین‌ها را تست کن. این‌ها کارهای اصلی دستگاه‌اند: روشن‌شدن، شروع و پایان شارژ، چراغ‌های اصلی، رفتن تغذیه روی برق ورودی و خطاهای اصلی.
«متوسط» یعنی کارهای فرعی ولی کاربردی.
«پایین» یعنی ریزه‌کاری‌ها؛ مثل اثر نوسان کوچک روی ریتم چشمک.
در ستون «چه چیزی باید ببینید تا بگویید درست است» نوشته‌ایم دقیقاً چه باید ببینی یا بشنوی.
اگر چیز دیگری دیدی، وضعیت را «رد» بزن و در «شرح ایراد» بنویس چه دیدی.</t>
        </is>
      </c>
    </row>
  </sheetData>
  <mergeCells count="9">
    <mergeCell ref="A8"/>
    <mergeCell ref="A6"/>
    <mergeCell ref="A9"/>
    <mergeCell ref="A4"/>
    <mergeCell ref="A3"/>
    <mergeCell ref="A7"/>
    <mergeCell ref="A2"/>
    <mergeCell ref="A5"/>
    <mergeCell ref="A1"/>
  </mergeCells>
  <pageMargins left="0.75" right="0.75" top="1" bottom="1" header="0.5" footer="0.5"/>
</worksheet>
</file>

<file path=xl/worksheets/sheet2.xml><?xml version="1.0" encoding="utf-8"?>
<worksheet xmlns="http://schemas.openxmlformats.org/spreadsheetml/2006/main">
  <sheetPr>
    <tabColor rgb="001F4E79"/>
    <outlinePr summaryBelow="1" summaryRight="1"/>
    <pageSetUpPr fitToPage="1"/>
  </sheetPr>
  <dimension ref="A1:Q45"/>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48" t="inlineStr">
        <is>
          <t>برنامهٔ تست عملی — ماژول Jitter</t>
        </is>
      </c>
    </row>
    <row r="2">
      <c r="A2" s="46" t="inlineStr">
        <is>
          <t>وضعیت فقط یکی از: در انتظار / قبول / رد / مسدود / نیاز به تکرار. تست Host جایگزین تست برد نیست.</t>
        </is>
      </c>
    </row>
    <row r="3">
      <c r="A3" s="46" t="inlineStr">
        <is>
          <t>برای هر ردیف پیش‌شرط، ورودی، انتظار و معیار قبولی صریح است؛ نتیجهٔ واقعی فقط با اندازه‌گیری روی برد پر می‌شود.</t>
        </is>
      </c>
    </row>
    <row r="4" ht="30" customHeight="1">
      <c r="A4" s="47" t="inlineStr">
        <is>
          <t>شناسه</t>
        </is>
      </c>
      <c r="B4" s="47" t="inlineStr">
        <is>
          <t>دسته</t>
        </is>
      </c>
      <c r="C4" s="47" t="inlineStr">
        <is>
          <t>اولویت</t>
        </is>
      </c>
      <c r="D4" s="47" t="inlineStr">
        <is>
          <t>پیش‌شرط</t>
        </is>
      </c>
      <c r="E4" s="47" t="inlineStr">
        <is>
          <t>روش اجرای دقیق</t>
        </is>
      </c>
      <c r="F4" s="47" t="inlineStr">
        <is>
          <t>ورودی‌ها / شرایط</t>
        </is>
      </c>
      <c r="G4" s="47" t="inlineStr">
        <is>
          <t>مدت مشاهده</t>
        </is>
      </c>
      <c r="H4" s="47" t="inlineStr">
        <is>
          <t>رفتار مورد انتظار</t>
        </is>
      </c>
      <c r="I4" s="47" t="inlineStr">
        <is>
          <t>می‌ماند یا پاک می‌شود</t>
        </is>
      </c>
      <c r="J4" s="47" t="inlineStr">
        <is>
          <t>چه چیزی باید ببینید تا بگویید درست است</t>
        </is>
      </c>
      <c r="K4" s="47" t="inlineStr">
        <is>
          <t>نتیجهٔ واقعی / اندازه‌گیری</t>
        </is>
      </c>
      <c r="L4" s="47" t="inlineStr">
        <is>
          <t>وضعیت</t>
        </is>
      </c>
      <c r="M4" s="47" t="inlineStr">
        <is>
          <t>شرح ایراد / تفاوت</t>
        </is>
      </c>
      <c r="N4" s="47" t="inlineStr">
        <is>
          <t>مدرک تست</t>
        </is>
      </c>
      <c r="O4" s="47" t="inlineStr">
        <is>
          <t>نسخهٔ برنامه</t>
        </is>
      </c>
      <c r="P4" s="47" t="inlineStr">
        <is>
          <t>نام تست‌کننده</t>
        </is>
      </c>
      <c r="Q4" s="47" t="inlineStr">
        <is>
          <t>تاریخ</t>
        </is>
      </c>
    </row>
    <row r="5" ht="40.5" customHeight="1">
      <c r="A5" s="50" t="inlineStr">
        <is>
          <t>JT-008</t>
        </is>
      </c>
      <c r="B5" s="51" t="inlineStr">
        <is>
          <t>شارژ عادی طولانی بدون تریپ بی‌دلیل</t>
        </is>
      </c>
      <c r="C5" s="52" t="inlineStr">
        <is>
          <t>متوسط</t>
        </is>
      </c>
      <c r="D5" s="51" t="inlineStr">
        <is>
          <t>باتری واقعی وصل و دستگاه در حال شارژ عادی است</t>
        </is>
      </c>
      <c r="E5" s="51" t="inlineStr">
        <is>
          <t>گام ۱: یک شارژ کامل واقعی (چند ساعت) را از اول تا آخر زیر نظر بگیر.
گام ۲: دنبال قطع‌ووصل بی‌دلیل شارژ بگرد.</t>
        </is>
      </c>
      <c r="F5" s="52" t="inlineStr">
        <is>
          <t>یک شارژ کامل واقعی</t>
        </is>
      </c>
      <c r="G5" s="52" t="inlineStr">
        <is>
          <t>چند ساعت</t>
        </is>
      </c>
      <c r="H5" s="51" t="inlineStr">
        <is>
          <t>شارژ از اول تا آخر پیوسته و بدون قطع‌ووصل بی‌دلیل انجام می‌شود</t>
        </is>
      </c>
      <c r="I5" s="51" t="inlineStr">
        <is>
          <t>—</t>
        </is>
      </c>
      <c r="J5" s="51" t="inlineStr">
        <is>
          <t>باید ببینید: شارژ از اول تا آخر پیوسته و بدون قطع‌ووصل بی‌دلیل انجام می‌شود. اگر تریپ بی‌دلیل دیدید، قبول نیست.</t>
        </is>
      </c>
      <c r="K5" s="51" t="n"/>
      <c r="L5" s="53" t="inlineStr">
        <is>
          <t>در انتظار</t>
        </is>
      </c>
      <c r="M5" s="51" t="n"/>
      <c r="N5" s="51" t="n"/>
      <c r="O5" s="52" t="n"/>
      <c r="P5" s="52" t="n"/>
      <c r="Q5" s="54">
        <f>IF(OR(L5="",L5="در انتظار"),"",IF(Q5="",TODAY(),Q5))</f>
        <v/>
      </c>
    </row>
    <row r="6" ht="54" customHeight="1">
      <c r="A6" s="50" t="inlineStr">
        <is>
          <t>JI-015</t>
        </is>
      </c>
      <c r="B6" s="51" t="inlineStr">
        <is>
          <t>پنل دیالوگ مستقل</t>
        </is>
      </c>
      <c r="C6" s="52" t="inlineStr">
        <is>
          <t>پایین</t>
        </is>
      </c>
      <c r="D6" s="51" t="inlineStr">
        <is>
          <t>پنل باز و دستگاه روشن است</t>
        </is>
      </c>
      <c r="E6" s="51" t="inlineStr">
        <is>
          <t>گام ۱: دیالوگ مربوط به جیتر را در پنل باز کن.
گام ۲: یک مقدار را بخوان و ببند؛ ببین بقیهٔ پنل و دستگاه عادی کار می‌کنند.</t>
        </is>
      </c>
      <c r="F6" s="52" t="inlineStr">
        <is>
          <t>باز و بسته‌کردن دیالوگ جیتر در پنل</t>
        </is>
      </c>
      <c r="G6" s="52" t="inlineStr">
        <is>
          <t>دو دقیقه</t>
        </is>
      </c>
      <c r="H6" s="51" t="inlineStr">
        <is>
          <t>دیالوگ مستقل و تمیز کار می‌کند و روی شارژ و چراغ‌ها اثری ندارد</t>
        </is>
      </c>
      <c r="I6" s="51" t="inlineStr">
        <is>
          <t>—</t>
        </is>
      </c>
      <c r="J6" s="51" t="inlineStr">
        <is>
          <t>باید ببینید: دیالوگ مستقل و تمیز کار می‌کند و روی شارژ و چراغ‌ها اثری ندارد. اگر اثری روی بقیه دیدید، قبول نیست.</t>
        </is>
      </c>
      <c r="K6" s="51" t="n"/>
      <c r="L6" s="53" t="inlineStr">
        <is>
          <t>نیاز به تکرار</t>
        </is>
      </c>
      <c r="M6" s="51" t="n"/>
      <c r="N6" s="51" t="n"/>
      <c r="O6" s="52" t="inlineStr">
        <is>
          <t>62f3782</t>
        </is>
      </c>
      <c r="P6" s="52" t="n"/>
      <c r="Q6" s="54">
        <f>IF(OR(L6="",L6="در انتظار"),"",IF(Q6="",TODAY(),Q6))</f>
        <v/>
      </c>
    </row>
    <row r="7">
      <c r="A7" s="75" t="n"/>
      <c r="B7" s="75" t="n"/>
      <c r="C7" s="75" t="n"/>
      <c r="D7" s="75" t="n"/>
      <c r="E7" s="75" t="n"/>
      <c r="F7" s="75" t="n"/>
      <c r="G7" s="75" t="n"/>
      <c r="H7" s="75" t="n"/>
      <c r="I7" s="75" t="n"/>
      <c r="J7" s="75" t="n"/>
      <c r="K7" s="75" t="n"/>
      <c r="L7" s="75" t="n"/>
      <c r="M7" s="75" t="n"/>
      <c r="N7" s="75" t="n"/>
      <c r="O7" s="75" t="n"/>
      <c r="P7" s="75" t="n"/>
      <c r="Q7" s="76" t="n"/>
    </row>
    <row r="8">
      <c r="A8" s="75" t="n"/>
      <c r="B8" s="75" t="n"/>
      <c r="C8" s="75" t="n"/>
      <c r="D8" s="75" t="n"/>
      <c r="E8" s="75" t="n"/>
      <c r="F8" s="75" t="n"/>
      <c r="G8" s="75" t="n"/>
      <c r="H8" s="75" t="n"/>
      <c r="I8" s="75" t="n"/>
      <c r="J8" s="75" t="n"/>
      <c r="K8" s="75" t="n"/>
      <c r="L8" s="75" t="n"/>
      <c r="M8" s="75" t="n"/>
      <c r="N8" s="75" t="n"/>
      <c r="O8" s="75" t="n"/>
      <c r="P8" s="75" t="n"/>
      <c r="Q8" s="76" t="n"/>
    </row>
    <row r="9">
      <c r="A9" s="75" t="n"/>
      <c r="B9" s="75" t="n"/>
      <c r="C9" s="75" t="n"/>
      <c r="D9" s="75" t="n"/>
      <c r="E9" s="75" t="n"/>
      <c r="F9" s="75" t="n"/>
      <c r="G9" s="75" t="n"/>
      <c r="H9" s="75" t="n"/>
      <c r="I9" s="75" t="n"/>
      <c r="J9" s="75" t="n"/>
      <c r="K9" s="75" t="n"/>
      <c r="L9" s="75" t="n"/>
      <c r="M9" s="75" t="n"/>
      <c r="N9" s="75" t="n"/>
      <c r="O9" s="75" t="n"/>
      <c r="P9" s="75" t="n"/>
      <c r="Q9" s="76" t="n"/>
    </row>
    <row r="10">
      <c r="A10" s="75" t="n"/>
      <c r="B10" s="75" t="n"/>
      <c r="C10" s="75" t="n"/>
      <c r="D10" s="75" t="n"/>
      <c r="E10" s="75" t="n"/>
      <c r="F10" s="75" t="n"/>
      <c r="G10" s="75" t="n"/>
      <c r="H10" s="75" t="n"/>
      <c r="I10" s="75" t="n"/>
      <c r="J10" s="75" t="n"/>
      <c r="K10" s="75" t="n"/>
      <c r="L10" s="75" t="n"/>
      <c r="M10" s="75" t="n"/>
      <c r="N10" s="75" t="n"/>
      <c r="O10" s="75" t="n"/>
      <c r="P10" s="75" t="n"/>
      <c r="Q10" s="76" t="n"/>
    </row>
    <row r="11">
      <c r="A11" s="75" t="n"/>
      <c r="B11" s="75" t="n"/>
      <c r="C11" s="75" t="n"/>
      <c r="D11" s="75" t="n"/>
      <c r="E11" s="75" t="n"/>
      <c r="F11" s="75" t="n"/>
      <c r="G11" s="75" t="n"/>
      <c r="H11" s="75" t="n"/>
      <c r="I11" s="75" t="n"/>
      <c r="J11" s="75" t="n"/>
      <c r="K11" s="75" t="n"/>
      <c r="L11" s="75" t="n"/>
      <c r="M11" s="75" t="n"/>
      <c r="N11" s="75" t="n"/>
      <c r="O11" s="75" t="n"/>
      <c r="P11" s="75" t="n"/>
      <c r="Q11" s="76" t="n"/>
    </row>
    <row r="12">
      <c r="A12" s="75" t="n"/>
      <c r="B12" s="75" t="n"/>
      <c r="C12" s="75" t="n"/>
      <c r="D12" s="75" t="n"/>
      <c r="E12" s="75" t="n"/>
      <c r="F12" s="75" t="n"/>
      <c r="G12" s="75" t="n"/>
      <c r="H12" s="75" t="n"/>
      <c r="I12" s="75" t="n"/>
      <c r="J12" s="75" t="n"/>
      <c r="K12" s="75" t="n"/>
      <c r="L12" s="75" t="n"/>
      <c r="M12" s="75" t="n"/>
      <c r="N12" s="75" t="n"/>
      <c r="O12" s="75" t="n"/>
      <c r="P12" s="75" t="n"/>
      <c r="Q12" s="76" t="n"/>
    </row>
    <row r="13">
      <c r="A13" s="75" t="n"/>
      <c r="B13" s="75" t="n"/>
      <c r="C13" s="75" t="n"/>
      <c r="D13" s="75" t="n"/>
      <c r="E13" s="75" t="n"/>
      <c r="F13" s="75" t="n"/>
      <c r="G13" s="75" t="n"/>
      <c r="H13" s="75" t="n"/>
      <c r="I13" s="75" t="n"/>
      <c r="J13" s="75" t="n"/>
      <c r="K13" s="75" t="n"/>
      <c r="L13" s="75" t="n"/>
      <c r="M13" s="75" t="n"/>
      <c r="N13" s="75" t="n"/>
      <c r="O13" s="75" t="n"/>
      <c r="P13" s="75" t="n"/>
      <c r="Q13" s="76" t="n"/>
    </row>
    <row r="14">
      <c r="A14" s="75" t="n"/>
      <c r="B14" s="75" t="n"/>
      <c r="C14" s="75" t="n"/>
      <c r="D14" s="75" t="n"/>
      <c r="E14" s="75" t="n"/>
      <c r="F14" s="75" t="n"/>
      <c r="G14" s="75" t="n"/>
      <c r="H14" s="75" t="n"/>
      <c r="I14" s="75" t="n"/>
      <c r="J14" s="75" t="n"/>
      <c r="K14" s="75" t="n"/>
      <c r="L14" s="75" t="n"/>
      <c r="M14" s="75" t="n"/>
      <c r="N14" s="75" t="n"/>
      <c r="O14" s="75" t="n"/>
      <c r="P14" s="75" t="n"/>
      <c r="Q14" s="76" t="n"/>
    </row>
    <row r="15">
      <c r="A15" s="75" t="n"/>
      <c r="B15" s="75" t="n"/>
      <c r="C15" s="75" t="n"/>
      <c r="D15" s="75" t="n"/>
      <c r="E15" s="75" t="n"/>
      <c r="F15" s="75" t="n"/>
      <c r="G15" s="75" t="n"/>
      <c r="H15" s="75" t="n"/>
      <c r="I15" s="75" t="n"/>
      <c r="J15" s="75" t="n"/>
      <c r="K15" s="75" t="n"/>
      <c r="L15" s="75" t="n"/>
      <c r="M15" s="75" t="n"/>
      <c r="N15" s="75" t="n"/>
      <c r="O15" s="75" t="n"/>
      <c r="P15" s="75" t="n"/>
      <c r="Q15" s="76" t="n"/>
    </row>
    <row r="16">
      <c r="A16" s="75" t="n"/>
      <c r="B16" s="75" t="n"/>
      <c r="C16" s="75" t="n"/>
      <c r="D16" s="75" t="n"/>
      <c r="E16" s="75" t="n"/>
      <c r="F16" s="75" t="n"/>
      <c r="G16" s="75" t="n"/>
      <c r="H16" s="75" t="n"/>
      <c r="I16" s="75" t="n"/>
      <c r="J16" s="75" t="n"/>
      <c r="K16" s="75" t="n"/>
      <c r="L16" s="75" t="n"/>
      <c r="M16" s="75" t="n"/>
      <c r="N16" s="75" t="n"/>
      <c r="O16" s="75" t="n"/>
      <c r="P16" s="75" t="n"/>
      <c r="Q16" s="76" t="n"/>
    </row>
    <row r="17">
      <c r="A17" s="75" t="n"/>
      <c r="B17" s="75" t="n"/>
      <c r="C17" s="75" t="n"/>
      <c r="D17" s="75" t="n"/>
      <c r="E17" s="75" t="n"/>
      <c r="F17" s="75" t="n"/>
      <c r="G17" s="75" t="n"/>
      <c r="H17" s="75" t="n"/>
      <c r="I17" s="75" t="n"/>
      <c r="J17" s="75" t="n"/>
      <c r="K17" s="75" t="n"/>
      <c r="L17" s="75" t="n"/>
      <c r="M17" s="75" t="n"/>
      <c r="N17" s="75" t="n"/>
      <c r="O17" s="75" t="n"/>
      <c r="P17" s="75" t="n"/>
      <c r="Q17" s="76" t="n"/>
    </row>
    <row r="18">
      <c r="A18" s="75" t="n"/>
      <c r="B18" s="75" t="n"/>
      <c r="C18" s="75" t="n"/>
      <c r="D18" s="75" t="n"/>
      <c r="E18" s="75" t="n"/>
      <c r="F18" s="75" t="n"/>
      <c r="G18" s="75" t="n"/>
      <c r="H18" s="75" t="n"/>
      <c r="I18" s="75" t="n"/>
      <c r="J18" s="75" t="n"/>
      <c r="K18" s="75" t="n"/>
      <c r="L18" s="75" t="n"/>
      <c r="M18" s="75" t="n"/>
      <c r="N18" s="75" t="n"/>
      <c r="O18" s="75" t="n"/>
      <c r="P18" s="75" t="n"/>
      <c r="Q18" s="76" t="n"/>
    </row>
    <row r="19">
      <c r="A19" s="75" t="n"/>
      <c r="B19" s="75" t="n"/>
      <c r="C19" s="75" t="n"/>
      <c r="D19" s="75" t="n"/>
      <c r="E19" s="75" t="n"/>
      <c r="F19" s="75" t="n"/>
      <c r="G19" s="75" t="n"/>
      <c r="H19" s="75" t="n"/>
      <c r="I19" s="75" t="n"/>
      <c r="J19" s="75" t="n"/>
      <c r="K19" s="75" t="n"/>
      <c r="L19" s="75" t="n"/>
      <c r="M19" s="75" t="n"/>
      <c r="N19" s="75" t="n"/>
      <c r="O19" s="75" t="n"/>
      <c r="P19" s="75" t="n"/>
      <c r="Q19" s="76" t="n"/>
    </row>
    <row r="20">
      <c r="A20" s="75" t="n"/>
      <c r="B20" s="75" t="n"/>
      <c r="C20" s="75" t="n"/>
      <c r="D20" s="75" t="n"/>
      <c r="E20" s="75" t="n"/>
      <c r="F20" s="75" t="n"/>
      <c r="G20" s="75" t="n"/>
      <c r="H20" s="75" t="n"/>
      <c r="I20" s="75" t="n"/>
      <c r="J20" s="75" t="n"/>
      <c r="K20" s="75" t="n"/>
      <c r="L20" s="75" t="n"/>
      <c r="M20" s="75" t="n"/>
      <c r="N20" s="75" t="n"/>
      <c r="O20" s="75" t="n"/>
      <c r="P20" s="75" t="n"/>
      <c r="Q20" s="76" t="n"/>
    </row>
    <row r="21">
      <c r="A21" s="75" t="n"/>
      <c r="B21" s="75" t="n"/>
      <c r="C21" s="75" t="n"/>
      <c r="D21" s="75" t="n"/>
      <c r="E21" s="75" t="n"/>
      <c r="F21" s="75" t="n"/>
      <c r="G21" s="75" t="n"/>
      <c r="H21" s="75" t="n"/>
      <c r="I21" s="75" t="n"/>
      <c r="J21" s="75" t="n"/>
      <c r="K21" s="75" t="n"/>
      <c r="L21" s="75" t="n"/>
      <c r="M21" s="75" t="n"/>
      <c r="N21" s="75" t="n"/>
      <c r="O21" s="75" t="n"/>
      <c r="P21" s="75" t="n"/>
      <c r="Q21" s="76" t="n"/>
    </row>
    <row r="22">
      <c r="A22" s="75" t="n"/>
      <c r="B22" s="75" t="n"/>
      <c r="C22" s="75" t="n"/>
      <c r="D22" s="75" t="n"/>
      <c r="E22" s="75" t="n"/>
      <c r="F22" s="75" t="n"/>
      <c r="G22" s="75" t="n"/>
      <c r="H22" s="75" t="n"/>
      <c r="I22" s="75" t="n"/>
      <c r="J22" s="75" t="n"/>
      <c r="K22" s="75" t="n"/>
      <c r="L22" s="75" t="n"/>
      <c r="M22" s="75" t="n"/>
      <c r="N22" s="75" t="n"/>
      <c r="O22" s="75" t="n"/>
      <c r="P22" s="75" t="n"/>
      <c r="Q22" s="76" t="n"/>
    </row>
    <row r="23">
      <c r="A23" s="75" t="n"/>
      <c r="B23" s="75" t="n"/>
      <c r="C23" s="75" t="n"/>
      <c r="D23" s="75" t="n"/>
      <c r="E23" s="75" t="n"/>
      <c r="F23" s="75" t="n"/>
      <c r="G23" s="75" t="n"/>
      <c r="H23" s="75" t="n"/>
      <c r="I23" s="75" t="n"/>
      <c r="J23" s="75" t="n"/>
      <c r="K23" s="75" t="n"/>
      <c r="L23" s="75" t="n"/>
      <c r="M23" s="75" t="n"/>
      <c r="N23" s="75" t="n"/>
      <c r="O23" s="75" t="n"/>
      <c r="P23" s="75" t="n"/>
      <c r="Q23" s="76" t="n"/>
    </row>
    <row r="24">
      <c r="A24" s="75" t="n"/>
      <c r="B24" s="75" t="n"/>
      <c r="C24" s="75" t="n"/>
      <c r="D24" s="75" t="n"/>
      <c r="E24" s="75" t="n"/>
      <c r="F24" s="75" t="n"/>
      <c r="G24" s="75" t="n"/>
      <c r="H24" s="75" t="n"/>
      <c r="I24" s="75" t="n"/>
      <c r="J24" s="75" t="n"/>
      <c r="K24" s="75" t="n"/>
      <c r="L24" s="75" t="n"/>
      <c r="M24" s="75" t="n"/>
      <c r="N24" s="75" t="n"/>
      <c r="O24" s="75" t="n"/>
      <c r="P24" s="75" t="n"/>
      <c r="Q24" s="76" t="n"/>
    </row>
    <row r="25">
      <c r="A25" s="75" t="n"/>
      <c r="B25" s="75" t="n"/>
      <c r="C25" s="75" t="n"/>
      <c r="D25" s="75" t="n"/>
      <c r="E25" s="75" t="n"/>
      <c r="F25" s="75" t="n"/>
      <c r="G25" s="75" t="n"/>
      <c r="H25" s="75" t="n"/>
      <c r="I25" s="75" t="n"/>
      <c r="J25" s="75" t="n"/>
      <c r="K25" s="75" t="n"/>
      <c r="L25" s="75" t="n"/>
      <c r="M25" s="75" t="n"/>
      <c r="N25" s="75" t="n"/>
      <c r="O25" s="75" t="n"/>
      <c r="P25" s="75" t="n"/>
      <c r="Q25" s="76" t="n"/>
    </row>
    <row r="26">
      <c r="A26" s="75" t="n"/>
      <c r="B26" s="75" t="n"/>
      <c r="C26" s="75" t="n"/>
      <c r="D26" s="75" t="n"/>
      <c r="E26" s="75" t="n"/>
      <c r="F26" s="75" t="n"/>
      <c r="G26" s="75" t="n"/>
      <c r="H26" s="75" t="n"/>
      <c r="I26" s="75" t="n"/>
      <c r="J26" s="75" t="n"/>
      <c r="K26" s="75" t="n"/>
      <c r="L26" s="75" t="n"/>
      <c r="M26" s="75" t="n"/>
      <c r="N26" s="75" t="n"/>
      <c r="O26" s="75" t="n"/>
      <c r="P26" s="75" t="n"/>
      <c r="Q26" s="76" t="n"/>
    </row>
    <row r="27">
      <c r="A27" s="75" t="n"/>
      <c r="B27" s="75" t="n"/>
      <c r="C27" s="75" t="n"/>
      <c r="D27" s="75" t="n"/>
      <c r="E27" s="75" t="n"/>
      <c r="F27" s="75" t="n"/>
      <c r="G27" s="75" t="n"/>
      <c r="H27" s="75" t="n"/>
      <c r="I27" s="75" t="n"/>
      <c r="J27" s="75" t="n"/>
      <c r="K27" s="75" t="n"/>
      <c r="L27" s="75" t="n"/>
      <c r="M27" s="75" t="n"/>
      <c r="N27" s="75" t="n"/>
      <c r="O27" s="75" t="n"/>
      <c r="P27" s="75" t="n"/>
      <c r="Q27" s="76" t="n"/>
    </row>
    <row r="28">
      <c r="A28" s="75" t="n"/>
      <c r="B28" s="75" t="n"/>
      <c r="C28" s="75" t="n"/>
      <c r="D28" s="75" t="n"/>
      <c r="E28" s="75" t="n"/>
      <c r="F28" s="75" t="n"/>
      <c r="G28" s="75" t="n"/>
      <c r="H28" s="75" t="n"/>
      <c r="I28" s="75" t="n"/>
      <c r="J28" s="75" t="n"/>
      <c r="K28" s="75" t="n"/>
      <c r="L28" s="75" t="n"/>
      <c r="M28" s="75" t="n"/>
      <c r="N28" s="75" t="n"/>
      <c r="O28" s="75" t="n"/>
      <c r="P28" s="75" t="n"/>
      <c r="Q28" s="76" t="n"/>
    </row>
    <row r="29">
      <c r="A29" s="75" t="n"/>
      <c r="B29" s="75" t="n"/>
      <c r="C29" s="75" t="n"/>
      <c r="D29" s="75" t="n"/>
      <c r="E29" s="75" t="n"/>
      <c r="F29" s="75" t="n"/>
      <c r="G29" s="75" t="n"/>
      <c r="H29" s="75" t="n"/>
      <c r="I29" s="75" t="n"/>
      <c r="J29" s="75" t="n"/>
      <c r="K29" s="75" t="n"/>
      <c r="L29" s="75" t="n"/>
      <c r="M29" s="75" t="n"/>
      <c r="N29" s="75" t="n"/>
      <c r="O29" s="75" t="n"/>
      <c r="P29" s="75" t="n"/>
      <c r="Q29" s="76" t="n"/>
    </row>
    <row r="30">
      <c r="A30" s="75" t="n"/>
      <c r="B30" s="75" t="n"/>
      <c r="C30" s="75" t="n"/>
      <c r="D30" s="75" t="n"/>
      <c r="E30" s="75" t="n"/>
      <c r="F30" s="75" t="n"/>
      <c r="G30" s="75" t="n"/>
      <c r="H30" s="75" t="n"/>
      <c r="I30" s="75" t="n"/>
      <c r="J30" s="75" t="n"/>
      <c r="K30" s="75" t="n"/>
      <c r="L30" s="75" t="n"/>
      <c r="M30" s="75" t="n"/>
      <c r="N30" s="75" t="n"/>
      <c r="O30" s="75" t="n"/>
      <c r="P30" s="75" t="n"/>
      <c r="Q30" s="76" t="n"/>
    </row>
    <row r="31">
      <c r="A31" s="75" t="n"/>
      <c r="B31" s="75" t="n"/>
      <c r="C31" s="75" t="n"/>
      <c r="D31" s="75" t="n"/>
      <c r="E31" s="75" t="n"/>
      <c r="F31" s="75" t="n"/>
      <c r="G31" s="75" t="n"/>
      <c r="H31" s="75" t="n"/>
      <c r="I31" s="75" t="n"/>
      <c r="J31" s="75" t="n"/>
      <c r="K31" s="75" t="n"/>
      <c r="L31" s="75" t="n"/>
      <c r="M31" s="75" t="n"/>
      <c r="N31" s="75" t="n"/>
      <c r="O31" s="75" t="n"/>
      <c r="P31" s="75" t="n"/>
      <c r="Q31" s="76" t="n"/>
    </row>
    <row r="32">
      <c r="A32" s="75" t="n"/>
      <c r="B32" s="75" t="n"/>
      <c r="C32" s="75" t="n"/>
      <c r="D32" s="75" t="n"/>
      <c r="E32" s="75" t="n"/>
      <c r="F32" s="75" t="n"/>
      <c r="G32" s="75" t="n"/>
      <c r="H32" s="75" t="n"/>
      <c r="I32" s="75" t="n"/>
      <c r="J32" s="75" t="n"/>
      <c r="K32" s="75" t="n"/>
      <c r="L32" s="75" t="n"/>
      <c r="M32" s="75" t="n"/>
      <c r="N32" s="75" t="n"/>
      <c r="O32" s="75" t="n"/>
      <c r="P32" s="75" t="n"/>
      <c r="Q32" s="76" t="n"/>
    </row>
    <row r="33">
      <c r="A33" s="75" t="n"/>
      <c r="B33" s="75" t="n"/>
      <c r="C33" s="75" t="n"/>
      <c r="D33" s="75" t="n"/>
      <c r="E33" s="75" t="n"/>
      <c r="F33" s="75" t="n"/>
      <c r="G33" s="75" t="n"/>
      <c r="H33" s="75" t="n"/>
      <c r="I33" s="75" t="n"/>
      <c r="J33" s="75" t="n"/>
      <c r="K33" s="75" t="n"/>
      <c r="L33" s="75" t="n"/>
      <c r="M33" s="75" t="n"/>
      <c r="N33" s="75" t="n"/>
      <c r="O33" s="75" t="n"/>
      <c r="P33" s="75" t="n"/>
      <c r="Q33" s="76" t="n"/>
    </row>
    <row r="34">
      <c r="A34" s="75" t="n"/>
      <c r="B34" s="75" t="n"/>
      <c r="C34" s="75" t="n"/>
      <c r="D34" s="75" t="n"/>
      <c r="E34" s="75" t="n"/>
      <c r="F34" s="75" t="n"/>
      <c r="G34" s="75" t="n"/>
      <c r="H34" s="75" t="n"/>
      <c r="I34" s="75" t="n"/>
      <c r="J34" s="75" t="n"/>
      <c r="K34" s="75" t="n"/>
      <c r="L34" s="75" t="n"/>
      <c r="M34" s="75" t="n"/>
      <c r="N34" s="75" t="n"/>
      <c r="O34" s="75" t="n"/>
      <c r="P34" s="75" t="n"/>
      <c r="Q34" s="76" t="n"/>
    </row>
    <row r="35">
      <c r="A35" s="75" t="n"/>
      <c r="B35" s="75" t="n"/>
      <c r="C35" s="75" t="n"/>
      <c r="D35" s="75" t="n"/>
      <c r="E35" s="75" t="n"/>
      <c r="F35" s="75" t="n"/>
      <c r="G35" s="75" t="n"/>
      <c r="H35" s="75" t="n"/>
      <c r="I35" s="75" t="n"/>
      <c r="J35" s="75" t="n"/>
      <c r="K35" s="75" t="n"/>
      <c r="L35" s="75" t="n"/>
      <c r="M35" s="75" t="n"/>
      <c r="N35" s="75" t="n"/>
      <c r="O35" s="75" t="n"/>
      <c r="P35" s="75" t="n"/>
      <c r="Q35" s="76" t="n"/>
    </row>
    <row r="36">
      <c r="A36" s="75" t="n"/>
      <c r="B36" s="75" t="n"/>
      <c r="C36" s="75" t="n"/>
      <c r="D36" s="75" t="n"/>
      <c r="E36" s="75" t="n"/>
      <c r="F36" s="75" t="n"/>
      <c r="G36" s="75" t="n"/>
      <c r="H36" s="75" t="n"/>
      <c r="I36" s="75" t="n"/>
      <c r="J36" s="75" t="n"/>
      <c r="K36" s="75" t="n"/>
      <c r="L36" s="75" t="n"/>
      <c r="M36" s="75" t="n"/>
      <c r="N36" s="75" t="n"/>
      <c r="O36" s="75" t="n"/>
      <c r="P36" s="75" t="n"/>
      <c r="Q36" s="76" t="n"/>
    </row>
    <row r="37">
      <c r="A37" s="75" t="n"/>
      <c r="B37" s="75" t="n"/>
      <c r="C37" s="75" t="n"/>
      <c r="D37" s="75" t="n"/>
      <c r="E37" s="75" t="n"/>
      <c r="F37" s="75" t="n"/>
      <c r="G37" s="75" t="n"/>
      <c r="H37" s="75" t="n"/>
      <c r="I37" s="75" t="n"/>
      <c r="J37" s="75" t="n"/>
      <c r="K37" s="75" t="n"/>
      <c r="L37" s="75" t="n"/>
      <c r="M37" s="75" t="n"/>
      <c r="N37" s="75" t="n"/>
      <c r="O37" s="75" t="n"/>
      <c r="P37" s="75" t="n"/>
      <c r="Q37" s="76" t="n"/>
    </row>
    <row r="38">
      <c r="A38" s="75" t="n"/>
      <c r="B38" s="75" t="n"/>
      <c r="C38" s="75" t="n"/>
      <c r="D38" s="75" t="n"/>
      <c r="E38" s="75" t="n"/>
      <c r="F38" s="75" t="n"/>
      <c r="G38" s="75" t="n"/>
      <c r="H38" s="75" t="n"/>
      <c r="I38" s="75" t="n"/>
      <c r="J38" s="75" t="n"/>
      <c r="K38" s="75" t="n"/>
      <c r="L38" s="75" t="n"/>
      <c r="M38" s="75" t="n"/>
      <c r="N38" s="75" t="n"/>
      <c r="O38" s="75" t="n"/>
      <c r="P38" s="75" t="n"/>
      <c r="Q38" s="76" t="n"/>
    </row>
    <row r="39">
      <c r="A39" s="75" t="n"/>
      <c r="B39" s="75" t="n"/>
      <c r="C39" s="75" t="n"/>
      <c r="D39" s="75" t="n"/>
      <c r="E39" s="75" t="n"/>
      <c r="F39" s="75" t="n"/>
      <c r="G39" s="75" t="n"/>
      <c r="H39" s="75" t="n"/>
      <c r="I39" s="75" t="n"/>
      <c r="J39" s="75" t="n"/>
      <c r="K39" s="75" t="n"/>
      <c r="L39" s="75" t="n"/>
      <c r="M39" s="75" t="n"/>
      <c r="N39" s="75" t="n"/>
      <c r="O39" s="75" t="n"/>
      <c r="P39" s="75" t="n"/>
      <c r="Q39" s="76" t="n"/>
    </row>
    <row r="40">
      <c r="A40" s="75" t="n"/>
      <c r="B40" s="75" t="n"/>
      <c r="C40" s="75" t="n"/>
      <c r="D40" s="75" t="n"/>
      <c r="E40" s="75" t="n"/>
      <c r="F40" s="75" t="n"/>
      <c r="G40" s="75" t="n"/>
      <c r="H40" s="75" t="n"/>
      <c r="I40" s="75" t="n"/>
      <c r="J40" s="75" t="n"/>
      <c r="K40" s="75" t="n"/>
      <c r="L40" s="75" t="n"/>
      <c r="M40" s="75" t="n"/>
      <c r="N40" s="75" t="n"/>
      <c r="O40" s="75" t="n"/>
      <c r="P40" s="75" t="n"/>
      <c r="Q40" s="76" t="n"/>
    </row>
    <row r="41">
      <c r="A41" s="75" t="n"/>
      <c r="B41" s="75" t="n"/>
      <c r="C41" s="75" t="n"/>
      <c r="D41" s="75" t="n"/>
      <c r="E41" s="75" t="n"/>
      <c r="F41" s="75" t="n"/>
      <c r="G41" s="75" t="n"/>
      <c r="H41" s="75" t="n"/>
      <c r="I41" s="75" t="n"/>
      <c r="J41" s="75" t="n"/>
      <c r="K41" s="75" t="n"/>
      <c r="L41" s="75" t="n"/>
      <c r="M41" s="75" t="n"/>
      <c r="N41" s="75" t="n"/>
      <c r="O41" s="75" t="n"/>
      <c r="P41" s="75" t="n"/>
      <c r="Q41" s="76" t="n"/>
    </row>
    <row r="42">
      <c r="A42" s="75" t="n"/>
      <c r="B42" s="75" t="n"/>
      <c r="C42" s="75" t="n"/>
      <c r="D42" s="75" t="n"/>
      <c r="E42" s="75" t="n"/>
      <c r="F42" s="75" t="n"/>
      <c r="G42" s="75" t="n"/>
      <c r="H42" s="75" t="n"/>
      <c r="I42" s="75" t="n"/>
      <c r="J42" s="75" t="n"/>
      <c r="K42" s="75" t="n"/>
      <c r="L42" s="75" t="n"/>
      <c r="M42" s="75" t="n"/>
      <c r="N42" s="75" t="n"/>
      <c r="O42" s="75" t="n"/>
      <c r="P42" s="75" t="n"/>
      <c r="Q42" s="76" t="n"/>
    </row>
    <row r="43">
      <c r="A43" s="75" t="n"/>
      <c r="B43" s="75" t="n"/>
      <c r="C43" s="75" t="n"/>
      <c r="D43" s="75" t="n"/>
      <c r="E43" s="75" t="n"/>
      <c r="F43" s="75" t="n"/>
      <c r="G43" s="75" t="n"/>
      <c r="H43" s="75" t="n"/>
      <c r="I43" s="75" t="n"/>
      <c r="J43" s="75" t="n"/>
      <c r="K43" s="75" t="n"/>
      <c r="L43" s="75" t="n"/>
      <c r="M43" s="75" t="n"/>
      <c r="N43" s="75" t="n"/>
      <c r="O43" s="75" t="n"/>
      <c r="P43" s="75" t="n"/>
      <c r="Q43" s="76" t="n"/>
    </row>
    <row r="44">
      <c r="A44" s="75" t="n"/>
      <c r="B44" s="75" t="n"/>
      <c r="C44" s="75" t="n"/>
      <c r="D44" s="75" t="n"/>
      <c r="E44" s="75" t="n"/>
      <c r="F44" s="75" t="n"/>
      <c r="G44" s="75" t="n"/>
      <c r="H44" s="75" t="n"/>
      <c r="I44" s="75" t="n"/>
      <c r="J44" s="75" t="n"/>
      <c r="K44" s="75" t="n"/>
      <c r="L44" s="75" t="n"/>
      <c r="M44" s="75" t="n"/>
      <c r="N44" s="75" t="n"/>
      <c r="O44" s="75" t="n"/>
      <c r="P44" s="75" t="n"/>
      <c r="Q44" s="76" t="n"/>
    </row>
    <row r="45">
      <c r="A45" s="75" t="n"/>
      <c r="B45" s="75" t="n"/>
      <c r="C45" s="75" t="n"/>
      <c r="D45" s="75" t="n"/>
      <c r="E45" s="75" t="n"/>
      <c r="F45" s="75" t="n"/>
      <c r="G45" s="75" t="n"/>
      <c r="H45" s="75" t="n"/>
      <c r="I45" s="75" t="n"/>
      <c r="J45" s="75" t="n"/>
      <c r="K45" s="75" t="n"/>
      <c r="L45" s="75" t="n"/>
      <c r="M45" s="75" t="n"/>
      <c r="N45" s="75" t="n"/>
      <c r="O45" s="75" t="n"/>
      <c r="P45" s="75" t="n"/>
      <c r="Q45" s="76" t="n"/>
    </row>
  </sheetData>
  <autoFilter ref="A4:Q50"/>
  <mergeCells count="3">
    <mergeCell ref="A3:Q3"/>
    <mergeCell ref="A2:Q2"/>
    <mergeCell ref="A1:Q1"/>
  </mergeCells>
  <dataValidations count="2">
    <dataValidation sqref="C5:C6" showDropDown="0" showInputMessage="0" showErrorMessage="0" allowBlank="1" type="list">
      <formula1>='فهرست‌ها'!$B$9:$B$11</formula1>
    </dataValidation>
    <dataValidation sqref="L5:L6"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tabColor rgb="00808080"/>
    <outlinePr summaryBelow="1" summaryRight="1"/>
    <pageSetUpPr fitToPage="1"/>
  </sheetPr>
  <dimension ref="A1:Q26"/>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56" t="inlineStr">
        <is>
          <t>تست‌های برنامه‌نویسی و هاست (جدا از ولیدیشن عملی برد)</t>
        </is>
      </c>
      <c r="B1" s="49" t="n"/>
      <c r="C1" s="49" t="n"/>
      <c r="D1" s="49" t="n"/>
      <c r="E1" s="49" t="n"/>
      <c r="F1" s="49" t="n"/>
      <c r="G1" s="49" t="n"/>
      <c r="H1" s="49" t="n"/>
      <c r="I1" s="49" t="n"/>
      <c r="J1" s="49" t="n"/>
      <c r="K1" s="49" t="n"/>
      <c r="L1" s="49" t="n"/>
      <c r="M1" s="49" t="n"/>
      <c r="N1" s="49" t="n"/>
      <c r="O1" s="49" t="n"/>
      <c r="P1" s="49" t="n"/>
      <c r="Q1" s="49" t="n"/>
    </row>
    <row r="2" ht="42" customHeight="1">
      <c r="A2" s="49" t="n"/>
      <c r="B2" s="57"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49" t="n"/>
      <c r="D2" s="49" t="n"/>
      <c r="E2" s="49" t="n"/>
      <c r="F2" s="49" t="n"/>
      <c r="G2" s="49" t="n"/>
      <c r="H2" s="49" t="n"/>
      <c r="I2" s="49" t="n"/>
      <c r="J2" s="49" t="n"/>
      <c r="K2" s="49" t="n"/>
      <c r="L2" s="49" t="n"/>
      <c r="M2" s="49" t="n"/>
      <c r="N2" s="49" t="n"/>
      <c r="O2" s="49" t="n"/>
      <c r="P2" s="49" t="n"/>
      <c r="Q2" s="49" t="n"/>
    </row>
    <row r="3">
      <c r="A3" s="49" t="n"/>
      <c r="B3" s="49" t="n"/>
      <c r="C3" s="49" t="n"/>
      <c r="D3" s="49" t="n"/>
      <c r="E3" s="49" t="n"/>
      <c r="F3" s="49" t="n"/>
      <c r="G3" s="49" t="n"/>
      <c r="H3" s="49" t="n"/>
      <c r="I3" s="49" t="n"/>
      <c r="J3" s="49" t="n"/>
      <c r="K3" s="49" t="n"/>
      <c r="L3" s="49" t="n"/>
      <c r="M3" s="49" t="n"/>
      <c r="N3" s="49" t="n"/>
      <c r="O3" s="49" t="n"/>
      <c r="P3" s="49" t="n"/>
      <c r="Q3" s="49" t="n"/>
    </row>
    <row r="4" ht="30" customHeight="1">
      <c r="A4" s="47" t="inlineStr">
        <is>
          <t>شناسه</t>
        </is>
      </c>
      <c r="B4" s="47" t="inlineStr">
        <is>
          <t>دسته</t>
        </is>
      </c>
      <c r="C4" s="47" t="inlineStr">
        <is>
          <t>اولویت</t>
        </is>
      </c>
      <c r="D4" s="47" t="inlineStr">
        <is>
          <t>پیش‌شرط</t>
        </is>
      </c>
      <c r="E4" s="47" t="inlineStr">
        <is>
          <t>روش اجرای دقیق</t>
        </is>
      </c>
      <c r="F4" s="47" t="inlineStr">
        <is>
          <t>ورودی‌ها / شرایط</t>
        </is>
      </c>
      <c r="G4" s="47" t="inlineStr">
        <is>
          <t>مدت مشاهده</t>
        </is>
      </c>
      <c r="H4" s="47" t="inlineStr">
        <is>
          <t>رفتار مورد انتظار</t>
        </is>
      </c>
      <c r="I4" s="47" t="inlineStr">
        <is>
          <t>می‌ماند یا پاک می‌شود</t>
        </is>
      </c>
      <c r="J4" s="47" t="inlineStr">
        <is>
          <t>معیار قبولی</t>
        </is>
      </c>
      <c r="K4" s="47" t="inlineStr">
        <is>
          <t>نتیجهٔ واقعی / اندازه‌گیری</t>
        </is>
      </c>
      <c r="L4" s="47" t="inlineStr">
        <is>
          <t>وضعیت</t>
        </is>
      </c>
      <c r="M4" s="47" t="inlineStr">
        <is>
          <t>شرح ایراد / تفاوت</t>
        </is>
      </c>
      <c r="N4" s="47" t="inlineStr">
        <is>
          <t>مدرک تست</t>
        </is>
      </c>
      <c r="O4" s="47" t="inlineStr">
        <is>
          <t>نسخهٔ برنامه</t>
        </is>
      </c>
      <c r="P4" s="47" t="inlineStr">
        <is>
          <t>نام تست‌کننده</t>
        </is>
      </c>
      <c r="Q4" s="47" t="inlineStr">
        <is>
          <t>تاریخ</t>
        </is>
      </c>
    </row>
    <row r="5" ht="54" customHeight="1">
      <c r="A5" s="50" t="inlineStr">
        <is>
          <t>JT-001</t>
        </is>
      </c>
      <c r="B5" s="58" t="inlineStr">
        <is>
          <t>نگاشت EXTI</t>
        </is>
      </c>
      <c r="C5" s="59" t="inlineStr">
        <is>
          <t>بالا</t>
        </is>
      </c>
      <c r="D5" s="58" t="inlineStr">
        <is>
          <t>برد خاموش</t>
        </is>
      </c>
      <c r="E5" s="60" t="inlineStr">
        <is>
          <t>گام ۱: شماتیک برد و فایل board_pins.h را کنار کد بگذار.
گام ۲: این نگاشت‌ها را یکی‌یکی چک کن: PB2 = JITTER1 و PB6 = JITTER2.
گام ۳: قطبیت را هم چک کن: هر دو باید لبهٔ پایین‌رونده (falling) و active-low باشند.
گام ۴: قبولی فقط با تطابق کامل هر دو پایه است.</t>
        </is>
      </c>
      <c r="F5" s="61" t="inlineStr">
        <is>
          <t>PB2=JITTER1، PB6=JITTER2</t>
        </is>
      </c>
      <c r="G5" s="61" t="inlineStr">
        <is>
          <t>—</t>
        </is>
      </c>
      <c r="H5" s="58" t="inlineStr">
        <is>
          <t>نگاشت درست؛ falling edge؛ active-low</t>
        </is>
      </c>
      <c r="I5" s="58" t="inlineStr">
        <is>
          <t>ثابت</t>
        </is>
      </c>
      <c r="J5" s="58" t="inlineStr">
        <is>
          <t>PASS: تطابق</t>
        </is>
      </c>
      <c r="K5" s="58" t="n"/>
      <c r="L5" s="62" t="inlineStr">
        <is>
          <t>در انتظار</t>
        </is>
      </c>
      <c r="M5" s="58" t="n"/>
      <c r="N5" s="58" t="n"/>
      <c r="O5" s="61" t="inlineStr">
        <is>
          <t>(بعد از تست پر شود)</t>
        </is>
      </c>
      <c r="P5" s="61" t="n"/>
      <c r="Q5" s="63" t="inlineStr">
        <is>
          <t>2026-09-23</t>
        </is>
      </c>
    </row>
    <row r="6" ht="40.5" customHeight="1">
      <c r="A6" s="50" t="inlineStr">
        <is>
          <t>JT-003</t>
        </is>
      </c>
      <c r="B6" s="58" t="inlineStr">
        <is>
          <t>اتمیک TakeEvent</t>
        </is>
      </c>
      <c r="C6" s="59" t="inlineStr">
        <is>
          <t>بالا</t>
        </is>
      </c>
      <c r="D6" s="58" t="inlineStr">
        <is>
          <t>شارژ فعال</t>
        </is>
      </c>
      <c r="E6" s="58" t="inlineStr">
        <is>
          <t>گام ۱: شارژ فعال باشد.
گام ۲: دقیقاً حین پردازش تسک کنترل، یک رویداد JIT تزریق کن (هم‌زمان با پاس تسک).
گام ۳: ببین تریپ در همان پاس ثبت شده باشد؛ بخش بحرانی با PRIMASK نباید هیچ رویدادی را گم کند.</t>
        </is>
      </c>
      <c r="F6" s="61" t="inlineStr">
        <is>
          <t>رویداد هم‌زمان</t>
        </is>
      </c>
      <c r="G6" s="61" t="inlineStr">
        <is>
          <t>—</t>
        </is>
      </c>
      <c r="H6" s="58" t="inlineStr">
        <is>
          <t>هیچ رویدادی گم نمی‌شود (بخش بحرانی PRIMASK)</t>
        </is>
      </c>
      <c r="I6" s="58" t="inlineStr">
        <is>
          <t>—</t>
        </is>
      </c>
      <c r="J6" s="58" t="inlineStr">
        <is>
          <t>تریپ در همان پاس ثبت</t>
        </is>
      </c>
      <c r="K6" s="58" t="n"/>
      <c r="L6" s="62" t="inlineStr">
        <is>
          <t>در انتظار</t>
        </is>
      </c>
      <c r="M6" s="58" t="n"/>
      <c r="N6" s="58" t="n"/>
      <c r="O6" s="61" t="inlineStr">
        <is>
          <t>(بعد از تست پر شود)</t>
        </is>
      </c>
      <c r="P6" s="61" t="n"/>
      <c r="Q6" s="63" t="inlineStr">
        <is>
          <t>2026-09-23</t>
        </is>
      </c>
    </row>
    <row r="7">
      <c r="A7" s="49" t="n"/>
      <c r="B7" s="49" t="n"/>
      <c r="C7" s="49" t="n"/>
      <c r="D7" s="49" t="n"/>
      <c r="E7" s="49" t="n"/>
      <c r="F7" s="49" t="n"/>
      <c r="G7" s="49" t="n"/>
      <c r="H7" s="49" t="n"/>
      <c r="I7" s="49" t="n"/>
      <c r="J7" s="49" t="n"/>
      <c r="K7" s="49" t="n"/>
      <c r="L7" s="49" t="n"/>
      <c r="M7" s="49" t="n"/>
      <c r="N7" s="49" t="n"/>
      <c r="O7" s="49" t="n"/>
      <c r="P7" s="49" t="n"/>
      <c r="Q7" s="55">
        <f>IF(OR(L7="",L7="در انتظار"),"",IF(Q7="",TODAY(),Q7))</f>
        <v/>
      </c>
    </row>
    <row r="8">
      <c r="A8" s="49" t="n"/>
      <c r="B8" s="49" t="n"/>
      <c r="C8" s="49" t="n"/>
      <c r="D8" s="49" t="n"/>
      <c r="E8" s="49" t="n"/>
      <c r="F8" s="49" t="n"/>
      <c r="G8" s="49" t="n"/>
      <c r="H8" s="49" t="n"/>
      <c r="I8" s="49" t="n"/>
      <c r="J8" s="49" t="n"/>
      <c r="K8" s="49" t="n"/>
      <c r="L8" s="49" t="n"/>
      <c r="M8" s="49" t="n"/>
      <c r="N8" s="49" t="n"/>
      <c r="O8" s="49" t="n"/>
      <c r="P8" s="49" t="n"/>
      <c r="Q8" s="55">
        <f>IF(OR(L8="",L8="در انتظار"),"",IF(Q8="",TODAY(),Q8))</f>
        <v/>
      </c>
    </row>
    <row r="9">
      <c r="A9" s="49" t="n"/>
      <c r="B9" s="49" t="n"/>
      <c r="C9" s="49" t="n"/>
      <c r="D9" s="49" t="n"/>
      <c r="E9" s="49" t="n"/>
      <c r="F9" s="49" t="n"/>
      <c r="G9" s="49" t="n"/>
      <c r="H9" s="49" t="n"/>
      <c r="I9" s="49" t="n"/>
      <c r="J9" s="49" t="n"/>
      <c r="K9" s="49" t="n"/>
      <c r="L9" s="49" t="n"/>
      <c r="M9" s="49" t="n"/>
      <c r="N9" s="49" t="n"/>
      <c r="O9" s="49" t="n"/>
      <c r="P9" s="49" t="n"/>
      <c r="Q9" s="55">
        <f>IF(OR(L9="",L9="در انتظار"),"",IF(Q9="",TODAY(),Q9))</f>
        <v/>
      </c>
    </row>
    <row r="10">
      <c r="A10" s="49" t="n"/>
      <c r="B10" s="49" t="n"/>
      <c r="C10" s="49" t="n"/>
      <c r="D10" s="49" t="n"/>
      <c r="E10" s="49" t="n"/>
      <c r="F10" s="49" t="n"/>
      <c r="G10" s="49" t="n"/>
      <c r="H10" s="49" t="n"/>
      <c r="I10" s="49" t="n"/>
      <c r="J10" s="49" t="n"/>
      <c r="K10" s="49" t="n"/>
      <c r="L10" s="49" t="n"/>
      <c r="M10" s="49" t="n"/>
      <c r="N10" s="49" t="n"/>
      <c r="O10" s="49" t="n"/>
      <c r="P10" s="49" t="n"/>
      <c r="Q10" s="55">
        <f>IF(OR(L10="",L10="در انتظار"),"",IF(Q10="",TODAY(),Q10))</f>
        <v/>
      </c>
    </row>
    <row r="11">
      <c r="A11" s="49" t="n"/>
      <c r="B11" s="49" t="n"/>
      <c r="C11" s="49" t="n"/>
      <c r="D11" s="49" t="n"/>
      <c r="E11" s="49" t="n"/>
      <c r="F11" s="49" t="n"/>
      <c r="G11" s="49" t="n"/>
      <c r="H11" s="49" t="n"/>
      <c r="I11" s="49" t="n"/>
      <c r="J11" s="49" t="n"/>
      <c r="K11" s="49" t="n"/>
      <c r="L11" s="49" t="n"/>
      <c r="M11" s="49" t="n"/>
      <c r="N11" s="49" t="n"/>
      <c r="O11" s="49" t="n"/>
      <c r="P11" s="49" t="n"/>
      <c r="Q11" s="55">
        <f>IF(OR(L11="",L11="در انتظار"),"",IF(Q11="",TODAY(),Q11))</f>
        <v/>
      </c>
    </row>
    <row r="12">
      <c r="A12" s="49" t="n"/>
      <c r="B12" s="49" t="n"/>
      <c r="C12" s="49" t="n"/>
      <c r="D12" s="49" t="n"/>
      <c r="E12" s="49" t="n"/>
      <c r="F12" s="49" t="n"/>
      <c r="G12" s="49" t="n"/>
      <c r="H12" s="49" t="n"/>
      <c r="I12" s="49" t="n"/>
      <c r="J12" s="49" t="n"/>
      <c r="K12" s="49" t="n"/>
      <c r="L12" s="49" t="n"/>
      <c r="M12" s="49" t="n"/>
      <c r="N12" s="49" t="n"/>
      <c r="O12" s="49" t="n"/>
      <c r="P12" s="49" t="n"/>
      <c r="Q12" s="55">
        <f>IF(OR(L12="",L12="در انتظار"),"",IF(Q12="",TODAY(),Q12))</f>
        <v/>
      </c>
    </row>
    <row r="13">
      <c r="A13" s="49" t="n"/>
      <c r="B13" s="49" t="n"/>
      <c r="C13" s="49" t="n"/>
      <c r="D13" s="49" t="n"/>
      <c r="E13" s="49" t="n"/>
      <c r="F13" s="49" t="n"/>
      <c r="G13" s="49" t="n"/>
      <c r="H13" s="49" t="n"/>
      <c r="I13" s="49" t="n"/>
      <c r="J13" s="49" t="n"/>
      <c r="K13" s="49" t="n"/>
      <c r="L13" s="49" t="n"/>
      <c r="M13" s="49" t="n"/>
      <c r="N13" s="49" t="n"/>
      <c r="O13" s="49" t="n"/>
      <c r="P13" s="49" t="n"/>
      <c r="Q13" s="55">
        <f>IF(OR(L13="",L13="در انتظار"),"",IF(Q13="",TODAY(),Q13))</f>
        <v/>
      </c>
    </row>
    <row r="14">
      <c r="A14" s="49" t="n"/>
      <c r="B14" s="49" t="n"/>
      <c r="C14" s="49" t="n"/>
      <c r="D14" s="49" t="n"/>
      <c r="E14" s="49" t="n"/>
      <c r="F14" s="49" t="n"/>
      <c r="G14" s="49" t="n"/>
      <c r="H14" s="49" t="n"/>
      <c r="I14" s="49" t="n"/>
      <c r="J14" s="49" t="n"/>
      <c r="K14" s="49" t="n"/>
      <c r="L14" s="49" t="n"/>
      <c r="M14" s="49" t="n"/>
      <c r="N14" s="49" t="n"/>
      <c r="O14" s="49" t="n"/>
      <c r="P14" s="49" t="n"/>
      <c r="Q14" s="55">
        <f>IF(OR(L14="",L14="در انتظار"),"",IF(Q14="",TODAY(),Q14))</f>
        <v/>
      </c>
    </row>
    <row r="15">
      <c r="A15" s="49" t="n"/>
      <c r="B15" s="49" t="n"/>
      <c r="C15" s="49" t="n"/>
      <c r="D15" s="49" t="n"/>
      <c r="E15" s="49" t="n"/>
      <c r="F15" s="49" t="n"/>
      <c r="G15" s="49" t="n"/>
      <c r="H15" s="49" t="n"/>
      <c r="I15" s="49" t="n"/>
      <c r="J15" s="49" t="n"/>
      <c r="K15" s="49" t="n"/>
      <c r="L15" s="49" t="n"/>
      <c r="M15" s="49" t="n"/>
      <c r="N15" s="49" t="n"/>
      <c r="O15" s="49" t="n"/>
      <c r="P15" s="49" t="n"/>
      <c r="Q15" s="55">
        <f>IF(OR(L15="",L15="در انتظار"),"",IF(Q15="",TODAY(),Q15))</f>
        <v/>
      </c>
    </row>
    <row r="16">
      <c r="A16" s="49" t="n"/>
      <c r="B16" s="49" t="n"/>
      <c r="C16" s="49" t="n"/>
      <c r="D16" s="49" t="n"/>
      <c r="E16" s="49" t="n"/>
      <c r="F16" s="49" t="n"/>
      <c r="G16" s="49" t="n"/>
      <c r="H16" s="49" t="n"/>
      <c r="I16" s="49" t="n"/>
      <c r="J16" s="49" t="n"/>
      <c r="K16" s="49" t="n"/>
      <c r="L16" s="49" t="n"/>
      <c r="M16" s="49" t="n"/>
      <c r="N16" s="49" t="n"/>
      <c r="O16" s="49" t="n"/>
      <c r="P16" s="49" t="n"/>
      <c r="Q16" s="55">
        <f>IF(OR(L16="",L16="در انتظار"),"",IF(Q16="",TODAY(),Q16))</f>
        <v/>
      </c>
    </row>
    <row r="17">
      <c r="A17" s="49" t="n"/>
      <c r="B17" s="49" t="n"/>
      <c r="C17" s="49" t="n"/>
      <c r="D17" s="49" t="n"/>
      <c r="E17" s="49" t="n"/>
      <c r="F17" s="49" t="n"/>
      <c r="G17" s="49" t="n"/>
      <c r="H17" s="49" t="n"/>
      <c r="I17" s="49" t="n"/>
      <c r="J17" s="49" t="n"/>
      <c r="K17" s="49" t="n"/>
      <c r="L17" s="49" t="n"/>
      <c r="M17" s="49" t="n"/>
      <c r="N17" s="49" t="n"/>
      <c r="O17" s="49" t="n"/>
      <c r="P17" s="49" t="n"/>
      <c r="Q17" s="55">
        <f>IF(OR(L17="",L17="در انتظار"),"",IF(Q17="",TODAY(),Q17))</f>
        <v/>
      </c>
    </row>
    <row r="18">
      <c r="A18" s="49" t="n"/>
      <c r="B18" s="49" t="n"/>
      <c r="C18" s="49" t="n"/>
      <c r="D18" s="49" t="n"/>
      <c r="E18" s="49" t="n"/>
      <c r="F18" s="49" t="n"/>
      <c r="G18" s="49" t="n"/>
      <c r="H18" s="49" t="n"/>
      <c r="I18" s="49" t="n"/>
      <c r="J18" s="49" t="n"/>
      <c r="K18" s="49" t="n"/>
      <c r="L18" s="49" t="n"/>
      <c r="M18" s="49" t="n"/>
      <c r="N18" s="49" t="n"/>
      <c r="O18" s="49" t="n"/>
      <c r="P18" s="49" t="n"/>
      <c r="Q18" s="55">
        <f>IF(OR(L18="",L18="در انتظار"),"",IF(Q18="",TODAY(),Q18))</f>
        <v/>
      </c>
    </row>
    <row r="19">
      <c r="A19" s="49" t="n"/>
      <c r="B19" s="49" t="n"/>
      <c r="C19" s="49" t="n"/>
      <c r="D19" s="49" t="n"/>
      <c r="E19" s="49" t="n"/>
      <c r="F19" s="49" t="n"/>
      <c r="G19" s="49" t="n"/>
      <c r="H19" s="49" t="n"/>
      <c r="I19" s="49" t="n"/>
      <c r="J19" s="49" t="n"/>
      <c r="K19" s="49" t="n"/>
      <c r="L19" s="49" t="n"/>
      <c r="M19" s="49" t="n"/>
      <c r="N19" s="49" t="n"/>
      <c r="O19" s="49" t="n"/>
      <c r="P19" s="49" t="n"/>
      <c r="Q19" s="55">
        <f>IF(OR(L19="",L19="در انتظار"),"",IF(Q19="",TODAY(),Q19))</f>
        <v/>
      </c>
    </row>
    <row r="20">
      <c r="A20" s="49" t="n"/>
      <c r="B20" s="49" t="n"/>
      <c r="C20" s="49" t="n"/>
      <c r="D20" s="49" t="n"/>
      <c r="E20" s="49" t="n"/>
      <c r="F20" s="49" t="n"/>
      <c r="G20" s="49" t="n"/>
      <c r="H20" s="49" t="n"/>
      <c r="I20" s="49" t="n"/>
      <c r="J20" s="49" t="n"/>
      <c r="K20" s="49" t="n"/>
      <c r="L20" s="49" t="n"/>
      <c r="M20" s="49" t="n"/>
      <c r="N20" s="49" t="n"/>
      <c r="O20" s="49" t="n"/>
      <c r="P20" s="49" t="n"/>
      <c r="Q20" s="55">
        <f>IF(OR(L20="",L20="در انتظار"),"",IF(Q20="",TODAY(),Q20))</f>
        <v/>
      </c>
    </row>
    <row r="21">
      <c r="A21" s="49" t="n"/>
      <c r="B21" s="49" t="n"/>
      <c r="C21" s="49" t="n"/>
      <c r="D21" s="49" t="n"/>
      <c r="E21" s="49" t="n"/>
      <c r="F21" s="49" t="n"/>
      <c r="G21" s="49" t="n"/>
      <c r="H21" s="49" t="n"/>
      <c r="I21" s="49" t="n"/>
      <c r="J21" s="49" t="n"/>
      <c r="K21" s="49" t="n"/>
      <c r="L21" s="49" t="n"/>
      <c r="M21" s="49" t="n"/>
      <c r="N21" s="49" t="n"/>
      <c r="O21" s="49" t="n"/>
      <c r="P21" s="49" t="n"/>
      <c r="Q21" s="55">
        <f>IF(OR(L21="",L21="در انتظار"),"",IF(Q21="",TODAY(),Q21))</f>
        <v/>
      </c>
    </row>
    <row r="22">
      <c r="A22" s="49" t="n"/>
      <c r="B22" s="49" t="n"/>
      <c r="C22" s="49" t="n"/>
      <c r="D22" s="49" t="n"/>
      <c r="E22" s="49" t="n"/>
      <c r="F22" s="49" t="n"/>
      <c r="G22" s="49" t="n"/>
      <c r="H22" s="49" t="n"/>
      <c r="I22" s="49" t="n"/>
      <c r="J22" s="49" t="n"/>
      <c r="K22" s="49" t="n"/>
      <c r="L22" s="49" t="n"/>
      <c r="M22" s="49" t="n"/>
      <c r="N22" s="49" t="n"/>
      <c r="O22" s="49" t="n"/>
      <c r="P22" s="49" t="n"/>
      <c r="Q22" s="55">
        <f>IF(OR(L22="",L22="در انتظار"),"",IF(Q22="",TODAY(),Q22))</f>
        <v/>
      </c>
    </row>
    <row r="23">
      <c r="A23" s="49" t="n"/>
      <c r="B23" s="49" t="n"/>
      <c r="C23" s="49" t="n"/>
      <c r="D23" s="49" t="n"/>
      <c r="E23" s="49" t="n"/>
      <c r="F23" s="49" t="n"/>
      <c r="G23" s="49" t="n"/>
      <c r="H23" s="49" t="n"/>
      <c r="I23" s="49" t="n"/>
      <c r="J23" s="49" t="n"/>
      <c r="K23" s="49" t="n"/>
      <c r="L23" s="49" t="n"/>
      <c r="M23" s="49" t="n"/>
      <c r="N23" s="49" t="n"/>
      <c r="O23" s="49" t="n"/>
      <c r="P23" s="49" t="n"/>
      <c r="Q23" s="55">
        <f>IF(OR(L23="",L23="در انتظار"),"",IF(Q23="",TODAY(),Q23))</f>
        <v/>
      </c>
    </row>
    <row r="24">
      <c r="A24" s="49" t="n"/>
      <c r="B24" s="49" t="n"/>
      <c r="C24" s="49" t="n"/>
      <c r="D24" s="49" t="n"/>
      <c r="E24" s="49" t="n"/>
      <c r="F24" s="49" t="n"/>
      <c r="G24" s="49" t="n"/>
      <c r="H24" s="49" t="n"/>
      <c r="I24" s="49" t="n"/>
      <c r="J24" s="49" t="n"/>
      <c r="K24" s="49" t="n"/>
      <c r="L24" s="49" t="n"/>
      <c r="M24" s="49" t="n"/>
      <c r="N24" s="49" t="n"/>
      <c r="O24" s="49" t="n"/>
      <c r="P24" s="49" t="n"/>
      <c r="Q24" s="55">
        <f>IF(OR(L24="",L24="در انتظار"),"",IF(Q24="",TODAY(),Q24))</f>
        <v/>
      </c>
    </row>
    <row r="25">
      <c r="A25" s="49" t="n"/>
      <c r="B25" s="49" t="n"/>
      <c r="C25" s="49" t="n"/>
      <c r="D25" s="49" t="n"/>
      <c r="E25" s="49" t="n"/>
      <c r="F25" s="49" t="n"/>
      <c r="G25" s="49" t="n"/>
      <c r="H25" s="49" t="n"/>
      <c r="I25" s="49" t="n"/>
      <c r="J25" s="49" t="n"/>
      <c r="K25" s="49" t="n"/>
      <c r="L25" s="49" t="n"/>
      <c r="M25" s="49" t="n"/>
      <c r="N25" s="49" t="n"/>
      <c r="O25" s="49" t="n"/>
      <c r="P25" s="49" t="n"/>
      <c r="Q25" s="55">
        <f>IF(OR(L25="",L25="در انتظار"),"",IF(Q25="",TODAY(),Q25))</f>
        <v/>
      </c>
    </row>
    <row r="26">
      <c r="A26" s="49" t="n"/>
      <c r="B26" s="49" t="n"/>
      <c r="C26" s="49" t="n"/>
      <c r="D26" s="49" t="n"/>
      <c r="E26" s="49" t="n"/>
      <c r="F26" s="49" t="n"/>
      <c r="G26" s="49" t="n"/>
      <c r="H26" s="49" t="n"/>
      <c r="I26" s="49" t="n"/>
      <c r="J26" s="49" t="n"/>
      <c r="K26" s="49" t="n"/>
      <c r="L26" s="49" t="n"/>
      <c r="M26" s="49" t="n"/>
      <c r="N26" s="49" t="n"/>
      <c r="O26" s="49" t="n"/>
      <c r="P26" s="49" t="n"/>
      <c r="Q26" s="55">
        <f>IF(OR(L26="",L26="در انتظار"),"",IF(Q26="",TODAY(),Q26))</f>
        <v/>
      </c>
    </row>
  </sheetData>
  <autoFilter ref="A4:Q6"/>
  <dataValidations count="1">
    <dataValidation sqref="L5 L6 L7 L8 L9 L10 L11 L12 L13 L14 L15 L16 L17 L18 L19 L20 L21 L22 L23 L24 L25 L26"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BF8F00"/>
    <outlinePr summaryBelow="1" summaryRight="1"/>
    <pageSetUpPr/>
  </sheetPr>
  <dimension ref="A1:E7"/>
  <sheetViews>
    <sheetView rightToLeft="1"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ht="30" customHeight="1">
      <c r="A1" s="47" t="inlineStr">
        <is>
          <t>مرجع سریع سناریوها و ثابت‌های ماژول Jitter</t>
        </is>
      </c>
      <c r="B1" s="38" t="n"/>
      <c r="C1" s="38" t="n"/>
      <c r="D1" s="38" t="n"/>
      <c r="E1" s="39" t="n"/>
    </row>
    <row r="2">
      <c r="A2" s="49" t="n"/>
      <c r="B2" s="49" t="n"/>
      <c r="C2" s="49" t="n"/>
      <c r="D2" s="49" t="n"/>
      <c r="E2" s="49" t="n"/>
    </row>
    <row r="3">
      <c r="A3" s="66" t="inlineStr">
        <is>
          <t>موضوع</t>
        </is>
      </c>
      <c r="B3" s="66" t="inlineStr">
        <is>
          <t>شرط / مقدار</t>
        </is>
      </c>
      <c r="C3" s="66" t="inlineStr">
        <is>
          <t>رفتار مورد انتظار</t>
        </is>
      </c>
      <c r="D3" s="66" t="inlineStr">
        <is>
          <t>ثابت / محل کد</t>
        </is>
      </c>
      <c r="E3" s="66" t="inlineStr">
        <is>
          <t>توضیح</t>
        </is>
      </c>
    </row>
    <row r="4">
      <c r="A4" s="67" t="inlineStr">
        <is>
          <t>نگاشت</t>
        </is>
      </c>
      <c r="B4" s="67" t="inlineStr">
        <is>
          <t>PB2/PB6 falling، active-low</t>
        </is>
      </c>
      <c r="C4" s="67" t="inlineStr">
        <is>
          <t>رویداد منطقی JITTER1/2</t>
        </is>
      </c>
      <c r="D4" s="68" t="inlineStr">
        <is>
          <t>bsp_exti + board_pins.h</t>
        </is>
      </c>
      <c r="E4" s="67" t="inlineStr">
        <is>
          <t>LM393 open-collector</t>
        </is>
      </c>
    </row>
    <row r="5">
      <c r="A5" s="67" t="inlineStr">
        <is>
          <t>صف احیا</t>
        </is>
      </c>
      <c r="B5" s="67" t="inlineStr">
        <is>
          <t>تک‌تک، اولین‌تریپ‌اولین‌احیا</t>
        </is>
      </c>
      <c r="C5" s="67" t="inlineStr">
        <is>
          <t>بدون پامپ همزمان دو کانال</t>
        </is>
      </c>
      <c r="D5" s="68" t="inlineStr">
        <is>
          <t>charger.c ServiceRetry</t>
        </is>
      </c>
      <c r="E5" s="67" t="inlineStr">
        <is>
          <t>در مود دستی غیرفعال</t>
        </is>
      </c>
    </row>
    <row r="6">
      <c r="A6" s="67" t="inlineStr">
        <is>
          <t>اتمیک بودن</t>
        </is>
      </c>
      <c r="B6" s="67" t="inlineStr">
        <is>
          <t>PRIMASK در TakeEvent</t>
        </is>
      </c>
      <c r="C6" s="67" t="inlineStr">
        <is>
          <t>بدون گم‌شدن رویداد</t>
        </is>
      </c>
      <c r="D6" s="68" t="inlineStr">
        <is>
          <t>bsp_exti.c (2026-09-22)</t>
        </is>
      </c>
      <c r="E6" s="67" t="inlineStr">
        <is>
          <t>—</t>
        </is>
      </c>
    </row>
    <row r="7">
      <c r="A7" s="67" t="inlineStr">
        <is>
          <t>مود دستی</t>
        </is>
      </c>
      <c r="B7" s="67" t="inlineStr">
        <is>
          <t>بدون ریتری، شمارش جمع</t>
        </is>
      </c>
      <c r="C7" s="67" t="inlineStr">
        <is>
          <t>سومین تریپ FINAL</t>
        </is>
      </c>
      <c r="D7" s="68" t="inlineStr">
        <is>
          <t>charger.c HandleJitTrip شاخهٔ manual</t>
        </is>
      </c>
      <c r="E7" s="67" t="inlineStr">
        <is>
          <t>v1.2</t>
        </is>
      </c>
    </row>
  </sheetData>
  <mergeCells count="1">
    <mergeCell ref="A1:E1"/>
  </mergeCells>
  <hyperlinks>
    <hyperlink xmlns:r="http://schemas.openxmlformats.org/officeDocument/2006/relationships" ref="D4" r:id="rId1"/>
    <hyperlink xmlns:r="http://schemas.openxmlformats.org/officeDocument/2006/relationships" ref="D5" r:id="rId2"/>
    <hyperlink xmlns:r="http://schemas.openxmlformats.org/officeDocument/2006/relationships" ref="D6" r:id="rId3"/>
    <hyperlink xmlns:r="http://schemas.openxmlformats.org/officeDocument/2006/relationships" ref="D7" r:id="rId4"/>
  </hyperlinks>
  <pageMargins left="0.75" right="0.75" top="1" bottom="1" header="0.5" footer="0.5"/>
</worksheet>
</file>

<file path=xl/worksheets/sheet5.xml><?xml version="1.0" encoding="utf-8"?>
<worksheet xmlns="http://schemas.openxmlformats.org/spreadsheetml/2006/main">
  <sheetPr>
    <tabColor rgb="00C00000"/>
    <outlinePr summaryBelow="1" summaryRight="1"/>
    <pageSetUpPr/>
  </sheetPr>
  <dimension ref="A1:M3"/>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c r="A1" s="45" t="inlineStr">
        <is>
          <t>ثبت ایرادهای مشاهده‌شده — ماژول Jitter</t>
        </is>
      </c>
    </row>
    <row r="2" ht="30" customHeight="1">
      <c r="A2" s="47" t="inlineStr">
        <is>
          <t>برای هر وضعیت «رد» یا تفاوت مهم، یک ردیف با شناسهٔ یکتا ثبت و پس از اصلاح دوباره تست شود.</t>
        </is>
      </c>
      <c r="B2" s="38" t="n"/>
      <c r="C2" s="38" t="n"/>
      <c r="D2" s="38" t="n"/>
      <c r="E2" s="38" t="n"/>
      <c r="F2" s="38" t="n"/>
      <c r="G2" s="38" t="n"/>
      <c r="H2" s="38" t="n"/>
      <c r="I2" s="38" t="n"/>
      <c r="J2" s="38" t="n"/>
      <c r="K2" s="38" t="n"/>
      <c r="L2" s="38" t="n"/>
      <c r="M2" s="39" t="n"/>
    </row>
    <row r="3">
      <c r="A3" s="66" t="inlineStr">
        <is>
          <t>شماره ایراد</t>
        </is>
      </c>
      <c r="B3" s="66" t="inlineStr">
        <is>
          <t>شناسه تست</t>
        </is>
      </c>
      <c r="C3" s="66" t="inlineStr">
        <is>
          <t>تاریخ کشف</t>
        </is>
      </c>
      <c r="D3" s="66" t="inlineStr">
        <is>
          <t>شدت</t>
        </is>
      </c>
      <c r="E3" s="66" t="inlineStr">
        <is>
          <t>شرح کوتاه ایراد</t>
        </is>
      </c>
      <c r="F3" s="66" t="inlineStr">
        <is>
          <t>مراحل بازتولید</t>
        </is>
      </c>
      <c r="G3" s="66" t="inlineStr">
        <is>
          <t>انتظار</t>
        </is>
      </c>
      <c r="H3" s="66" t="inlineStr">
        <is>
          <t>واقعیت</t>
        </is>
      </c>
      <c r="I3" s="66" t="inlineStr">
        <is>
          <t>مدرک/مسیر عکس یا scope</t>
        </is>
      </c>
      <c r="J3" s="66" t="inlineStr">
        <is>
          <t>نسخهٔ برنامه</t>
        </is>
      </c>
      <c r="K3" s="66" t="inlineStr">
        <is>
          <t>محل احتمالی</t>
        </is>
      </c>
      <c r="L3" s="66" t="inlineStr">
        <is>
          <t>وضعیت ایراد</t>
        </is>
      </c>
      <c r="M3" s="66" t="inlineStr">
        <is>
          <t>تأیید رفع / توضیحات</t>
        </is>
      </c>
    </row>
  </sheetData>
  <mergeCells count="2">
    <mergeCell ref="A2:M2"/>
    <mergeCell ref="A1:M1"/>
  </mergeCells>
  <pageMargins left="0.75" right="0.75" top="1" bottom="1" header="0.5" footer="0.5"/>
</worksheet>
</file>

<file path=xl/worksheets/sheet6.xml><?xml version="1.0" encoding="utf-8"?>
<worksheet xmlns="http://schemas.openxmlformats.org/spreadsheetml/2006/main">
  <sheetPr>
    <tabColor rgb="00548235"/>
    <outlinePr summaryBelow="1" summaryRight="1"/>
    <pageSetUpPr/>
  </sheetPr>
  <dimension ref="A1:C19"/>
  <sheetViews>
    <sheetView rightToLeft="1" workbookViewId="0">
      <selection activeCell="A1" sqref="A1"/>
    </sheetView>
  </sheetViews>
  <sheetFormatPr baseColWidth="8" defaultRowHeight="15"/>
  <cols>
    <col width="20" customWidth="1" min="1" max="1"/>
    <col width="26" customWidth="1" min="2" max="2"/>
    <col width="30" customWidth="1" min="3" max="3"/>
  </cols>
  <sheetData>
    <row r="1">
      <c r="A1" s="45" t="inlineStr">
        <is>
          <t>تأیید نهایی اعتبارسنجی — ماژول Jitter</t>
        </is>
      </c>
    </row>
    <row r="2">
      <c r="A2" s="46" t="inlineStr">
        <is>
          <t>این صفحه فقط پس از تکمیل تست‌ها و بسته‌شدن ایرادها پر می‌شود.</t>
        </is>
      </c>
    </row>
    <row r="3">
      <c r="A3" s="46" t="inlineStr">
        <is>
          <t>مشخصات تست</t>
        </is>
      </c>
    </row>
    <row r="4">
      <c r="A4" s="46" t="inlineStr">
        <is>
          <t>پروژه</t>
        </is>
      </c>
      <c r="B4" s="46" t="inlineStr">
        <is>
          <t>ChangeOver</t>
        </is>
      </c>
      <c r="C4" s="49" t="n"/>
    </row>
    <row r="5">
      <c r="A5" s="46" t="inlineStr">
        <is>
          <t>ماژول</t>
        </is>
      </c>
      <c r="B5" s="46" t="inlineStr">
        <is>
          <t>Jitter — رویدادهای LM393 و صف احیا</t>
        </is>
      </c>
      <c r="C5" s="49" t="n"/>
    </row>
    <row r="6">
      <c r="A6" s="46" t="inlineStr">
        <is>
          <t>تاریخ ساخت فرم</t>
        </is>
      </c>
      <c r="B6" s="46" t="inlineStr">
        <is>
          <t>2026-09-23 (1.0)</t>
        </is>
      </c>
      <c r="C6" s="49" t="n"/>
    </row>
    <row r="7">
      <c r="A7" s="46" t="inlineStr">
        <is>
          <t>نسخه فرم</t>
        </is>
      </c>
      <c r="B7" s="46" t="inlineStr">
        <is>
          <t>1.0</t>
        </is>
      </c>
      <c r="C7" s="49" t="n"/>
    </row>
    <row r="8">
      <c r="A8" s="46" t="inlineStr">
        <is>
          <t>نسخهٔ برنامه</t>
        </is>
      </c>
      <c r="B8" s="46" t="inlineStr">
        <is>
          <t>(بعد از تست پر شود)</t>
        </is>
      </c>
      <c r="C8" s="49" t="n"/>
    </row>
    <row r="9">
      <c r="A9" s="46" t="inlineStr">
        <is>
          <t>ابزار</t>
        </is>
      </c>
      <c r="B9" s="46" t="inlineStr">
        <is>
          <t>اسکوپ + تزریق جریان + پنل ESP</t>
        </is>
      </c>
      <c r="C9" s="49" t="n"/>
    </row>
    <row r="10">
      <c r="A10" s="49" t="n"/>
      <c r="B10" s="49" t="n"/>
      <c r="C10" s="49" t="n"/>
    </row>
    <row r="11">
      <c r="A11" s="69" t="inlineStr">
        <is>
          <t>خلاصهٔ خودکار وضعیت تست‌ها</t>
        </is>
      </c>
      <c r="B11" s="49" t="n"/>
      <c r="C11" s="49" t="n"/>
    </row>
    <row r="12">
      <c r="A12" s="66" t="inlineStr">
        <is>
          <t>شاخص</t>
        </is>
      </c>
      <c r="B12" s="66" t="inlineStr">
        <is>
          <t>مقدار</t>
        </is>
      </c>
      <c r="C12" s="66" t="inlineStr">
        <is>
          <t>توضیح</t>
        </is>
      </c>
    </row>
    <row r="13">
      <c r="A13" s="70" t="inlineStr">
        <is>
          <t>کل تست‌ها</t>
        </is>
      </c>
      <c r="B13" s="70" t="n">
        <v>7</v>
      </c>
      <c r="C13" s="70" t="inlineStr">
        <is>
          <t>همهٔ ردیف‌های برنامه تست</t>
        </is>
      </c>
    </row>
    <row r="14">
      <c r="A14" s="70" t="inlineStr">
        <is>
          <t>قبول</t>
        </is>
      </c>
      <c r="B14" s="70">
        <f>COUNTIF('برنامه تست'!L:L,"قبول")</f>
        <v/>
      </c>
      <c r="C14" s="70" t="inlineStr">
        <is>
          <t>COUNTIF برنامه تست</t>
        </is>
      </c>
    </row>
    <row r="15">
      <c r="A15" s="70" t="inlineStr">
        <is>
          <t>رد</t>
        </is>
      </c>
      <c r="B15" s="70">
        <f>COUNTIF('برنامه تست'!L:L,"رد")</f>
        <v/>
      </c>
      <c r="C15" s="70" t="inlineStr">
        <is>
          <t>COUNTIF رد</t>
        </is>
      </c>
    </row>
    <row r="16">
      <c r="A16" s="70" t="inlineStr">
        <is>
          <t>در انتظار</t>
        </is>
      </c>
      <c r="B16" s="70">
        <f>COUNTIF('برنامه تست'!L:L,"در انتظار")</f>
        <v/>
      </c>
      <c r="C16" s="70" t="inlineStr">
        <is>
          <t>پیش از تست برد</t>
        </is>
      </c>
    </row>
    <row r="17">
      <c r="A17" s="70" t="inlineStr">
        <is>
          <t>نرخ قبولی</t>
        </is>
      </c>
      <c r="B17" s="70">
        <f>IF(7=0,0,COUNTIF('برنامه تست'!L:L,"قبول")/7)</f>
        <v/>
      </c>
      <c r="C17" s="70" t="inlineStr">
        <is>
          <t>قبول/کل</t>
        </is>
      </c>
    </row>
    <row r="18">
      <c r="A18" s="49" t="n"/>
      <c r="B18" s="49" t="n"/>
      <c r="C18" s="49" t="n"/>
    </row>
    <row r="19">
      <c r="A19" s="69" t="inlineStr">
        <is>
          <t>امضا و تأیید: تست‌کننده ______  بازبین ______  تاریخ ______</t>
        </is>
      </c>
      <c r="B19" s="49" t="n"/>
      <c r="C19" s="49" t="n"/>
    </row>
  </sheetData>
  <mergeCells count="3">
    <mergeCell ref="A1:C1"/>
    <mergeCell ref="A3:C3"/>
    <mergeCell ref="A2:C2"/>
  </mergeCells>
  <pageMargins left="0.75" right="0.75" top="1" bottom="1" header="0.5" footer="0.5"/>
</worksheet>
</file>

<file path=xl/worksheets/sheet7.xml><?xml version="1.0" encoding="utf-8"?>
<worksheet xmlns="http://schemas.openxmlformats.org/spreadsheetml/2006/main">
  <sheetPr>
    <tabColor rgb="00808080"/>
    <outlinePr summaryBelow="1" summaryRight="1"/>
    <pageSetUpPr/>
  </sheetPr>
  <dimension ref="A1:B17"/>
  <sheetViews>
    <sheetView rightToLeft="1" workbookViewId="0">
      <selection activeCell="A1" sqref="A1"/>
    </sheetView>
  </sheetViews>
  <sheetFormatPr baseColWidth="8" defaultRowHeight="15"/>
  <cols>
    <col width="16" customWidth="1" min="1" max="1"/>
    <col width="16" customWidth="1" min="2" max="2"/>
  </cols>
  <sheetData>
    <row r="1">
      <c r="A1" s="71" t="inlineStr">
        <is>
          <t>وضعیت</t>
        </is>
      </c>
      <c r="B1" s="49" t="n"/>
    </row>
    <row r="2">
      <c r="A2" s="72" t="inlineStr">
        <is>
          <t>در انتظار</t>
        </is>
      </c>
      <c r="B2" s="49" t="n"/>
    </row>
    <row r="3">
      <c r="A3" s="72" t="inlineStr">
        <is>
          <t>انجام شد</t>
        </is>
      </c>
      <c r="B3" s="49" t="n"/>
    </row>
    <row r="4">
      <c r="A4" s="72" t="inlineStr">
        <is>
          <t>قبول</t>
        </is>
      </c>
      <c r="B4" s="49" t="n"/>
    </row>
    <row r="5">
      <c r="A5" s="72" t="inlineStr">
        <is>
          <t>رد</t>
        </is>
      </c>
      <c r="B5" s="49" t="n"/>
    </row>
    <row r="6">
      <c r="A6" s="72" t="inlineStr">
        <is>
          <t>مسدود</t>
        </is>
      </c>
      <c r="B6" s="49" t="n"/>
    </row>
    <row r="7">
      <c r="A7" s="49" t="inlineStr">
        <is>
          <t>نیاز به تکرار</t>
        </is>
      </c>
      <c r="B7" s="49" t="n"/>
    </row>
    <row r="8">
      <c r="A8" s="71" t="inlineStr">
        <is>
          <t>اولویت</t>
        </is>
      </c>
      <c r="B8" s="49" t="n"/>
    </row>
    <row r="9">
      <c r="A9" s="49" t="n"/>
      <c r="B9" s="72" t="inlineStr">
        <is>
          <t>بالا</t>
        </is>
      </c>
    </row>
    <row r="10">
      <c r="A10" s="49" t="n"/>
      <c r="B10" s="72" t="inlineStr">
        <is>
          <t>متوسط</t>
        </is>
      </c>
    </row>
    <row r="11">
      <c r="A11" s="49" t="n"/>
      <c r="B11" s="72" t="inlineStr">
        <is>
          <t>پایین</t>
        </is>
      </c>
    </row>
    <row r="12">
      <c r="A12" s="49" t="n"/>
      <c r="B12" s="49" t="n"/>
    </row>
    <row r="13">
      <c r="A13" s="71" t="inlineStr">
        <is>
          <t>شدت</t>
        </is>
      </c>
      <c r="B13" s="49" t="n"/>
    </row>
    <row r="14">
      <c r="A14" s="72" t="inlineStr">
        <is>
          <t>بحرانی</t>
        </is>
      </c>
      <c r="B14" s="49" t="n"/>
    </row>
    <row r="15">
      <c r="A15" s="72" t="inlineStr">
        <is>
          <t>بالا</t>
        </is>
      </c>
      <c r="B15" s="49" t="n"/>
    </row>
    <row r="16">
      <c r="A16" s="72" t="inlineStr">
        <is>
          <t>متوسط</t>
        </is>
      </c>
      <c r="B16" s="49" t="n"/>
    </row>
    <row r="17">
      <c r="A17" s="72" t="inlineStr">
        <is>
          <t>پایین</t>
        </is>
      </c>
      <c r="B17" s="49" t="n"/>
    </row>
  </sheetData>
  <pageMargins left="0.75" right="0.75" top="1" bottom="1" header="0.5" footer="0.5"/>
</worksheet>
</file>

<file path=xl/worksheets/sheet8.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8" t="inlineStr">
        <is>
          <t>ماشین حالت ماژول جیتر (Jitter)</t>
        </is>
      </c>
    </row>
    <row r="2">
      <c r="A2" s="49" t="n"/>
      <c r="B2" s="49" t="n"/>
      <c r="C2" s="49" t="n"/>
    </row>
    <row r="3" ht="24" customHeight="1">
      <c r="A3" s="9" t="inlineStr">
        <is>
          <t>حالت‌ها و گذارهای همین ماژول</t>
        </is>
      </c>
      <c r="B3" s="10" t="inlineStr">
        <is>
          <t>Jitter_State_Machine.xlsx</t>
        </is>
      </c>
      <c r="C3" s="49" t="n"/>
    </row>
    <row r="4" ht="24" customHeight="1">
      <c r="A4" s="9" t="inlineStr">
        <is>
          <t>ماشین حالت کل برنامه (نمای سیستمی)</t>
        </is>
      </c>
      <c r="B4" s="10" t="inlineStr">
        <is>
          <t>../../../Documentation/System_State_Machine.xlsx</t>
        </is>
      </c>
      <c r="C4" s="49" t="n"/>
    </row>
    <row r="5" ht="24" customHeight="1">
      <c r="A5" s="9" t="inlineStr">
        <is>
          <t>راهنمای رنگ‌ها</t>
        </is>
      </c>
      <c r="B5" s="11" t="inlineStr">
        <is>
          <t>سبز = عادی/سالم · زرد = هشدار یا انتظار · قرمز = خطا یا قفل · نارنجی = در حال کار · خاکستری = بی‌کار · آبی = اطلاعاتی</t>
        </is>
      </c>
      <c r="C5" s="49" t="n"/>
    </row>
    <row r="6" ht="24" customHeight="1">
      <c r="A6" s="9" t="inlineStr">
        <is>
          <t>بازتولید</t>
        </is>
      </c>
      <c r="B6" s="10" t="inlineStr">
        <is>
          <t>python3 tools/make_module_state_machines.py</t>
        </is>
      </c>
      <c r="C6" s="49" t="n"/>
    </row>
  </sheetData>
  <mergeCells count="1">
    <mergeCell ref="A1:C1"/>
  </mergeCells>
  <hyperlinks>
    <hyperlink xmlns:r="http://schemas.openxmlformats.org/officeDocument/2006/relationships" ref="B3" r:id="rId1"/>
    <hyperlink xmlns:r="http://schemas.openxmlformats.org/officeDocument/2006/relationships" ref="B4" r:id="rId2"/>
    <hyperlink xmlns:r="http://schemas.openxmlformats.org/officeDocument/2006/relationships" ref="B6" r:id="rId3"/>
  </hyperlinks>
  <pageMargins left="0.75" right="0.75" top="1" bottom="1" header="0.5" footer="0.5"/>
</worksheet>
</file>

<file path=xl/worksheets/sheet9.xml><?xml version="1.0" encoding="utf-8"?>
<worksheet xmlns="http://schemas.openxmlformats.org/spreadsheetml/2006/main">
  <sheetPr>
    <tabColor rgb="001F4E79"/>
    <outlinePr summaryBelow="1" summaryRight="1"/>
    <pageSetUpPr fitToPage="1"/>
  </sheetPr>
  <dimension ref="A1:Q9"/>
  <sheetViews>
    <sheetView workbookViewId="0">
      <selection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48" t="inlineStr">
        <is>
          <t>برنامهٔ تست آزمایشگاهی — ماژول Jitter</t>
        </is>
      </c>
    </row>
    <row r="2">
      <c r="A2" s="46" t="inlineStr">
        <is>
          <t>وضعیت فقط یکی از: در انتظار / قبول / رد / مسدود / نیاز به تکرار. تست Host جایگزین تست برد نیست.</t>
        </is>
      </c>
    </row>
    <row r="3">
      <c r="A3" s="46" t="inlineStr">
        <is>
          <t>برای هر ردیف پیش‌شرط، ورودی، انتظار و معیار قبولی صریح است؛ نتیجهٔ واقعی فقط با اندازه‌گیری روی برد پر می‌شود.</t>
        </is>
      </c>
    </row>
    <row r="4" ht="30" customHeight="1">
      <c r="A4" s="47" t="inlineStr">
        <is>
          <t>شناسه</t>
        </is>
      </c>
      <c r="B4" s="47" t="inlineStr">
        <is>
          <t>دسته</t>
        </is>
      </c>
      <c r="C4" s="47" t="inlineStr">
        <is>
          <t>اولویت</t>
        </is>
      </c>
      <c r="D4" s="47" t="inlineStr">
        <is>
          <t>پیش‌شرط</t>
        </is>
      </c>
      <c r="E4" s="47" t="inlineStr">
        <is>
          <t>روش اجرای دقیق</t>
        </is>
      </c>
      <c r="F4" s="47" t="inlineStr">
        <is>
          <t>ورودی‌ها / شرایط</t>
        </is>
      </c>
      <c r="G4" s="47" t="inlineStr">
        <is>
          <t>مدت مشاهده</t>
        </is>
      </c>
      <c r="H4" s="47" t="inlineStr">
        <is>
          <t>رفتار مورد انتظار</t>
        </is>
      </c>
      <c r="I4" s="47" t="inlineStr">
        <is>
          <t>می‌ماند یا پاک می‌شود</t>
        </is>
      </c>
      <c r="J4" s="47" t="inlineStr">
        <is>
          <t>معیار قبولی</t>
        </is>
      </c>
      <c r="K4" s="47" t="inlineStr">
        <is>
          <t>نتیجهٔ واقعی / اندازه‌گیری</t>
        </is>
      </c>
      <c r="L4" s="47" t="inlineStr">
        <is>
          <t>وضعیت</t>
        </is>
      </c>
      <c r="M4" s="47" t="inlineStr">
        <is>
          <t>شرح ایراد / تفاوت</t>
        </is>
      </c>
      <c r="N4" s="47" t="inlineStr">
        <is>
          <t>مدرک تست</t>
        </is>
      </c>
      <c r="O4" s="47" t="inlineStr">
        <is>
          <t>نسخهٔ برنامه</t>
        </is>
      </c>
      <c r="P4" s="47" t="inlineStr">
        <is>
          <t>نام تست‌کننده</t>
        </is>
      </c>
      <c r="Q4" s="47" t="inlineStr">
        <is>
          <t>تاریخ</t>
        </is>
      </c>
    </row>
    <row r="5" ht="54" customHeight="1">
      <c r="A5" s="50" t="inlineStr">
        <is>
          <t>JT-002</t>
        </is>
      </c>
      <c r="B5" s="51" t="inlineStr">
        <is>
          <t>رویداد → تریپ شارژر</t>
        </is>
      </c>
      <c r="C5" s="73" t="inlineStr">
        <is>
          <t>بالا</t>
        </is>
      </c>
      <c r="D5" s="51" t="inlineStr">
        <is>
          <t>شارژ فعال کانال ۱</t>
        </is>
      </c>
      <c r="E5" s="51" t="inlineStr">
        <is>
          <t>گام ۱: شارژ کانال ۱ را فعال کن.
گام ۲: ورودی JIT1 را یک لبهٔ پایین‌رونده بده تا آستانهٔ LM393 (اضافه‌جریان واقعی) رد شود.
گام ۳: 10 ثانیه نگاه کن: PWM کانال ۱ باید صفر شود، وضعیت کانال 1 بشود 5 (state=5) و کانال وارد صف احیا شود.</t>
        </is>
      </c>
      <c r="F5" s="52" t="inlineStr">
        <is>
          <t>JIT1 falling</t>
        </is>
      </c>
      <c r="G5" s="52" t="inlineStr">
        <is>
          <t>10s</t>
        </is>
      </c>
      <c r="H5" s="51" t="inlineStr">
        <is>
          <t>HandleJitTrip کانال ۱: PWM صفر + ورود به صف احیا</t>
        </is>
      </c>
      <c r="I5" s="51" t="inlineStr">
        <is>
          <t>—</t>
        </is>
      </c>
      <c r="J5" s="51" t="inlineStr">
        <is>
          <t>state=5 کانال ۱</t>
        </is>
      </c>
      <c r="K5" s="51" t="n"/>
      <c r="L5" s="62" t="inlineStr">
        <is>
          <t>در انتظار</t>
        </is>
      </c>
      <c r="M5" s="51" t="n"/>
      <c r="N5" s="51" t="n"/>
      <c r="O5" s="52" t="inlineStr">
        <is>
          <t>(بعد از تست پر شود)</t>
        </is>
      </c>
      <c r="P5" s="52" t="n"/>
      <c r="Q5" s="54">
        <f>IF(OR(L5="",L5="در انتظار"),"",IF(Q5="",TODAY(),Q5))</f>
        <v/>
      </c>
    </row>
    <row r="6" ht="40.5" customHeight="1">
      <c r="A6" s="50" t="inlineStr">
        <is>
          <t>JT-004</t>
        </is>
      </c>
      <c r="B6" s="51" t="inlineStr">
        <is>
          <t>صف احیا تک‌تک</t>
        </is>
      </c>
      <c r="C6" s="73" t="inlineStr">
        <is>
          <t>بالا</t>
        </is>
      </c>
      <c r="D6" s="51" t="inlineStr">
        <is>
          <t>هر دو کانال تریپ‌شده</t>
        </is>
      </c>
      <c r="E6" s="51" t="inlineStr">
        <is>
          <t>گام ۱: هر دو کانال را در حال شارژ داشته باش.
گام ۲: اول JIT1 و بلافاصله JIT2 را تریپ کن.
گام ۳: 30 ثانیه احیا را نگاه کن. کانال‌ها باید یکی‌یکی و به همان ترتیب تریپ احیا شوند.
گام ۴: کانال دوم تا نوبتش در صف می‌ماند. احیای هم‌زمان هر دو با هم قبول نیست.</t>
        </is>
      </c>
      <c r="F6" s="52" t="inlineStr">
        <is>
          <t>JIT1+JIT2</t>
        </is>
      </c>
      <c r="G6" s="52" t="inlineStr">
        <is>
          <t>30s</t>
        </is>
      </c>
      <c r="H6" s="51" t="inlineStr">
        <is>
          <t>احیا یکی‌یکی به ترتیب تریپ؛ کانال دوم در صف می‌ماند</t>
        </is>
      </c>
      <c r="I6" s="51" t="inlineStr">
        <is>
          <t>ترتیب حفظ</t>
        </is>
      </c>
      <c r="J6" s="51" t="inlineStr">
        <is>
          <t>احیای متوالی نه همزمان</t>
        </is>
      </c>
      <c r="K6" s="51" t="n"/>
      <c r="L6" s="62" t="inlineStr">
        <is>
          <t>در انتظار</t>
        </is>
      </c>
      <c r="M6" s="51" t="n"/>
      <c r="N6" s="51" t="n"/>
      <c r="O6" s="52" t="inlineStr">
        <is>
          <t>(بعد از تست پر شود)</t>
        </is>
      </c>
      <c r="P6" s="52" t="n"/>
      <c r="Q6" s="54">
        <f>IF(OR(L6="",L6="در انتظار"),"",IF(Q6="",TODAY(),Q6))</f>
        <v/>
      </c>
    </row>
    <row r="7" ht="40.5" customHeight="1">
      <c r="A7" s="50" t="inlineStr">
        <is>
          <t>JT-005</t>
        </is>
      </c>
      <c r="B7" s="58" t="inlineStr">
        <is>
          <t>arm مجدد comparator</t>
        </is>
      </c>
      <c r="C7" s="59" t="inlineStr">
        <is>
          <t>بالا</t>
        </is>
      </c>
      <c r="D7" s="58" t="inlineStr">
        <is>
          <t>بعد از safe sequence ریتری</t>
        </is>
      </c>
      <c r="E7" s="58" t="inlineStr">
        <is>
          <t>گام ۱: یک کانال را تریپ کن و بگذار توالی امن (safe sequence) تمام شود و ریتری انجام شود.
گام ۲: بعد از ریتری، پاک‌سازی کانال (ClearChannel) را بررسی کن.
گام ۳: یک تریپ تازه روی همان کانال بده.
گام ۴: comparator همان کانال باید دوباره مسلح شده باشد و تریپ تازه مثل بار اول کار کند.</t>
        </is>
      </c>
      <c r="F7" s="61" t="inlineStr">
        <is>
          <t>—</t>
        </is>
      </c>
      <c r="G7" s="61" t="inlineStr">
        <is>
          <t>—</t>
        </is>
      </c>
      <c r="H7" s="58" t="inlineStr">
        <is>
          <t>comparator همان کانال مجدد مسلح می‌شود</t>
        </is>
      </c>
      <c r="I7" s="58" t="inlineStr">
        <is>
          <t>—</t>
        </is>
      </c>
      <c r="J7" s="58" t="inlineStr">
        <is>
          <t>تریپ بعدی دوباره کار می‌کند</t>
        </is>
      </c>
      <c r="K7" s="58" t="n"/>
      <c r="L7" s="62" t="inlineStr">
        <is>
          <t>در انتظار</t>
        </is>
      </c>
      <c r="M7" s="58" t="n"/>
      <c r="N7" s="58" t="n"/>
      <c r="O7" s="61" t="inlineStr">
        <is>
          <t>(بعد از تست پر شود)</t>
        </is>
      </c>
      <c r="P7" s="61" t="n"/>
      <c r="Q7" s="63">
        <f>IF(OR(L7="",L7="در انتظار"),"",IF(Q7="",TODAY(),Q7))</f>
        <v/>
      </c>
    </row>
    <row r="8" ht="54" customHeight="1">
      <c r="A8" s="50" t="inlineStr">
        <is>
          <t>JT-006</t>
        </is>
      </c>
      <c r="B8" s="51" t="inlineStr">
        <is>
          <t>رویداد کهنه در بوت</t>
        </is>
      </c>
      <c r="C8" s="52" t="inlineStr">
        <is>
          <t>متوسط</t>
        </is>
      </c>
      <c r="D8" s="51" t="inlineStr">
        <is>
          <t>بوت تازه</t>
        </is>
      </c>
      <c r="E8" s="51" t="inlineStr">
        <is>
          <t>گام ۱: یک رویداد JIT بساز ولی قبل از اینکه پردازش شود، وضعیت را طوری نگه دار که رویداد «از قبل» مانده باشد.
گام ۲: برد را تازه بوت کن (Init از نو اجرا شود).
گام ۳: بعد از بوت نگاه کن: رویداد مانده باید در Init پاک شده باشد و هیچ تریپ تازه‌ای در بوت نباید زده شود.</t>
        </is>
      </c>
      <c r="F8" s="52" t="inlineStr">
        <is>
          <t>—</t>
        </is>
      </c>
      <c r="G8" s="52" t="inlineStr">
        <is>
          <t>—</t>
        </is>
      </c>
      <c r="H8" s="51" t="inlineStr">
        <is>
          <t>پاک می‌شود؛ تریپ تازه‌ای نمی‌زند</t>
        </is>
      </c>
      <c r="I8" s="51" t="inlineStr">
        <is>
          <t>—</t>
        </is>
      </c>
      <c r="J8" s="51" t="inlineStr">
        <is>
          <t>بدون تریپ در بوت</t>
        </is>
      </c>
      <c r="K8" s="51" t="n"/>
      <c r="L8" s="62" t="inlineStr">
        <is>
          <t>در انتظار</t>
        </is>
      </c>
      <c r="M8" s="51" t="n"/>
      <c r="N8" s="51" t="n"/>
      <c r="O8" s="52" t="inlineStr">
        <is>
          <t>(بعد از تست پر شود)</t>
        </is>
      </c>
      <c r="P8" s="52" t="n"/>
      <c r="Q8" s="54">
        <f>IF(OR(L8="",L8="در انتظار"),"",IF(Q8="",TODAY(),Q8))</f>
        <v/>
      </c>
    </row>
    <row r="9" ht="54" customHeight="1">
      <c r="A9" s="50" t="inlineStr">
        <is>
          <t>JT-007</t>
        </is>
      </c>
      <c r="B9" s="58" t="inlineStr">
        <is>
          <t>JIT در مود دستی</t>
        </is>
      </c>
      <c r="C9" s="59" t="inlineStr">
        <is>
          <t>بالا</t>
        </is>
      </c>
      <c r="D9" s="58" t="inlineStr">
        <is>
          <t>مود تست دستی فعال</t>
        </is>
      </c>
      <c r="E9" s="58" t="inlineStr">
        <is>
          <t>گام ۱: مود تست دستی را فعال کن (پارامتر 19 = 1).
گام ۲: در مود دستی JIT را تریپ کن.
گام ۳: 15 ثانیه نگاه کن: کانال پارک می‌شود (وضعیت 5) و ریتری خودکار نباید بیاید؛ شمارش تریپ باید جمع شود.
گام ۴: فقط وقتی از پنل دوباره duty بفرستی کانال مسلح می‌شود؛ تریپ سوم در همین مود باید FINAL_FAULT بدهد.</t>
        </is>
      </c>
      <c r="F9" s="61" t="inlineStr">
        <is>
          <t>JIT در مود دستی</t>
        </is>
      </c>
      <c r="G9" s="61" t="inlineStr">
        <is>
          <t>15s</t>
        </is>
      </c>
      <c r="H9" s="58" t="inlineStr">
        <is>
          <t>پارک بدون ریتری خودکار؛ شمارش تریپ جمع می‌شود؛ سومین تریپ FINAL_FAULT</t>
        </is>
      </c>
      <c r="I9" s="58" t="inlineStr">
        <is>
          <t>پارک تا re-arm</t>
        </is>
      </c>
      <c r="J9" s="58" t="inlineStr">
        <is>
          <t>state=5؛ فقط ارسال مجدد duty مسلح می‌کند</t>
        </is>
      </c>
      <c r="K9" s="58" t="n"/>
      <c r="L9" s="62" t="inlineStr">
        <is>
          <t>در انتظار</t>
        </is>
      </c>
      <c r="M9" s="58" t="n"/>
      <c r="N9" s="58" t="n"/>
      <c r="O9" s="61" t="inlineStr">
        <is>
          <t>(بعد از تست پر شود)</t>
        </is>
      </c>
      <c r="P9" s="61" t="n"/>
      <c r="Q9" s="63">
        <f>IF(OR(L9="",L9="در انتظار"),"",IF(Q9="",TODAY(),Q9))</f>
        <v/>
      </c>
    </row>
    <row r="10" ht="40.5" customHeight="1"/>
    <row r="11" ht="54" customHeight="1"/>
    <row r="12" ht="40.5" customHeight="1"/>
  </sheetData>
  <mergeCells count="3">
    <mergeCell ref="A3:Q3"/>
    <mergeCell ref="A2:Q2"/>
    <mergeCell ref="A1:Q1"/>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2026-09-23T12:47:22Z</dcterms:created>
  <dcterms:modified xsi:type="dcterms:W3CDTF">2026-10-17T12:44:58Z</dcterms:modified>
</cp:coreProperties>
</file>