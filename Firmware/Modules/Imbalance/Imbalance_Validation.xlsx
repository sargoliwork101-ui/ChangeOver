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برنامه تست" sheetId="2" state="visible" r:id="rId2"/>
    <sheet name="تست‌های آزمایشگاهی" sheetId="3" state="visible" r:id="rId3"/>
    <sheet name="تست‌های برنامه‌نویسی" sheetId="4" state="visible" r:id="rId4"/>
    <sheet name="مراجع سناریو" sheetId="5" state="visible" r:id="rId5"/>
    <sheet name="ثبت ایراد" sheetId="6" state="visible" r:id="rId6"/>
    <sheet name="تأیید نهایی" sheetId="7" state="visible" r:id="rId7"/>
    <sheet name="فهرست‌ها" sheetId="8" state="visible" r:id="rId8"/>
    <sheet name="ماشین حالت" sheetId="9" state="visible" r:id="rId9"/>
  </sheets>
  <definedNames>
    <definedName name="_xlnm._FilterDatabase" localSheetId="1" hidden="1">'برنامه تست'!$A$4:$Q$60</definedName>
    <definedName name="_xlnm.Print_Titles" localSheetId="1">'برنامه تست'!$4:$4</definedName>
    <definedName name="_xlnm._FilterDatabase" localSheetId="2" hidden="1">'تست‌های آزمایشگاهی'!$A$4:$Q$5</definedName>
    <definedName name="_xlnm.Print_Titles" localSheetId="2">'تست‌های آزمایشگاهی'!$4:$4</definedName>
    <definedName name="_xlnm._FilterDatabase" localSheetId="3" hidden="1">'تست‌های برنامه‌نویسی'!$A$4:$Q$5</definedName>
    <definedName name="_xlnm.Print_Titles" localSheetId="3">'تست‌های برنامه‌نویسی'!$4:$4</definedName>
  </definedNames>
  <calcPr calcId="124519" fullCalcOnLoad="1" iterate="1" iterateCount="100" iterateDelta="0.001"/>
</workbook>
</file>

<file path=xl/styles.xml><?xml version="1.0" encoding="utf-8"?>
<styleSheet xmlns="http://schemas.openxmlformats.org/spreadsheetml/2006/main">
  <numFmts count="1">
    <numFmt numFmtId="164" formatCode="yyyy-mm-dd"/>
  </numFmts>
  <fonts count="30">
    <font>
      <name val="Calibri"/>
      <family val="2"/>
      <color theme="1"/>
      <sz val="11"/>
      <scheme val="minor"/>
    </font>
    <font>
      <b val="1"/>
      <sz val="10"/>
    </font>
    <font>
      <sz val="8"/>
    </font>
    <font>
      <b val="1"/>
      <sz val="8"/>
    </font>
    <font>
      <name val="Vazirmatn"/>
      <b val="1"/>
      <color rgb="00FFFFFF"/>
      <sz val="14"/>
    </font>
    <font>
      <name val="Vazirmatn"/>
      <b val="1"/>
      <sz val="10"/>
    </font>
    <font>
      <name val="Vazirmatn"/>
      <color rgb="000563C1"/>
      <sz val="10"/>
      <u val="single"/>
    </font>
    <font>
      <name val="Vazirmatn"/>
      <sz val="10"/>
    </font>
    <font>
      <name val="Tahoma"/>
      <b val="1"/>
      <sz val="10"/>
    </font>
    <font>
      <name val="Tahoma"/>
      <sz val="8"/>
    </font>
    <font>
      <name val="Tahoma"/>
      <b val="1"/>
      <sz val="8"/>
    </font>
    <font>
      <name val="Tahoma"/>
      <color theme="1"/>
      <sz val="11"/>
    </font>
    <font>
      <name val="Tahoma"/>
      <b val="1"/>
      <color rgb="00FFFFFF"/>
      <sz val="14"/>
    </font>
    <font>
      <name val="Tahoma"/>
      <color rgb="000563C1"/>
      <sz val="10"/>
      <u val="single"/>
    </font>
    <font>
      <name val="Tahoma"/>
      <sz val="10"/>
    </font>
    <font>
      <name val="Tahoma"/>
      <b val="1"/>
      <color rgb="00FFFFFF"/>
      <sz val="11"/>
    </font>
    <font>
      <name val="Tahoma"/>
      <b val="1"/>
      <color rgb="001F3864"/>
      <sz val="13"/>
    </font>
    <font>
      <name val="Tahoma"/>
      <b val="1"/>
      <color rgb="00C00000"/>
      <sz val="10"/>
    </font>
    <font>
      <name val="Tahoma"/>
      <b val="1"/>
      <color rgb="000563C1"/>
      <sz val="8"/>
      <u val="single"/>
    </font>
    <font>
      <name val="Tahoma"/>
      <color rgb="000563C1"/>
      <sz val="8"/>
      <u val="single"/>
    </font>
    <font>
      <name val="Tahoma"/>
      <b val="1"/>
      <color rgb="000563C1"/>
      <sz val="10"/>
      <u val="single"/>
    </font>
    <font>
      <name val="Vazirmatn"/>
      <b val="1"/>
      <color rgb="00FFFFFF"/>
      <sz val="11"/>
    </font>
    <font>
      <name val="Vazirmatn"/>
      <b val="1"/>
      <sz val="8"/>
    </font>
    <font>
      <name val="Vazirmatn"/>
      <sz val="8"/>
    </font>
    <font>
      <name val="Vazirmatn"/>
      <color rgb="000563C1"/>
      <sz val="8"/>
      <u val="single"/>
    </font>
    <font>
      <name val="Vazirmatn"/>
      <b val="1"/>
      <color rgb="001F3864"/>
      <sz val="13"/>
    </font>
    <font>
      <name val="Vazirmatn"/>
      <family val="2"/>
      <color theme="1"/>
      <sz val="11"/>
      <scheme val="minor"/>
    </font>
    <font>
      <name val="Vazirmatn"/>
      <b val="1"/>
      <color rgb="00C00000"/>
      <sz val="10"/>
    </font>
    <font>
      <name val="Vazirmatn"/>
      <b val="1"/>
      <color rgb="000563C1"/>
      <sz val="8"/>
      <u val="single"/>
    </font>
    <font>
      <name val="Vazirmatn"/>
      <sz val="11"/>
    </font>
  </fonts>
  <fills count="10">
    <fill>
      <patternFill/>
    </fill>
    <fill>
      <patternFill patternType="gray125"/>
    </fill>
    <fill>
      <patternFill patternType="solid">
        <fgColor rgb="00DDEBF7"/>
      </patternFill>
    </fill>
    <fill>
      <patternFill patternType="solid">
        <fgColor rgb="001F3864"/>
      </patternFill>
    </fill>
    <fill>
      <patternFill patternType="solid">
        <fgColor rgb="00D9E2F3"/>
      </patternFill>
    </fill>
    <fill>
      <patternFill patternType="solid">
        <fgColor rgb="00FFE699"/>
      </patternFill>
    </fill>
    <fill>
      <patternFill patternType="solid">
        <fgColor rgb="00F2F6FC"/>
      </patternFill>
    </fill>
    <fill>
      <patternFill patternType="solid">
        <fgColor rgb="00FCE4D6"/>
      </patternFill>
    </fill>
    <fill>
      <patternFill patternType="solid">
        <fgColor rgb="001F4E79"/>
      </patternFill>
    </fill>
    <fill>
      <patternFill patternType="solid">
        <fgColor rgb="00FFFFFF"/>
      </patternFill>
    </fill>
  </fills>
  <borders count="4">
    <border>
      <left/>
      <right/>
      <top/>
      <bottom/>
      <diagonal/>
    </border>
    <border>
      <left style="thin">
        <color rgb="009DB7E8"/>
      </left>
      <right style="thin">
        <color rgb="009DB7E8"/>
      </right>
      <top style="thin">
        <color rgb="009DB7E8"/>
      </top>
      <bottom style="thin">
        <color rgb="009DB7E8"/>
      </bottom>
    </border>
    <border>
      <left style="thin">
        <color rgb="00B4C6E7"/>
      </left>
      <right style="thin">
        <color rgb="00B4C6E7"/>
      </right>
      <top style="thin">
        <color rgb="00B4C6E7"/>
      </top>
      <bottom style="thin">
        <color rgb="00B4C6E7"/>
      </bottom>
    </border>
    <border/>
  </borders>
  <cellStyleXfs count="1">
    <xf numFmtId="0" fontId="0" fillId="0" borderId="0"/>
  </cellStyleXfs>
  <cellXfs count="90">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0" applyAlignment="1" pivotButton="0" quotePrefix="0" xfId="0">
      <alignment horizontal="left" vertical="center" wrapText="1"/>
    </xf>
    <xf numFmtId="0" fontId="3" fillId="0" borderId="0" pivotButton="0" quotePrefix="0" xfId="0"/>
    <xf numFmtId="0" fontId="4" fillId="3" borderId="0" applyAlignment="1" pivotButton="0" quotePrefix="0" xfId="0">
      <alignment horizontal="center" vertical="center"/>
    </xf>
    <xf numFmtId="0" fontId="5" fillId="0" borderId="1" applyAlignment="1" pivotButton="0" quotePrefix="0" xfId="0">
      <alignment horizontal="right" vertical="center" wrapText="1"/>
    </xf>
    <xf numFmtId="0" fontId="6" fillId="0" borderId="1" applyAlignment="1" pivotButton="0" quotePrefix="0" xfId="0">
      <alignment horizontal="right" vertical="center" wrapText="1"/>
    </xf>
    <xf numFmtId="0" fontId="7" fillId="0" borderId="1" applyAlignment="1" pivotButton="0" quotePrefix="0" xfId="0">
      <alignment horizontal="right" vertical="center" wrapText="1"/>
    </xf>
    <xf numFmtId="0" fontId="8" fillId="0" borderId="0" applyAlignment="1" pivotButton="0" quotePrefix="0" xfId="0">
      <alignment horizontal="left" vertical="center" wrapText="1"/>
    </xf>
    <xf numFmtId="0" fontId="15" fillId="3" borderId="2" applyAlignment="1" pivotButton="0" quotePrefix="0" xfId="0">
      <alignment horizontal="center" vertical="center" wrapText="1"/>
    </xf>
    <xf numFmtId="0" fontId="10"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6" fillId="0" borderId="0" pivotButton="0" quotePrefix="0" xfId="0"/>
    <xf numFmtId="0" fontId="9" fillId="0" borderId="0" pivotButton="0" quotePrefix="0" xfId="0"/>
    <xf numFmtId="0" fontId="8" fillId="4" borderId="2" applyAlignment="1" pivotButton="0" quotePrefix="0" xfId="0">
      <alignment horizontal="center" vertical="center"/>
    </xf>
    <xf numFmtId="0" fontId="14" fillId="0" borderId="2" applyAlignment="1" pivotButton="0" quotePrefix="0" xfId="0">
      <alignment horizontal="right" vertical="center" wrapText="1"/>
    </xf>
    <xf numFmtId="0" fontId="17"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8" fillId="5" borderId="2" applyAlignment="1" pivotButton="0" quotePrefix="0" xfId="0">
      <alignment horizontal="center" vertical="center" wrapText="1"/>
    </xf>
    <xf numFmtId="164" fontId="14" fillId="0" borderId="2" applyAlignment="1" pivotButton="0" quotePrefix="0" xfId="0">
      <alignment horizontal="center" vertical="center" wrapText="1"/>
    </xf>
    <xf numFmtId="0" fontId="14" fillId="6" borderId="2" applyAlignment="1" pivotButton="0" quotePrefix="0" xfId="0">
      <alignment horizontal="right" vertical="center" wrapText="1"/>
    </xf>
    <xf numFmtId="0" fontId="17" fillId="6" borderId="2" applyAlignment="1" pivotButton="0" quotePrefix="0" xfId="0">
      <alignment horizontal="center" vertical="center" wrapText="1"/>
    </xf>
    <xf numFmtId="0" fontId="14" fillId="6" borderId="2" applyAlignment="1" pivotButton="0" quotePrefix="0" xfId="0">
      <alignment horizontal="center" vertical="center" wrapText="1"/>
    </xf>
    <xf numFmtId="164" fontId="14" fillId="6" borderId="2" applyAlignment="1" pivotButton="0" quotePrefix="0" xfId="0">
      <alignment horizontal="center" vertical="center" wrapText="1"/>
    </xf>
    <xf numFmtId="0" fontId="13" fillId="6" borderId="2" applyAlignment="1" pivotButton="0" quotePrefix="0" xfId="0">
      <alignment horizontal="right" vertical="center" wrapText="1"/>
    </xf>
    <xf numFmtId="0" fontId="13" fillId="0" borderId="2" applyAlignment="1" pivotButton="0" quotePrefix="0" xfId="0">
      <alignment horizontal="right" vertical="center" wrapText="1"/>
    </xf>
    <xf numFmtId="0" fontId="8" fillId="7" borderId="2" applyAlignment="1" pivotButton="0" quotePrefix="0" xfId="0">
      <alignment horizontal="center" vertical="center" wrapText="1"/>
    </xf>
    <xf numFmtId="164" fontId="0" fillId="0" borderId="0" pivotButton="0" quotePrefix="0" xfId="0"/>
    <xf numFmtId="0" fontId="10" fillId="2" borderId="0" applyAlignment="1" pivotButton="0" quotePrefix="0" xfId="0">
      <alignment horizontal="center" vertical="center" wrapText="1"/>
    </xf>
    <xf numFmtId="0" fontId="9" fillId="0" borderId="0" applyAlignment="1" pivotButton="0" quotePrefix="0" xfId="0">
      <alignment horizontal="center" vertical="center" wrapText="1"/>
    </xf>
    <xf numFmtId="0" fontId="8" fillId="0" borderId="0" pivotButton="0" quotePrefix="0" xfId="0"/>
    <xf numFmtId="0" fontId="18" fillId="2" borderId="0" applyAlignment="1" pivotButton="0" quotePrefix="0" xfId="0">
      <alignment horizontal="center" vertical="center" wrapText="1"/>
    </xf>
    <xf numFmtId="0" fontId="10" fillId="2" borderId="0" applyAlignment="1" pivotButton="0" quotePrefix="0" xfId="0">
      <alignment horizontal="left" vertical="center" wrapText="1"/>
    </xf>
    <xf numFmtId="0" fontId="10" fillId="0" borderId="0" pivotButton="0" quotePrefix="0" xfId="0"/>
    <xf numFmtId="0" fontId="12" fillId="3" borderId="0" applyAlignment="1" pivotButton="0" quotePrefix="0" xfId="0">
      <alignment horizontal="center" vertical="center"/>
    </xf>
    <xf numFmtId="0" fontId="8" fillId="0" borderId="1" applyAlignment="1" pivotButton="0" quotePrefix="0" xfId="0">
      <alignment horizontal="right" vertical="center" wrapText="1"/>
    </xf>
    <xf numFmtId="0" fontId="13" fillId="0" borderId="1" applyAlignment="1" pivotButton="0" quotePrefix="0" xfId="0">
      <alignment horizontal="right" vertical="center" wrapText="1"/>
    </xf>
    <xf numFmtId="0" fontId="14" fillId="0" borderId="1" applyAlignment="1" pivotButton="0" quotePrefix="0" xfId="0">
      <alignment horizontal="right" vertical="center" wrapText="1"/>
    </xf>
    <xf numFmtId="0" fontId="19" fillId="0" borderId="0" applyAlignment="1" pivotButton="0" quotePrefix="0" xfId="0">
      <alignment horizontal="left" vertical="center" wrapText="1"/>
    </xf>
    <xf numFmtId="0" fontId="14" fillId="0" borderId="0" applyAlignment="1" pivotButton="0" quotePrefix="0" xfId="0">
      <alignment vertical="center" wrapText="1"/>
    </xf>
    <xf numFmtId="0" fontId="20" fillId="4" borderId="2" applyAlignment="1" pivotButton="0" quotePrefix="0" xfId="0">
      <alignment horizontal="center" vertical="center"/>
    </xf>
    <xf numFmtId="0" fontId="5" fillId="0" borderId="0" applyAlignment="1" pivotButton="0" quotePrefix="0" xfId="0">
      <alignment horizontal="left" vertical="center" wrapText="1"/>
    </xf>
    <xf numFmtId="0" fontId="21" fillId="3" borderId="2" applyAlignment="1" pivotButton="0" quotePrefix="0" xfId="0">
      <alignment horizontal="center" vertical="center" wrapText="1"/>
    </xf>
    <xf numFmtId="0" fontId="22"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24" fillId="0" borderId="0" applyAlignment="1" pivotButton="0" quotePrefix="0" xfId="0">
      <alignment horizontal="left" vertical="center" wrapText="1"/>
    </xf>
    <xf numFmtId="0" fontId="25" fillId="0" borderId="0" pivotButton="0" quotePrefix="0" xfId="0"/>
    <xf numFmtId="0" fontId="26" fillId="0" borderId="0" pivotButton="0" quotePrefix="0" xfId="0"/>
    <xf numFmtId="0" fontId="23" fillId="0" borderId="0" pivotButton="0" quotePrefix="0" xfId="0"/>
    <xf numFmtId="0" fontId="5" fillId="4" borderId="2" applyAlignment="1" pivotButton="0" quotePrefix="0" xfId="0">
      <alignment horizontal="center" vertical="center"/>
    </xf>
    <xf numFmtId="0" fontId="7" fillId="0" borderId="2" applyAlignment="1" pivotButton="0" quotePrefix="0" xfId="0">
      <alignment horizontal="right" vertical="center" wrapText="1"/>
    </xf>
    <xf numFmtId="0" fontId="27" fillId="0" borderId="2" applyAlignment="1" pivotButton="0" quotePrefix="0" xfId="0">
      <alignment horizontal="center" vertical="center" wrapText="1"/>
    </xf>
    <xf numFmtId="0" fontId="7" fillId="0" borderId="2" applyAlignment="1" pivotButton="0" quotePrefix="0" xfId="0">
      <alignment horizontal="center" vertical="center" wrapText="1"/>
    </xf>
    <xf numFmtId="0" fontId="5" fillId="5" borderId="2" applyAlignment="1" pivotButton="0" quotePrefix="0" xfId="0">
      <alignment horizontal="center" vertical="center" wrapText="1"/>
    </xf>
    <xf numFmtId="164" fontId="7" fillId="0" borderId="2" applyAlignment="1" pivotButton="0" quotePrefix="0" xfId="0">
      <alignment horizontal="center" vertical="center" wrapText="1"/>
    </xf>
    <xf numFmtId="0" fontId="7" fillId="6" borderId="2" applyAlignment="1" pivotButton="0" quotePrefix="0" xfId="0">
      <alignment horizontal="right" vertical="center" wrapText="1"/>
    </xf>
    <xf numFmtId="0" fontId="27" fillId="6" borderId="2" applyAlignment="1" pivotButton="0" quotePrefix="0" xfId="0">
      <alignment horizontal="center" vertical="center" wrapText="1"/>
    </xf>
    <xf numFmtId="0" fontId="7" fillId="6" borderId="2" applyAlignment="1" pivotButton="0" quotePrefix="0" xfId="0">
      <alignment horizontal="center" vertical="center" wrapText="1"/>
    </xf>
    <xf numFmtId="164" fontId="7" fillId="6" borderId="2" applyAlignment="1" pivotButton="0" quotePrefix="0" xfId="0">
      <alignment horizontal="center" vertical="center" wrapText="1"/>
    </xf>
    <xf numFmtId="0" fontId="6" fillId="6" borderId="2" applyAlignment="1" pivotButton="0" quotePrefix="0" xfId="0">
      <alignment horizontal="right" vertical="center" wrapText="1"/>
    </xf>
    <xf numFmtId="0" fontId="6" fillId="0" borderId="2" applyAlignment="1" pivotButton="0" quotePrefix="0" xfId="0">
      <alignment horizontal="right" vertical="center" wrapText="1"/>
    </xf>
    <xf numFmtId="164" fontId="26" fillId="0" borderId="0" pivotButton="0" quotePrefix="0" xfId="0"/>
    <xf numFmtId="0" fontId="7" fillId="0" borderId="0" applyAlignment="1" pivotButton="0" quotePrefix="0" xfId="0">
      <alignment vertical="center" wrapText="1"/>
    </xf>
    <xf numFmtId="0" fontId="5" fillId="7" borderId="2" applyAlignment="1" pivotButton="0" quotePrefix="0" xfId="0">
      <alignment horizontal="center" vertical="center" wrapText="1"/>
    </xf>
    <xf numFmtId="0" fontId="22" fillId="2" borderId="0" applyAlignment="1" pivotButton="0" quotePrefix="0" xfId="0">
      <alignment horizontal="center" vertical="center" wrapText="1"/>
    </xf>
    <xf numFmtId="0" fontId="23" fillId="0" borderId="0" applyAlignment="1" pivotButton="0" quotePrefix="0" xfId="0">
      <alignment horizontal="center" vertical="center" wrapText="1"/>
    </xf>
    <xf numFmtId="0" fontId="5" fillId="0" borderId="0" pivotButton="0" quotePrefix="0" xfId="0"/>
    <xf numFmtId="0" fontId="28" fillId="2" borderId="0" applyAlignment="1" pivotButton="0" quotePrefix="0" xfId="0">
      <alignment horizontal="center" vertical="center" wrapText="1"/>
    </xf>
    <xf numFmtId="0" fontId="22" fillId="2" borderId="0" applyAlignment="1" pivotButton="0" quotePrefix="0" xfId="0">
      <alignment horizontal="left" vertical="center" wrapText="1"/>
    </xf>
    <xf numFmtId="0" fontId="22" fillId="0" borderId="0" pivotButton="0" quotePrefix="0" xfId="0"/>
    <xf numFmtId="0" fontId="29" fillId="0" borderId="0" pivotButton="0" quotePrefix="0" xfId="0"/>
    <xf numFmtId="0" fontId="29" fillId="0" borderId="3" pivotButton="0" quotePrefix="0" xfId="0"/>
    <xf numFmtId="164" fontId="29" fillId="0" borderId="3" pivotButton="0" quotePrefix="0" xfId="0"/>
    <xf numFmtId="0" fontId="4" fillId="3" borderId="0" applyAlignment="1" pivotButton="0" quotePrefix="0" xfId="0">
      <alignment horizontal="left" vertical="center" wrapText="1"/>
    </xf>
    <xf numFmtId="0" fontId="21" fillId="8" borderId="2" applyAlignment="1" pivotButton="0" quotePrefix="0" xfId="0">
      <alignment horizontal="center" vertical="center" wrapText="1"/>
    </xf>
    <xf numFmtId="0" fontId="23" fillId="4" borderId="0" applyAlignment="1" pivotButton="0" quotePrefix="0" xfId="0">
      <alignment horizontal="left" vertical="center" wrapText="1"/>
    </xf>
    <xf numFmtId="0" fontId="29" fillId="4" borderId="0" pivotButton="0" quotePrefix="0" xfId="0"/>
    <xf numFmtId="0" fontId="4" fillId="3" borderId="0" pivotButton="0" quotePrefix="0" xfId="0"/>
    <xf numFmtId="0" fontId="7" fillId="9" borderId="2" applyAlignment="1" pivotButton="0" quotePrefix="0" xfId="0">
      <alignment horizontal="right" vertical="center" wrapText="1"/>
    </xf>
    <xf numFmtId="0" fontId="27" fillId="9" borderId="2" applyAlignment="1" pivotButton="0" quotePrefix="0" xfId="0">
      <alignment horizontal="center" vertical="center" wrapText="1"/>
    </xf>
    <xf numFmtId="0" fontId="7" fillId="9" borderId="2" applyAlignment="1" pivotButton="0" quotePrefix="0" xfId="0">
      <alignment horizontal="center" vertical="center" wrapText="1"/>
    </xf>
    <xf numFmtId="164" fontId="7" fillId="9" borderId="2" applyAlignment="1" pivotButton="0" quotePrefix="0" xfId="0">
      <alignment horizontal="center" vertical="center" wrapText="1"/>
    </xf>
    <xf numFmtId="0" fontId="6" fillId="9" borderId="2" applyAlignment="1" pivotButton="0" quotePrefix="0" xfId="0">
      <alignment horizontal="right" vertical="center" wrapText="1"/>
    </xf>
    <xf numFmtId="0" fontId="4"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tos/Src/task_control.c" TargetMode="External" Id="rId1" /></Relationships>
</file>

<file path=xl/worksheets/_rels/sheet6.xml.rels><Relationships xmlns="http://schemas.openxmlformats.org/package/2006/relationships"><Relationship Type="http://schemas.openxmlformats.org/officeDocument/2006/relationships/hyperlink" Target="Tester/host_test_imbalance.c" TargetMode="External" Id="rId1" /><Relationship Type="http://schemas.openxmlformats.org/officeDocument/2006/relationships/hyperlink" Target="imbalance.c" TargetMode="External" Id="rId2" /></Relationships>
</file>

<file path=xl/worksheets/_rels/sheet9.xml.rels><Relationships xmlns="http://schemas.openxmlformats.org/package/2006/relationships"><Relationship Type="http://schemas.openxmlformats.org/officeDocument/2006/relationships/hyperlink" Target="Imbalance_State_Machine.xlsx" TargetMode="External" Id="rId1" /><Relationship Type="http://schemas.openxmlformats.org/officeDocument/2006/relationships/hyperlink" Target="../../../Documentation/System_State_Machine.xlsx" TargetMode="External" Id="rId2" /></Relationships>
</file>

<file path=xl/worksheets/sheet1.xml><?xml version="1.0" encoding="utf-8"?>
<worksheet xmlns="http://schemas.openxmlformats.org/spreadsheetml/2006/main">
  <sheetPr>
    <tabColor rgb="007F7F7F"/>
    <outlinePr summaryBelow="1" summaryRight="1"/>
    <pageSetUpPr/>
  </sheetPr>
  <dimension ref="A1:A13"/>
  <sheetViews>
    <sheetView rightToLeft="1" workbookViewId="0">
      <pane ySplit="1" topLeftCell="A2" activePane="bottomLeft" state="frozen"/>
      <selection pane="bottomLeft" activeCell="A1" sqref="A1"/>
    </sheetView>
  </sheetViews>
  <sheetFormatPr baseColWidth="8" defaultRowHeight="15"/>
  <cols>
    <col width="120" customWidth="1" min="1" max="1"/>
  </cols>
  <sheetData>
    <row r="1">
      <c r="A1" s="79" t="inlineStr">
        <is>
          <t>برگه تست و اعتبارسنجی عملی ماژول Imbalance</t>
        </is>
      </c>
    </row>
    <row r="2" ht="30" customHeight="1">
      <c r="A2" s="80" t="inlineStr">
        <is>
          <t>Imbalance | سناریوی ۵: قضاوت عدم‌توازن دو نیم‌باتری با شمارش ماندگار رویداد و قفل</t>
        </is>
      </c>
    </row>
    <row r="3">
      <c r="A3" s="49" t="inlineStr">
        <is>
          <t>هدف فایل</t>
        </is>
      </c>
    </row>
    <row r="4">
      <c r="A4" s="50" t="n"/>
    </row>
    <row r="5">
      <c r="A5" s="50" t="inlineStr">
        <is>
          <t>سناریوی ۵: اختلاف ولتاژ دو نیم‌باتری ۱۲ ولتی دائم چک می‌شود.
اگر اختلاف از حد رد شود، یک «رویداد» شمرده می‌شود. این شمارش ماندگار است و با قطع برق پاک نمی‌شود.</t>
        </is>
      </c>
    </row>
    <row r="6">
      <c r="A6" s="51" t="inlineStr">
        <is>
          <t>این ماژول فقط منطق است و به سخت‌افزار دست نمی‌زند.
همهٔ ورودی‌ها و زمان از بیرون به آن داده می‌شود.
وصل‌کردنش به بقیهٔ برنامه در فایل task_control.c است.</t>
        </is>
      </c>
    </row>
    <row r="7">
      <c r="A7" s="50" t="inlineStr">
        <is>
          <t>هر حد، زمان خودش را دارد:
حد استراحت (شناسهٔ ۱۰۸) فقط وقتی باتری استراحت می‌کند شمرده می‌شود؛ تازه بعد از گذشتن زمان انتظار (شناسهٔ ۱۱۰) از پایان شارژ.
هنگام شارژ، بعد از زمان انتظار (شناسهٔ ۱۱۱) شمرده می‌شود.
هنگام خالی‌شدن باتری (دشارژ)، حد دشارژ (شناسهٔ ۱۰۹) همان لحظه اعمال می‌شود.</t>
        </is>
      </c>
    </row>
    <row r="8">
      <c r="A8" s="81" t="inlineStr">
        <is>
          <t>یک رویداد وقتی شمرده می‌شود که اختلاف، پیوسته و به اندازهٔ زمان پایداری (شناسهٔ ۱۱۲) بالای حد بماند.
پایان هر دوره وقتی است که اختلاف به اندازهٔ هیسترزیس (شناسهٔ ۱۱۳) پایین بیاید.
هر دوره فقط یک بار شمرده می‌شود.</t>
        </is>
      </c>
    </row>
    <row r="9">
      <c r="A9" s="81" t="inlineStr">
        <is>
          <t>اگر تعداد رویدادها به حد قفل (شناسهٔ ۱۱۴) برسد، دستگاه قفل می‌کند:
چراغ قرمز چشمک می‌زند و هر از گاهی بوق می‌آید.
اگر کلید شناسهٔ ۱۱۷ روشن باشد، خروجی هم قطع می‌شود (وتوی خروجی).
اگر در حالت قفل، تعداد سیکل شارژ (شناسهٔ ۱۱۸) کامل شود، شارژ هم بسته می‌شود.</t>
        </is>
      </c>
    </row>
    <row r="10">
      <c r="A10" s="81" t="inlineStr">
        <is>
          <t>اگر باتری ۳ ثانیه پشت سر هم نباشد، یعنی باتری عوض شده است.
آن وقت همهٔ شمارنده‌ها و قفل خودکار از نو شروع می‌شوند.</t>
        </is>
      </c>
    </row>
    <row r="11">
      <c r="A11" s="81" t="inlineStr">
        <is>
          <t>شمارنده‌ها در جای ماندگار (اسلات‌های ۲۰۰ تا ۲۰۲) ذخیره می‌شوند و با قطع برق پاک نمی‌شوند.
تست روی کامپیوتر جای تست روی برد را نمی‌گیرد.</t>
        </is>
      </c>
    </row>
    <row r="12"/>
    <row r="13">
      <c r="A13" s="82" t="inlineStr">
        <is>
          <t>اولویت‌ها ساده‌اند:
«بالا» یعنی اول همین‌ها را تست کن. این‌ها کارهای اصلی دستگاه‌اند: روشن‌شدن، شروع و پایان شارژ، چراغ‌های اصلی، رفتن تغذیه روی برق ورودی و خطاهای اصلی.
«متوسط» یعنی کارهای فرعی ولی کاربردی.
«پایین» یعنی ریزه‌کاری‌ها؛ مثل اثر نوسان کوچک روی ریتم چشمک.
در ستون «چه چیزی باید ببینید تا بگویید درست است» نوشته‌ایم دقیقاً چه باید ببینی یا بشنوی.
اگر چیز دیگری دیدی، وضعیت را «رد» بزن و در «شرح ایراد» بنویس چه دیدی.</t>
        </is>
      </c>
    </row>
  </sheetData>
  <hyperlinks>
    <hyperlink xmlns:r="http://schemas.openxmlformats.org/officeDocument/2006/relationships" ref="A6" r:id="rId1"/>
  </hyperlinks>
  <pageMargins left="0.75" right="0.75" top="1" bottom="1" header="0.5" footer="0.5"/>
</worksheet>
</file>

<file path=xl/worksheets/sheet2.xml><?xml version="1.0" encoding="utf-8"?>
<worksheet xmlns="http://schemas.openxmlformats.org/spreadsheetml/2006/main">
  <sheetPr>
    <tabColor rgb="001F4E79"/>
    <outlinePr summaryBelow="1" summaryRight="1"/>
    <pageSetUpPr fitToPage="1"/>
  </sheetPr>
  <dimension ref="A1:Q60"/>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83" t="inlineStr">
        <is>
          <t>برنامهٔ تست عملی — ماژول Imbalance</t>
        </is>
      </c>
      <c r="B1" s="53" t="n"/>
      <c r="C1" s="53" t="n"/>
      <c r="D1" s="53" t="n"/>
      <c r="E1" s="53" t="n"/>
      <c r="F1" s="53" t="n"/>
      <c r="G1" s="53" t="n"/>
      <c r="H1" s="53" t="n"/>
      <c r="I1" s="53" t="n"/>
      <c r="J1" s="53" t="n"/>
      <c r="K1" s="53" t="n"/>
      <c r="L1" s="53" t="n"/>
      <c r="M1" s="53" t="n"/>
      <c r="N1" s="53" t="n"/>
      <c r="O1" s="53" t="n"/>
      <c r="P1" s="53" t="n"/>
      <c r="Q1" s="53" t="n"/>
    </row>
    <row r="2">
      <c r="A2" s="54" t="inlineStr">
        <is>
          <t>وضعیت فقط یکی از: در انتظار / قبول / رد / مسدود / نیاز به تکرار. تست Host جایگزین تست برد نیست.</t>
        </is>
      </c>
      <c r="B2" s="53" t="n"/>
      <c r="C2" s="53" t="n"/>
      <c r="D2" s="53" t="n"/>
      <c r="E2" s="53" t="n"/>
      <c r="F2" s="53" t="n"/>
      <c r="G2" s="53" t="n"/>
      <c r="H2" s="53" t="n"/>
      <c r="I2" s="53" t="n"/>
      <c r="J2" s="53" t="n"/>
      <c r="K2" s="53" t="n"/>
      <c r="L2" s="53" t="n"/>
      <c r="M2" s="53" t="n"/>
      <c r="N2" s="53" t="n"/>
      <c r="O2" s="53" t="n"/>
      <c r="P2" s="53" t="n"/>
      <c r="Q2" s="53" t="n"/>
    </row>
    <row r="3">
      <c r="A3" s="54" t="inlineStr">
        <is>
          <t>برای هر ردیف پیش‌شرط، ورودی، انتظار و معیار قبولی صریح است؛ نتیجهٔ واقعی فقط با اندازه‌گیری روی برد پر می‌شود.</t>
        </is>
      </c>
      <c r="B3" s="53" t="n"/>
      <c r="C3" s="53" t="n"/>
      <c r="D3" s="53" t="n"/>
      <c r="E3" s="53" t="n"/>
      <c r="F3" s="53" t="n"/>
      <c r="G3" s="53" t="n"/>
      <c r="H3" s="53" t="n"/>
      <c r="I3" s="53" t="n"/>
      <c r="J3" s="53" t="n"/>
      <c r="K3" s="53" t="n"/>
      <c r="L3" s="53" t="n"/>
      <c r="M3" s="53" t="n"/>
      <c r="N3" s="53" t="n"/>
      <c r="O3" s="53" t="n"/>
      <c r="P3" s="53" t="n"/>
      <c r="Q3" s="53" t="n"/>
    </row>
    <row r="4" ht="30" customHeight="1">
      <c r="A4" s="80" t="inlineStr">
        <is>
          <t>شناسه</t>
        </is>
      </c>
      <c r="B4" s="80" t="inlineStr">
        <is>
          <t>دسته</t>
        </is>
      </c>
      <c r="C4" s="80" t="inlineStr">
        <is>
          <t>اولویت</t>
        </is>
      </c>
      <c r="D4" s="80" t="inlineStr">
        <is>
          <t>پیش‌شرط</t>
        </is>
      </c>
      <c r="E4" s="80" t="inlineStr">
        <is>
          <t>روش اجرای دقیق</t>
        </is>
      </c>
      <c r="F4" s="80" t="inlineStr">
        <is>
          <t>ورودی‌ها / شرایط</t>
        </is>
      </c>
      <c r="G4" s="80" t="inlineStr">
        <is>
          <t>مدت مشاهده</t>
        </is>
      </c>
      <c r="H4" s="80" t="inlineStr">
        <is>
          <t>رفتار مورد انتظار</t>
        </is>
      </c>
      <c r="I4" s="80" t="inlineStr">
        <is>
          <t>می‌ماند یا پاک می‌شود</t>
        </is>
      </c>
      <c r="J4" s="80" t="inlineStr">
        <is>
          <t>چه چیزی باید ببینید تا بگویید درست است</t>
        </is>
      </c>
      <c r="K4" s="80" t="inlineStr">
        <is>
          <t>نتیجهٔ واقعی / اندازه‌گیری</t>
        </is>
      </c>
      <c r="L4" s="80" t="inlineStr">
        <is>
          <t>وضعیت</t>
        </is>
      </c>
      <c r="M4" s="80" t="inlineStr">
        <is>
          <t>شرح ایراد / تفاوت</t>
        </is>
      </c>
      <c r="N4" s="80" t="inlineStr">
        <is>
          <t>مدرک تست</t>
        </is>
      </c>
      <c r="O4" s="80" t="inlineStr">
        <is>
          <t>نسخهٔ برنامه</t>
        </is>
      </c>
      <c r="P4" s="80" t="inlineStr">
        <is>
          <t>نام تست‌کننده</t>
        </is>
      </c>
      <c r="Q4" s="80" t="inlineStr">
        <is>
          <t>تاریخ</t>
        </is>
      </c>
    </row>
    <row r="5" ht="54" customHeight="1">
      <c r="A5" s="55" t="inlineStr">
        <is>
          <t>IM-001</t>
        </is>
      </c>
      <c r="B5" s="61" t="inlineStr">
        <is>
          <t>آستانهٔ استراحت</t>
        </is>
      </c>
      <c r="C5" s="62" t="inlineStr">
        <is>
          <t>متوسط</t>
        </is>
      </c>
      <c r="D5" s="61" t="inlineStr">
        <is>
          <t>دو باتری ۱۲ ولت وصل است؛ دستگاه خاموش و بیکار (نه شارژ، نه بار)</t>
        </is>
      </c>
      <c r="E5" s="61" t="inlineStr">
        <is>
          <t>گام ۱: یکی از باتری‌ها را با یک لامپ ۱۲ ولت کمی خالی کن تا از آن یکی ضعیف‌تر شود.
گام ۲: باتری‌ها را سر جا وصل کن و دستگاه را نیم ساعت بیکار بگذار.
گام ۳: در پنل ببین رویداد عدم‌توازن شمرده شده یا نه.</t>
        </is>
      </c>
      <c r="F5" s="63" t="inlineStr">
        <is>
          <t>یک نیم ضعیف‌تر در حالت استراحت</t>
        </is>
      </c>
      <c r="G5" s="63" t="inlineStr">
        <is>
          <t>نیم ساعت</t>
        </is>
      </c>
      <c r="H5" s="61" t="inlineStr">
        <is>
          <t>اختلاف دو باتری در استراحت دیده و یک رویداد شمرده می‌شود</t>
        </is>
      </c>
      <c r="I5" s="61" t="inlineStr">
        <is>
          <t>رویداد در شمارنده می‌ماند</t>
        </is>
      </c>
      <c r="J5" s="61" t="inlineStr">
        <is>
          <t>باید ببینید: اختلاف دو باتری در استراحت در پنل دیده می‌شود و یک رویداد شمرده می‌شود. اگر با اختلاف واضح نشمرد، قبول نیست.</t>
        </is>
      </c>
      <c r="K5" s="61" t="inlineStr">
        <is>
          <t>در انتظار</t>
        </is>
      </c>
      <c r="L5" s="59" t="inlineStr">
        <is>
          <t>در انتظار</t>
        </is>
      </c>
      <c r="M5" s="56" t="n"/>
      <c r="N5" s="61" t="inlineStr">
        <is>
          <t>(بعد از تست پر شود)</t>
        </is>
      </c>
      <c r="O5" s="63" t="inlineStr">
        <is>
          <t>(بعد از تست پر شود)</t>
        </is>
      </c>
      <c r="P5" s="63" t="inlineStr">
        <is>
          <t>(بعد از تست پر شود)</t>
        </is>
      </c>
      <c r="Q5" s="64">
        <f>IF(OR(L5="",L5="در انتظار"),"",IF(Q5="",TODAY(),Q5))</f>
        <v/>
      </c>
    </row>
    <row r="6" ht="54" customHeight="1">
      <c r="A6" s="55" t="inlineStr">
        <is>
          <t>IM-003</t>
        </is>
      </c>
      <c r="B6" s="84" t="inlineStr">
        <is>
          <t>آستانهٔ دشارژ</t>
        </is>
      </c>
      <c r="C6" s="85" t="inlineStr">
        <is>
          <t>متوسط</t>
        </is>
      </c>
      <c r="D6" s="84" t="inlineStr">
        <is>
          <t>دستگاه روی باتری دارد به یک بار واقعی کار می‌کند</t>
        </is>
      </c>
      <c r="E6" s="84" t="inlineStr">
        <is>
          <t>گام ۱: حین کار، باتری‌ای که ضعیف‌تر است را زیر نظر بگیر (از اول یکی را کمی خالی‌تر وصل کن).
گام ۲: بگذار دستگاه مدتی با بار کار کند.
گام ۳: شمارندهٔ رویداد را در پنل چک کن.</t>
        </is>
      </c>
      <c r="F6" s="86" t="inlineStr">
        <is>
          <t>دو باتری نابرابر زیر بار واقعی</t>
        </is>
      </c>
      <c r="G6" s="86" t="inlineStr">
        <is>
          <t>نیم ساعت</t>
        </is>
      </c>
      <c r="H6" s="84" t="inlineStr">
        <is>
          <t>اختلاف زیر بار هم دیده و رویداد شمرده می‌شود</t>
        </is>
      </c>
      <c r="I6" s="84" t="inlineStr">
        <is>
          <t>رویداد در شمارنده می‌ماند</t>
        </is>
      </c>
      <c r="J6" s="84" t="inlineStr">
        <is>
          <t>باید ببینید: اختلاف زیر بار هم دیده و رویداد شمرده می‌شود. اگر فقط در استراحت شمرد، قبول نیست.</t>
        </is>
      </c>
      <c r="K6" s="84" t="inlineStr">
        <is>
          <t>در انتظار</t>
        </is>
      </c>
      <c r="L6" s="59" t="inlineStr">
        <is>
          <t>در انتظار</t>
        </is>
      </c>
      <c r="M6" s="56" t="n"/>
      <c r="N6" s="84" t="inlineStr">
        <is>
          <t>(بعد از تست پر شود)</t>
        </is>
      </c>
      <c r="O6" s="86" t="inlineStr">
        <is>
          <t>(بعد از تست پر شود)</t>
        </is>
      </c>
      <c r="P6" s="86" t="inlineStr">
        <is>
          <t>(بعد از تست پر شود)</t>
        </is>
      </c>
      <c r="Q6" s="87">
        <f>IF(OR(L6="",L6="در انتظار"),"",IF(Q6="",TODAY(),Q6))</f>
        <v/>
      </c>
    </row>
    <row r="7" ht="54" customHeight="1">
      <c r="A7" s="55" t="inlineStr">
        <is>
          <t>IM-007</t>
        </is>
      </c>
      <c r="B7" s="61" t="inlineStr">
        <is>
          <t>قفل شدن</t>
        </is>
      </c>
      <c r="C7" s="62" t="inlineStr">
        <is>
          <t>متوسط</t>
        </is>
      </c>
      <c r="D7" s="61" t="inlineStr">
        <is>
          <t>دو باتری نابرابر داری؛ برای زود دیدن نتیجه از پنل حدّ رویدادهای مجاز را موقتاً روی یک بگذار</t>
        </is>
      </c>
      <c r="E7" s="65" t="inlineStr">
        <is>
          <t>گام ۱: یک رویداد عدم‌توازن بساز (مثل IM-001).
گام ۲: وقتی قفل شد چراغ‌ها را ببین: فقط قرمز چشمک می‌زند، سبز و زرد خاموش‌اند.
گام ۳: حدّ را از پنل به مقدار واقعی برگردان.</t>
        </is>
      </c>
      <c r="F7" s="63" t="inlineStr">
        <is>
          <t>رویداد عدم‌توازن با حدّ موقتِ یک</t>
        </is>
      </c>
      <c r="G7" s="63" t="inlineStr">
        <is>
          <t>نیم ساعت</t>
        </is>
      </c>
      <c r="H7" s="61" t="inlineStr">
        <is>
          <t>قفل عدم‌توازن می‌نشیند: قرمز چشمک‌زنِ تنها، بدون سبز و زرد</t>
        </is>
      </c>
      <c r="I7" s="61" t="inlineStr">
        <is>
          <t>قفل تا تعویض باتری</t>
        </is>
      </c>
      <c r="J7" s="61" t="inlineStr">
        <is>
          <t>باید ببینید: قفل می‌نشیند؛ فقط قرمز چشمک می‌زند و سبز و زرد خاموش‌اند. اگر قفل نشد یا چهره اشتباه بود، قبول نیست.</t>
        </is>
      </c>
      <c r="K7" s="61" t="inlineStr">
        <is>
          <t>در انتظار</t>
        </is>
      </c>
      <c r="L7" s="59" t="inlineStr">
        <is>
          <t>در انتظار</t>
        </is>
      </c>
      <c r="M7" s="56" t="n"/>
      <c r="N7" s="61" t="inlineStr">
        <is>
          <t>(بعد از تست پر شود)</t>
        </is>
      </c>
      <c r="O7" s="63" t="inlineStr">
        <is>
          <t>(بعد از تست پر شود)</t>
        </is>
      </c>
      <c r="P7" s="63" t="inlineStr">
        <is>
          <t>(بعد از تست پر شود)</t>
        </is>
      </c>
      <c r="Q7" s="64">
        <f>IF(OR(L7="",L7="در انتظار"),"",IF(Q7="",TODAY(),Q7))</f>
        <v/>
      </c>
    </row>
    <row r="8" ht="54" customHeight="1">
      <c r="A8" s="55" t="inlineStr">
        <is>
          <t>IM-010</t>
        </is>
      </c>
      <c r="B8" s="84" t="inlineStr">
        <is>
          <t>وتوی خروجی</t>
        </is>
      </c>
      <c r="C8" s="85" t="inlineStr">
        <is>
          <t>متوسط</t>
        </is>
      </c>
      <c r="D8" s="84" t="inlineStr">
        <is>
          <t>قفل عدم‌توازن فعال است و از پنل گزینهٔ «قطع خروجی هنگام قفل» روشن است؛ یک بار روی خروجی داری</t>
        </is>
      </c>
      <c r="E8" s="84" t="inlineStr">
        <is>
          <t>گام ۱: برق شهر را بکش.
گام ۲: بار را نگاه کن؛ نباید از این باتری روشن شود.
گام ۳: برق شهر را برگردان.</t>
        </is>
      </c>
      <c r="F8" s="86" t="inlineStr">
        <is>
          <t>قطع برق شهر در قفل با وتوی خروجی</t>
        </is>
      </c>
      <c r="G8" s="86" t="inlineStr">
        <is>
          <t>پنج دقیقه</t>
        </is>
      </c>
      <c r="H8" s="84" t="inlineStr">
        <is>
          <t>باتریِ قفل‌شده روی خروجی نمی‌آید و بار روشن نمی‌شود؛ با برگشت برق شهر کار عادی می‌شود</t>
        </is>
      </c>
      <c r="I8" s="84" t="inlineStr">
        <is>
          <t>وتو تا پاک‌شدن قفل</t>
        </is>
      </c>
      <c r="J8" s="84" t="inlineStr">
        <is>
          <t>باید ببینید: باتریِ قفل‌شده روی خروجی نمی‌آید و بار روشن نمی‌شود؛ با برگشت برق شهر کار عادی می‌شود. اگر بار از باتری قفل‌شده روشن شد، قبول نیست.</t>
        </is>
      </c>
      <c r="K8" s="84" t="inlineStr">
        <is>
          <t>در انتظار</t>
        </is>
      </c>
      <c r="L8" s="59" t="inlineStr">
        <is>
          <t>در انتظار</t>
        </is>
      </c>
      <c r="M8" s="61" t="n"/>
      <c r="N8" s="84" t="inlineStr">
        <is>
          <t>(بعد از تست پر شود)</t>
        </is>
      </c>
      <c r="O8" s="86" t="inlineStr">
        <is>
          <t>(بعد از تست پر شود)</t>
        </is>
      </c>
      <c r="P8" s="86" t="inlineStr">
        <is>
          <t>(بعد از تست پر شود)</t>
        </is>
      </c>
      <c r="Q8" s="87">
        <f>IF(OR(L8="",L8="در انتظار"),"",IF(Q8="",TODAY(),Q8))</f>
        <v/>
      </c>
    </row>
    <row r="9" ht="54" customHeight="1">
      <c r="A9" s="55" t="inlineStr">
        <is>
          <t>IM-013</t>
        </is>
      </c>
      <c r="B9" s="61" t="inlineStr">
        <is>
          <t>ریست با تعویض باتری</t>
        </is>
      </c>
      <c r="C9" s="62" t="inlineStr">
        <is>
          <t>متوسط</t>
        </is>
      </c>
      <c r="D9" s="61" t="inlineStr">
        <is>
          <t>قفل عدم‌توازن فعال است و چراغ قرمز چشمک می‌زند</t>
        </is>
      </c>
      <c r="E9" s="61" t="inlineStr">
        <is>
          <t>گام ۱: هر دو باتری را با دو باتری سالم و هم‌شارژ عوض کن.
گام ۲: چند دقیقه صبر کن و چراغ‌ها را ببین.</t>
        </is>
      </c>
      <c r="F9" s="63" t="inlineStr">
        <is>
          <t>تعویض واقعی هر دو باتری</t>
        </is>
      </c>
      <c r="G9" s="63" t="inlineStr">
        <is>
          <t>ربع ساعت</t>
        </is>
      </c>
      <c r="H9" s="61" t="inlineStr">
        <is>
          <t>قفل خودش پاک می‌شود، چشمک قرمز می‌رود و رفتار عادی برمی‌گردد</t>
        </is>
      </c>
      <c r="I9" s="61" t="inlineStr">
        <is>
          <t>پاک‌شدن خودکار با تعویض</t>
        </is>
      </c>
      <c r="J9" s="61" t="inlineStr">
        <is>
          <t>باید ببینید: با تعویض باتری قفل خودش پاک می‌شود، چشمک قرمز می‌رود و رفتار عادی برمی‌گردد. اگر با باتری سالم قفل ماند، قبول نیست.</t>
        </is>
      </c>
      <c r="K9" s="61" t="inlineStr">
        <is>
          <t>در انتظار</t>
        </is>
      </c>
      <c r="L9" s="59" t="inlineStr">
        <is>
          <t>در انتظار</t>
        </is>
      </c>
      <c r="M9" s="56" t="n"/>
      <c r="N9" s="61" t="inlineStr">
        <is>
          <t>(بعد از تست پر شود)</t>
        </is>
      </c>
      <c r="O9" s="63" t="inlineStr">
        <is>
          <t>(بعد از تست پر شود)</t>
        </is>
      </c>
      <c r="P9" s="63" t="inlineStr">
        <is>
          <t>(بعد از تست پر شود)</t>
        </is>
      </c>
      <c r="Q9" s="64">
        <f>IF(OR(L9="",L9="در انتظار"),"",IF(Q9="",TODAY(),Q9))</f>
        <v/>
      </c>
    </row>
    <row r="10" ht="54" customHeight="1">
      <c r="A10" s="55" t="inlineStr">
        <is>
          <t>IM-002</t>
        </is>
      </c>
      <c r="B10" s="84" t="inlineStr">
        <is>
          <t>گیت زمانی پس از شارژ</t>
        </is>
      </c>
      <c r="C10" s="85" t="inlineStr">
        <is>
          <t>متوسط</t>
        </is>
      </c>
      <c r="D10" s="84" t="inlineStr">
        <is>
          <t>باتری‌ها تازه شارژشان تمام شده است</t>
        </is>
      </c>
      <c r="E10" s="84" t="inlineStr">
        <is>
          <t>گام ۱: درست بعد از تمام‌شدن شارژ، یک باتری را کمی ضعیف کن (لامپ ۱۲ ولت).
گام ۲: در همان دقایق اول پنل را چک کن.</t>
        </is>
      </c>
      <c r="F10" s="86" t="inlineStr">
        <is>
          <t>اختلاف بلافاصله بعد از شارژ</t>
        </is>
      </c>
      <c r="G10" s="86" t="inlineStr">
        <is>
          <t>ربع ساعت</t>
        </is>
      </c>
      <c r="H10" s="84" t="inlineStr">
        <is>
          <t>درست بعد از شارژ رویداد حساب نمی‌شود؛ دستگاه اول فرصت استراحت و جاافتادن می‌دهد</t>
        </is>
      </c>
      <c r="I10" s="84" t="inlineStr">
        <is>
          <t>بدون رویداد زودهنگام</t>
        </is>
      </c>
      <c r="J10" s="84" t="inlineStr">
        <is>
          <t>باید ببینید: درست بعد از شارژ رویدادی حساب نمی‌شود و دستگاه اول فرصت استراحت می‌دهد. اگر فوری بعد از شارژ رویداد شمرد، قبول نیست.</t>
        </is>
      </c>
      <c r="K10" s="84" t="inlineStr">
        <is>
          <t>در انتظار</t>
        </is>
      </c>
      <c r="L10" s="59" t="inlineStr">
        <is>
          <t>در انتظار</t>
        </is>
      </c>
      <c r="M10" s="61" t="n"/>
      <c r="N10" s="84" t="inlineStr">
        <is>
          <t>(بعد از تست پر شود)</t>
        </is>
      </c>
      <c r="O10" s="86" t="inlineStr">
        <is>
          <t>(بعد از تست پر شود)</t>
        </is>
      </c>
      <c r="P10" s="86" t="inlineStr">
        <is>
          <t>(بعد از تست پر شود)</t>
        </is>
      </c>
      <c r="Q10" s="87">
        <f>IF(OR(L10="",L10="در انتظار"),"",IF(Q10="",TODAY(),Q10))</f>
        <v/>
      </c>
    </row>
    <row r="11" ht="54" customHeight="1">
      <c r="A11" s="55" t="inlineStr">
        <is>
          <t>IM-004</t>
        </is>
      </c>
      <c r="B11" s="61" t="inlineStr">
        <is>
          <t>هیسترزیس پایان اپیزود</t>
        </is>
      </c>
      <c r="C11" s="62" t="inlineStr">
        <is>
          <t>متوسط</t>
        </is>
      </c>
      <c r="D11" s="61" t="inlineStr">
        <is>
          <t>یک اپیزود عدم‌توازن در جریان است (اختلاف دو باتری نزدیک مرز تمام‌شدن)</t>
        </is>
      </c>
      <c r="E11" s="61" t="inlineStr">
        <is>
          <t>گام ۱: اختلاف دو باتری را آرام کم کن (باتری ضعیف را کمی شارژ یا با سالم‌تر عوض کن).
گام ۲: بعد کمی دوباره اختلاف بساز و کم کن.
گام ۳: شمارنده و وضعیت اپیزود را در پنل نگاه کن.</t>
        </is>
      </c>
      <c r="F11" s="63" t="inlineStr">
        <is>
          <t>کم و زیاد کردن آرام اختلاف دور مرز پایان</t>
        </is>
      </c>
      <c r="G11" s="63" t="inlineStr">
        <is>
          <t>ربع ساعت</t>
        </is>
      </c>
      <c r="H11" s="61" t="inlineStr">
        <is>
          <t>اپیزود با هر تغییر کوچک باز و بسته نمی‌شود؛ پایانش تمیز و یک‌باره است</t>
        </is>
      </c>
      <c r="I11" s="61" t="inlineStr">
        <is>
          <t>پایان پایدار</t>
        </is>
      </c>
      <c r="J11" s="61" t="inlineStr">
        <is>
          <t>باید ببینید: اپیزود با هر تغییر کوچک باز و بسته نمی‌شود و پایانش تمیز و یک‌باره است. اگر تندتند باز و بسته شد، قبول نیست.</t>
        </is>
      </c>
      <c r="K11" s="61" t="inlineStr">
        <is>
          <t>در انتظار</t>
        </is>
      </c>
      <c r="L11" s="59" t="inlineStr">
        <is>
          <t>در انتظار</t>
        </is>
      </c>
      <c r="M11" s="61" t="n"/>
      <c r="N11" s="61" t="inlineStr">
        <is>
          <t>(بعد از تست پر شود)</t>
        </is>
      </c>
      <c r="O11" s="63" t="inlineStr">
        <is>
          <t>(بعد از تست پر شود)</t>
        </is>
      </c>
      <c r="P11" s="63" t="inlineStr">
        <is>
          <t>(بعد از تست پر شود)</t>
        </is>
      </c>
      <c r="Q11" s="64">
        <f>IF(OR(L11="",L11="در انتظار"),"",IF(Q11="",TODAY(),Q11))</f>
        <v/>
      </c>
    </row>
    <row r="12" ht="54" customHeight="1">
      <c r="A12" s="55" t="inlineStr">
        <is>
          <t>IM-006</t>
        </is>
      </c>
      <c r="B12" s="84" t="inlineStr">
        <is>
          <t>ماندگاری شمارنده</t>
        </is>
      </c>
      <c r="C12" s="85" t="inlineStr">
        <is>
          <t>متوسط</t>
        </is>
      </c>
      <c r="D12" s="88" t="inlineStr">
        <is>
          <t>چند رویداد عدم‌توازن را با IM-001 ساخته‌ای و شمرده شده‌اند</t>
        </is>
      </c>
      <c r="E12" s="84" t="inlineStr">
        <is>
          <t>گام ۱: برق دستگاه را کامل قطع کن و یک دقیقه صبر کن.
گام ۲: دوباره روشن کن و شمارنده را در پنل بخوان.</t>
        </is>
      </c>
      <c r="F12" s="86" t="inlineStr">
        <is>
          <t>قطع و وصل کامل برق</t>
        </is>
      </c>
      <c r="G12" s="86" t="inlineStr">
        <is>
          <t>پنج دقیقه</t>
        </is>
      </c>
      <c r="H12" s="84" t="inlineStr">
        <is>
          <t>شمارندهٔ رویدادها بعد از روشن‌شدن سر جایش هست و از صفر شروع نشده</t>
        </is>
      </c>
      <c r="I12" s="84" t="inlineStr">
        <is>
          <t>ماندگار در قطع برق</t>
        </is>
      </c>
      <c r="J12" s="84" t="inlineStr">
        <is>
          <t>باید ببینید: شمارندهٔ رویدادها بعد از خاموش و روشن‌کردن سر جایش است و از صفر شروع نشده. اگر صفر شده بود، قبول نیست.</t>
        </is>
      </c>
      <c r="K12" s="84" t="inlineStr">
        <is>
          <t>در انتظار</t>
        </is>
      </c>
      <c r="L12" s="59" t="inlineStr">
        <is>
          <t>در انتظار</t>
        </is>
      </c>
      <c r="M12" s="61" t="n"/>
      <c r="N12" s="84" t="inlineStr">
        <is>
          <t>(بعد از تست پر شود)</t>
        </is>
      </c>
      <c r="O12" s="86" t="inlineStr">
        <is>
          <t>(بعد از تست پر شود)</t>
        </is>
      </c>
      <c r="P12" s="86" t="inlineStr">
        <is>
          <t>(بعد از تست پر شود)</t>
        </is>
      </c>
      <c r="Q12" s="87">
        <f>IF(OR(L12="",L12="در انتظار"),"",IF(Q12="",TODAY(),Q12))</f>
        <v/>
      </c>
    </row>
    <row r="13" ht="54" customHeight="1">
      <c r="A13" s="55" t="inlineStr">
        <is>
          <t>IM-009</t>
        </is>
      </c>
      <c r="B13" s="61" t="inlineStr">
        <is>
          <t>بوق ساعتی</t>
        </is>
      </c>
      <c r="C13" s="63" t="inlineStr">
        <is>
          <t>متوسط</t>
        </is>
      </c>
      <c r="D13" s="65" t="inlineStr">
        <is>
          <t>قفل عدم‌توازن فعال است (IM-007)؛ از پنل دورهٔ بوق قفل را موقتاً کوتاه کرده‌ای</t>
        </is>
      </c>
      <c r="E13" s="61" t="inlineStr">
        <is>
          <t>گام ۱: با کرنومتر صبر کن تا وقت بوق برسد.
گام ۲: به بوق و چراغ قرمز دقت کن.
گام ۳: دورهٔ بوق را به مقدار واقعی برگردان.</t>
        </is>
      </c>
      <c r="F13" s="63" t="inlineStr">
        <is>
          <t>قفل فعال با دورهٔ بوق کوتاه‌شده</t>
        </is>
      </c>
      <c r="G13" s="63" t="inlineStr">
        <is>
          <t>چند دقیقه</t>
        </is>
      </c>
      <c r="H13" s="61" t="inlineStr">
        <is>
          <t>سر وقت، یک بوق کوتاه می‌آید و قرمز همچنان چشمک می‌زند</t>
        </is>
      </c>
      <c r="I13" s="61" t="inlineStr">
        <is>
          <t>بوق دوره‌ای در قفل</t>
        </is>
      </c>
      <c r="J13" s="61" t="inlineStr">
        <is>
          <t>باید بشنوید و ببینید: سر وقت یک بوق کوتاه می‌آید و قرمز همچنان چشمک می‌زند. اگر بوق نیامد یا به‌هم‌ریخته بود، قبول نیست.</t>
        </is>
      </c>
      <c r="K13" s="61" t="inlineStr">
        <is>
          <t>در انتظار</t>
        </is>
      </c>
      <c r="L13" s="59" t="inlineStr">
        <is>
          <t>در انتظار</t>
        </is>
      </c>
      <c r="M13" s="56" t="n"/>
      <c r="N13" s="61" t="inlineStr">
        <is>
          <t>(بعد از تست پر شود)</t>
        </is>
      </c>
      <c r="O13" s="63" t="inlineStr">
        <is>
          <t>(بعد از تست پر شود)</t>
        </is>
      </c>
      <c r="P13" s="63" t="inlineStr">
        <is>
          <t>(بعد از تست پر شود)</t>
        </is>
      </c>
      <c r="Q13" s="64">
        <f>IF(OR(L13="",L13="در انتظار"),"",IF(Q13="",TODAY(),Q13))</f>
        <v/>
      </c>
    </row>
    <row r="14" ht="54" customHeight="1">
      <c r="A14" s="55" t="inlineStr">
        <is>
          <t>IM-011</t>
        </is>
      </c>
      <c r="B14" s="84" t="inlineStr">
        <is>
          <t>برداشتن تیک ۱۱۷</t>
        </is>
      </c>
      <c r="C14" s="86" t="inlineStr">
        <is>
          <t>متوسط</t>
        </is>
      </c>
      <c r="D14" s="84" t="inlineStr">
        <is>
          <t>قفل عدم‌توازن فعال است؛ گزینهٔ قطع خروجی را از پنل خاموش می‌کنی</t>
        </is>
      </c>
      <c r="E14" s="84" t="inlineStr">
        <is>
          <t>گام ۱: تیک قطع خروجی را از پنل بردار.
گام ۲: برق شهر را بکش و بار را نگاه کن.</t>
        </is>
      </c>
      <c r="F14" s="86" t="inlineStr">
        <is>
          <t>برداشتن تیک قطع خروجی در قفل</t>
        </is>
      </c>
      <c r="G14" s="86" t="inlineStr">
        <is>
          <t>پنج دقیقه</t>
        </is>
      </c>
      <c r="H14" s="84" t="inlineStr">
        <is>
          <t>این بار باتری روی خروجی می‌آید و بار کار می‌کند، هرچند قفل هنوز هست</t>
        </is>
      </c>
      <c r="I14" s="84" t="inlineStr">
        <is>
          <t>وتو تابع تیک پنل</t>
        </is>
      </c>
      <c r="J14" s="84" t="inlineStr">
        <is>
          <t>باید ببینید: با برداشتن تیک، باتری روی خروجی می‌آید و بار کار می‌کند هرچند قفل هنوز هست. اگر وتو همیشگی ماند، قبول نیست.</t>
        </is>
      </c>
      <c r="K14" s="84" t="inlineStr">
        <is>
          <t>در انتظار</t>
        </is>
      </c>
      <c r="L14" s="59" t="inlineStr">
        <is>
          <t>در انتظار</t>
        </is>
      </c>
      <c r="M14" s="56" t="n"/>
      <c r="N14" s="84" t="inlineStr">
        <is>
          <t>(بعد از تست پر شود)</t>
        </is>
      </c>
      <c r="O14" s="86" t="inlineStr">
        <is>
          <t>(بعد از تست پر شود)</t>
        </is>
      </c>
      <c r="P14" s="86" t="inlineStr">
        <is>
          <t>(بعد از تست پر شود)</t>
        </is>
      </c>
      <c r="Q14" s="87">
        <f>IF(OR(L14="",L14="در انتظار"),"",IF(Q14="",TODAY(),Q14))</f>
        <v/>
      </c>
    </row>
    <row r="15" ht="54" customHeight="1">
      <c r="A15" s="55" t="inlineStr">
        <is>
          <t>IM-012</t>
        </is>
      </c>
      <c r="B15" s="61" t="inlineStr">
        <is>
          <t>بودجهٔ سیکل شارژ</t>
        </is>
      </c>
      <c r="C15" s="62" t="inlineStr">
        <is>
          <t>متوسط</t>
        </is>
      </c>
      <c r="D15" s="61" t="inlineStr">
        <is>
          <t>قفل عدم‌توازن فعال است و شارژ باتری قفل‌شده هنوز اجازه دارد</t>
        </is>
      </c>
      <c r="E15" s="61" t="inlineStr">
        <is>
          <t>گام ۱: چند چرخهٔ شارژ کامل روی همان باتری انجام بده.
گام ۲: بعد از هر چرخه ببین شارژ هنوز شروع می‌شود یا نه.</t>
        </is>
      </c>
      <c r="F15" s="63" t="inlineStr">
        <is>
          <t>چند چرخهٔ شارژ پشت سر هم در قفل</t>
        </is>
      </c>
      <c r="G15" s="63" t="inlineStr">
        <is>
          <t>چند چرخهٔ شارژ</t>
        </is>
      </c>
      <c r="H15" s="61" t="inlineStr">
        <is>
          <t>بعد از تمام‌شدن بودجهٔ چرخه‌های مجاز، شارژ آن باتری هم دیگر شروع نمی‌شود</t>
        </is>
      </c>
      <c r="I15" s="61" t="inlineStr">
        <is>
          <t>توقف شارژ بعد از بودجه</t>
        </is>
      </c>
      <c r="J15" s="61" t="inlineStr">
        <is>
          <t>باید ببینید: بعد از تمام‌شدن چرخه‌های مجاز، شارژ آن باتری دیگر شروع نمی‌شود. اگر بی‌نهایت شارژ شد، قبول نیست.</t>
        </is>
      </c>
      <c r="K15" s="61" t="inlineStr">
        <is>
          <t>در انتظار</t>
        </is>
      </c>
      <c r="L15" s="59" t="inlineStr">
        <is>
          <t>در انتظار</t>
        </is>
      </c>
      <c r="M15" s="61" t="n"/>
      <c r="N15" s="61" t="inlineStr">
        <is>
          <t>(بعد از تست پر شود)</t>
        </is>
      </c>
      <c r="O15" s="63" t="inlineStr">
        <is>
          <t>(بعد از تست پر شود)</t>
        </is>
      </c>
      <c r="P15" s="63" t="inlineStr">
        <is>
          <t>(بعد از تست پر شود)</t>
        </is>
      </c>
      <c r="Q15" s="64">
        <f>IF(OR(L15="",L15="در انتظار"),"",IF(Q15="",TODAY(),Q15))</f>
        <v/>
      </c>
    </row>
    <row r="16" ht="54" customHeight="1">
      <c r="A16" s="55" t="inlineStr">
        <is>
          <t>IM-014</t>
        </is>
      </c>
      <c r="B16" s="84" t="inlineStr">
        <is>
          <t>جدا شدن کوتاه</t>
        </is>
      </c>
      <c r="C16" s="86" t="inlineStr">
        <is>
          <t>متوسط</t>
        </is>
      </c>
      <c r="D16" s="84" t="inlineStr">
        <is>
          <t>قفل عدم‌توازن فعال است</t>
        </is>
      </c>
      <c r="E16" s="88" t="inlineStr">
        <is>
          <t>گام ۱: باتری‌ها را فقط چند ثانیه جدا کن و سریع وصل کن.
گام ۲: چراغ‌ها را ببین؛ قفل باید سر جایش باشد.
گام ۳: حالا تعویض واقعی (IM-013) انجام بده و تفاوت را ببین.</t>
        </is>
      </c>
      <c r="F16" s="86" t="inlineStr">
        <is>
          <t>جدا کردن کوتاه در برابر تعویض واقعی</t>
        </is>
      </c>
      <c r="G16" s="86" t="inlineStr">
        <is>
          <t>ربع ساعت</t>
        </is>
      </c>
      <c r="H16" s="84" t="inlineStr">
        <is>
          <t>قطع چندثانیه‌ای قفل را پاک نمی‌کند؛ فقط تعویض واقعی پاکش می‌کند</t>
        </is>
      </c>
      <c r="I16" s="84" t="inlineStr">
        <is>
          <t>قفل در برابر قطع کوتاه مقاوم</t>
        </is>
      </c>
      <c r="J16" s="84" t="inlineStr">
        <is>
          <t>باید ببینید: قطع چندثانیه‌ای قفل را پاک نمی‌کند؛ فقط تعویض واقعی پاکش می‌کند. اگر با قطع کوتاه پاک شد، قبول نیست.</t>
        </is>
      </c>
      <c r="K16" s="84" t="inlineStr">
        <is>
          <t>در انتظار</t>
        </is>
      </c>
      <c r="L16" s="59" t="inlineStr">
        <is>
          <t>در انتظار</t>
        </is>
      </c>
      <c r="M16" s="61" t="n"/>
      <c r="N16" s="84" t="inlineStr">
        <is>
          <t>(بعد از تست پر شود)</t>
        </is>
      </c>
      <c r="O16" s="86" t="inlineStr">
        <is>
          <t>(بعد از تست پر شود)</t>
        </is>
      </c>
      <c r="P16" s="86" t="inlineStr">
        <is>
          <t>(بعد از تست پر شود)</t>
        </is>
      </c>
      <c r="Q16" s="87">
        <f>IF(OR(L16="",L16="در انتظار"),"",IF(Q16="",TODAY(),Q16))</f>
        <v/>
      </c>
    </row>
    <row r="17" ht="54" customHeight="1">
      <c r="A17" s="55" t="inlineStr">
        <is>
          <t>IM-016</t>
        </is>
      </c>
      <c r="B17" s="61" t="inlineStr">
        <is>
          <t>ماندگاری تنظیم‌ها پس از قطع برق</t>
        </is>
      </c>
      <c r="C17" s="62" t="inlineStr">
        <is>
          <t>متوسط</t>
        </is>
      </c>
      <c r="D17" s="61" t="inlineStr">
        <is>
          <t>پنل باز است</t>
        </is>
      </c>
      <c r="E17" s="61" t="inlineStr">
        <is>
          <t>گام ۱: یک تنظیم عدم‌توازن را از پنل عوض کن (مثلاً اختلاف مجاز).
گام ۲: برق دستگاه را کامل قطع و دوباره وصل کن.
گام ۳: تنظیم را از پنل دوباره بخوان.</t>
        </is>
      </c>
      <c r="F17" s="63" t="inlineStr">
        <is>
          <t>تغییر تنظیم و قطع‌ووصل برق</t>
        </is>
      </c>
      <c r="G17" s="63" t="inlineStr">
        <is>
          <t>پنج دقیقه</t>
        </is>
      </c>
      <c r="H17" s="61" t="inlineStr">
        <is>
          <t>همان تنظیم تازه بعد از روشن‌شدن سر جاست</t>
        </is>
      </c>
      <c r="I17" s="61" t="inlineStr">
        <is>
          <t>ماندگار در قطع برق</t>
        </is>
      </c>
      <c r="J17" s="61" t="inlineStr">
        <is>
          <t>باید ببینید: همان تنظیم تازه بعد از خاموش و روشن‌کردن سر جاست. اگر به مقدار قبلی برگشت، قبول نیست.</t>
        </is>
      </c>
      <c r="K17" s="61" t="inlineStr">
        <is>
          <t>در انتظار</t>
        </is>
      </c>
      <c r="L17" s="59" t="inlineStr">
        <is>
          <t>در انتظار</t>
        </is>
      </c>
      <c r="M17" s="65" t="inlineStr">
        <is>
          <t>ایراد ممیزی ۲۰۲۶-۱۰-۰۶ (با شناسهٔ DEF-IM-001): این مورد در تست هاست (host_test_imbalance.c) پوشش داده شد.</t>
        </is>
      </c>
      <c r="N17" s="61" t="inlineStr">
        <is>
          <t>(بعد از تست پر شود)</t>
        </is>
      </c>
      <c r="O17" s="63" t="inlineStr">
        <is>
          <t>(بعد از تست پر شود)</t>
        </is>
      </c>
      <c r="P17" s="63" t="inlineStr">
        <is>
          <t>(بعد از تست پر شود)</t>
        </is>
      </c>
      <c r="Q17" s="64">
        <f>IF(OR(L17="",L17="در انتظار"),"",IF(Q17="",TODAY(),Q17))</f>
        <v/>
      </c>
    </row>
    <row r="18" ht="54" customHeight="1">
      <c r="A18" s="55" t="inlineStr">
        <is>
          <t>IM-017</t>
        </is>
      </c>
      <c r="B18" s="84" t="inlineStr">
        <is>
          <t>ماندگاری شمارنده و قفل پس از قطع برق</t>
        </is>
      </c>
      <c r="C18" s="85" t="inlineStr">
        <is>
          <t>متوسط</t>
        </is>
      </c>
      <c r="D18" s="84" t="inlineStr">
        <is>
          <t>قفل عدم‌توازن فعال و شمارنده چند رویداد دارد</t>
        </is>
      </c>
      <c r="E18" s="84" t="inlineStr">
        <is>
          <t>گام ۱: برق دستگاه را کامل قطع کن و یک دقیقه صبر کن.
گام ۲: روشن کن و چراغ‌ها و شمارنده را چک کن.</t>
        </is>
      </c>
      <c r="F18" s="86" t="inlineStr">
        <is>
          <t>قطع و وصل برق در قفل</t>
        </is>
      </c>
      <c r="G18" s="86" t="inlineStr">
        <is>
          <t>پنج دقیقه</t>
        </is>
      </c>
      <c r="H18" s="84" t="inlineStr">
        <is>
          <t>قفل و شمارنده بعد از روشن‌شدن دقیقاً سر جایشان‌اند</t>
        </is>
      </c>
      <c r="I18" s="84" t="inlineStr">
        <is>
          <t>ماندگار در قطع برق</t>
        </is>
      </c>
      <c r="J18" s="84" t="inlineStr">
        <is>
          <t>باید ببینید: قفل و شمارنده بعد از خاموش و روشن‌کردن دقیقاً سر جایشان‌اند. اگر با قطع برق پاک شدند، قبول نیست.</t>
        </is>
      </c>
      <c r="K18" s="84" t="inlineStr">
        <is>
          <t>در انتظار</t>
        </is>
      </c>
      <c r="L18" s="59" t="inlineStr">
        <is>
          <t>در انتظار</t>
        </is>
      </c>
      <c r="M18" s="84" t="inlineStr">
        <is>
          <t>'برنامه تست'!A5</t>
        </is>
      </c>
      <c r="N18" s="84" t="inlineStr">
        <is>
          <t>(بعد از تست پر شود)</t>
        </is>
      </c>
      <c r="O18" s="86" t="inlineStr">
        <is>
          <t>(بعد از تست پر شود)</t>
        </is>
      </c>
      <c r="P18" s="86" t="inlineStr">
        <is>
          <t>(بعد از تست پر شود)</t>
        </is>
      </c>
      <c r="Q18" s="87">
        <f>IF(OR(L18="",L18="در انتظار"),"",IF(Q18="",TODAY(),Q18))</f>
        <v/>
      </c>
    </row>
    <row r="19" ht="40.5" customHeight="1">
      <c r="A19" s="55" t="inlineStr">
        <is>
          <t>IM-005</t>
        </is>
      </c>
      <c r="B19" s="61" t="inlineStr">
        <is>
          <t>نوسان دور حد</t>
        </is>
      </c>
      <c r="C19" s="63" t="inlineStr">
        <is>
          <t>پایین</t>
        </is>
      </c>
      <c r="D19" s="61" t="inlineStr">
        <is>
          <t>به‌جای یک باتری منبع آزمایشگاهی گذاشته‌ای تا ولتاژش را بازی بدهی</t>
        </is>
      </c>
      <c r="E19" s="61" t="inlineStr">
        <is>
          <t>گام ۱: ولتاژ منبع را دور مرز اختلاف مجاز، کم‌کم بالا و پایین کن.
گام ۲: شمارندهٔ رویداد را در پنل زیر نظر بگیر.</t>
        </is>
      </c>
      <c r="F19" s="63" t="inlineStr">
        <is>
          <t>نوسان ولتاژ یک نیم دور مرز</t>
        </is>
      </c>
      <c r="G19" s="63" t="inlineStr">
        <is>
          <t>ربع ساعت</t>
        </is>
      </c>
      <c r="H19" s="61" t="inlineStr">
        <is>
          <t>با نوسان‌های کوچک شمارنده بالا نمی‌رود؛ فقط اختلاف واقعی و ماندگار شمرده می‌شود</t>
        </is>
      </c>
      <c r="I19" s="61" t="inlineStr">
        <is>
          <t>بدون رویداد کاذب</t>
        </is>
      </c>
      <c r="J19" s="61" t="inlineStr">
        <is>
          <t>باید ببینید: با نوسان‌های کوچک شمارنده بالا نمی‌رود و فقط اختلاف واقعی و ماندگار شمرده می‌شود. اگر با هر نوسان شمرد، قبول نیست.</t>
        </is>
      </c>
      <c r="K19" s="61" t="inlineStr">
        <is>
          <t>در انتظار</t>
        </is>
      </c>
      <c r="L19" s="59" t="inlineStr">
        <is>
          <t>در انتظار</t>
        </is>
      </c>
      <c r="M19" s="56" t="n"/>
      <c r="N19" s="61" t="inlineStr">
        <is>
          <t>(بعد از تست پر شود)</t>
        </is>
      </c>
      <c r="O19" s="63" t="inlineStr">
        <is>
          <t>(بعد از تست پر شود)</t>
        </is>
      </c>
      <c r="P19" s="63" t="inlineStr">
        <is>
          <t>(بعد از تست پر شود)</t>
        </is>
      </c>
      <c r="Q19" s="64">
        <f>IF(OR(L19="",L19="در انتظار"),"",IF(Q19="",TODAY(),Q19))</f>
        <v/>
      </c>
    </row>
    <row r="20" ht="54" customHeight="1">
      <c r="A20" s="55" t="inlineStr">
        <is>
          <t>IM-015</t>
        </is>
      </c>
      <c r="B20" s="84" t="inlineStr">
        <is>
          <t>بازهٔ پارامترها</t>
        </is>
      </c>
      <c r="C20" s="86" t="inlineStr">
        <is>
          <t>پایین</t>
        </is>
      </c>
      <c r="D20" s="84" t="inlineStr">
        <is>
          <t>پنل باز است و تنظیم‌های عدم‌توازن را می‌بینی</t>
        </is>
      </c>
      <c r="E20" s="84" t="inlineStr">
        <is>
          <t>گام ۱: از پنل یک حدّ ناممکن بفرست (مثلاً اختلاف مجاز خیلی بزرگ یا منفیِ معادل).
گام ۲: مقدار ذخیره‌شده را دوباره از پنل بخوان.</t>
        </is>
      </c>
      <c r="F20" s="86" t="inlineStr">
        <is>
          <t>فرستادن مقدار بیرون بازه از پنل</t>
        </is>
      </c>
      <c r="G20" s="86" t="inlineStr">
        <is>
          <t>پنج دقیقه</t>
        </is>
      </c>
      <c r="H20" s="84" t="inlineStr">
        <is>
          <t>دستگاه مقدار خراب را قبول نمی‌کند و مقدار درست قبلی سر جایش می‌ماند</t>
        </is>
      </c>
      <c r="I20" s="84" t="inlineStr">
        <is>
          <t>حفظ مقدار قبلی</t>
        </is>
      </c>
      <c r="J20" s="84" t="inlineStr">
        <is>
          <t>باید ببینید: دستگاه مقدار خراب را قبول نمی‌کند و مقدار درست قبلی سر جایش می‌ماند. اگر مقدار ناممکن ذخیره شد، قبول نیست.</t>
        </is>
      </c>
      <c r="K20" s="84" t="inlineStr">
        <is>
          <t>در انتظار</t>
        </is>
      </c>
      <c r="L20" s="59" t="inlineStr">
        <is>
          <t>در انتظار</t>
        </is>
      </c>
      <c r="M20" s="56" t="n"/>
      <c r="N20" s="84" t="inlineStr">
        <is>
          <t>(بعد از تست پر شود)</t>
        </is>
      </c>
      <c r="O20" s="86" t="inlineStr">
        <is>
          <t>(بعد از تست پر شود)</t>
        </is>
      </c>
      <c r="P20" s="86" t="inlineStr">
        <is>
          <t>(بعد از تست پر شود)</t>
        </is>
      </c>
      <c r="Q20" s="87">
        <f>IF(OR(L20="",L20="در انتظار"),"",IF(Q20="",TODAY(),Q20))</f>
        <v/>
      </c>
    </row>
    <row r="21">
      <c r="A21" s="77" t="n"/>
      <c r="B21" s="77" t="n"/>
      <c r="C21" s="77" t="n"/>
      <c r="D21" s="77" t="n"/>
      <c r="E21" s="77" t="n"/>
      <c r="F21" s="77" t="n"/>
      <c r="G21" s="77" t="n"/>
      <c r="H21" s="77" t="n"/>
      <c r="I21" s="77" t="n"/>
      <c r="J21" s="77" t="n"/>
      <c r="K21" s="77" t="n"/>
      <c r="L21" s="77" t="n"/>
      <c r="M21" s="77" t="n"/>
      <c r="N21" s="77" t="n"/>
      <c r="O21" s="77" t="n"/>
      <c r="P21" s="77" t="n"/>
      <c r="Q21" s="78" t="n"/>
    </row>
    <row r="22">
      <c r="A22" s="77" t="n"/>
      <c r="B22" s="77" t="n"/>
      <c r="C22" s="77" t="n"/>
      <c r="D22" s="77" t="n"/>
      <c r="E22" s="77" t="n"/>
      <c r="F22" s="77" t="n"/>
      <c r="G22" s="77" t="n"/>
      <c r="H22" s="77" t="n"/>
      <c r="I22" s="77" t="n"/>
      <c r="J22" s="77" t="n"/>
      <c r="K22" s="77" t="n"/>
      <c r="L22" s="77" t="n"/>
      <c r="M22" s="77" t="n"/>
      <c r="N22" s="77" t="n"/>
      <c r="O22" s="77" t="n"/>
      <c r="P22" s="77" t="n"/>
      <c r="Q22" s="78" t="n"/>
    </row>
    <row r="23">
      <c r="A23" s="77" t="n"/>
      <c r="B23" s="77" t="n"/>
      <c r="C23" s="77" t="n"/>
      <c r="D23" s="77" t="n"/>
      <c r="E23" s="77" t="n"/>
      <c r="F23" s="77" t="n"/>
      <c r="G23" s="77" t="n"/>
      <c r="H23" s="77" t="n"/>
      <c r="I23" s="77" t="n"/>
      <c r="J23" s="77" t="n"/>
      <c r="K23" s="77" t="n"/>
      <c r="L23" s="77" t="n"/>
      <c r="M23" s="77" t="n"/>
      <c r="N23" s="77" t="n"/>
      <c r="O23" s="77" t="n"/>
      <c r="P23" s="77" t="n"/>
      <c r="Q23" s="78" t="n"/>
    </row>
    <row r="24">
      <c r="A24" s="77" t="n"/>
      <c r="B24" s="77" t="n"/>
      <c r="C24" s="77" t="n"/>
      <c r="D24" s="77" t="n"/>
      <c r="E24" s="77" t="n"/>
      <c r="F24" s="77" t="n"/>
      <c r="G24" s="77" t="n"/>
      <c r="H24" s="77" t="n"/>
      <c r="I24" s="77" t="n"/>
      <c r="J24" s="77" t="n"/>
      <c r="K24" s="77" t="n"/>
      <c r="L24" s="77" t="n"/>
      <c r="M24" s="77" t="n"/>
      <c r="N24" s="77" t="n"/>
      <c r="O24" s="77" t="n"/>
      <c r="P24" s="77" t="n"/>
      <c r="Q24" s="78" t="n"/>
    </row>
    <row r="25">
      <c r="A25" s="77" t="n"/>
      <c r="B25" s="77" t="n"/>
      <c r="C25" s="77" t="n"/>
      <c r="D25" s="77" t="n"/>
      <c r="E25" s="77" t="n"/>
      <c r="F25" s="77" t="n"/>
      <c r="G25" s="77" t="n"/>
      <c r="H25" s="77" t="n"/>
      <c r="I25" s="77" t="n"/>
      <c r="J25" s="77" t="n"/>
      <c r="K25" s="77" t="n"/>
      <c r="L25" s="77" t="n"/>
      <c r="M25" s="77" t="n"/>
      <c r="N25" s="77" t="n"/>
      <c r="O25" s="77" t="n"/>
      <c r="P25" s="77" t="n"/>
      <c r="Q25" s="78" t="n"/>
    </row>
    <row r="26">
      <c r="A26" s="77" t="n"/>
      <c r="B26" s="77" t="n"/>
      <c r="C26" s="77" t="n"/>
      <c r="D26" s="77" t="n"/>
      <c r="E26" s="77" t="n"/>
      <c r="F26" s="77" t="n"/>
      <c r="G26" s="77" t="n"/>
      <c r="H26" s="77" t="n"/>
      <c r="I26" s="77" t="n"/>
      <c r="J26" s="77" t="n"/>
      <c r="K26" s="77" t="n"/>
      <c r="L26" s="77" t="n"/>
      <c r="M26" s="77" t="n"/>
      <c r="N26" s="77" t="n"/>
      <c r="O26" s="77" t="n"/>
      <c r="P26" s="77" t="n"/>
      <c r="Q26" s="78" t="n"/>
    </row>
    <row r="27">
      <c r="A27" s="77" t="n"/>
      <c r="B27" s="77" t="n"/>
      <c r="C27" s="77" t="n"/>
      <c r="D27" s="77" t="n"/>
      <c r="E27" s="77" t="n"/>
      <c r="F27" s="77" t="n"/>
      <c r="G27" s="77" t="n"/>
      <c r="H27" s="77" t="n"/>
      <c r="I27" s="77" t="n"/>
      <c r="J27" s="77" t="n"/>
      <c r="K27" s="77" t="n"/>
      <c r="L27" s="77" t="n"/>
      <c r="M27" s="77" t="n"/>
      <c r="N27" s="77" t="n"/>
      <c r="O27" s="77" t="n"/>
      <c r="P27" s="77" t="n"/>
      <c r="Q27" s="78" t="n"/>
    </row>
    <row r="28">
      <c r="A28" s="77" t="n"/>
      <c r="B28" s="77" t="n"/>
      <c r="C28" s="77" t="n"/>
      <c r="D28" s="77" t="n"/>
      <c r="E28" s="77" t="n"/>
      <c r="F28" s="77" t="n"/>
      <c r="G28" s="77" t="n"/>
      <c r="H28" s="77" t="n"/>
      <c r="I28" s="77" t="n"/>
      <c r="J28" s="77" t="n"/>
      <c r="K28" s="77" t="n"/>
      <c r="L28" s="77" t="n"/>
      <c r="M28" s="77" t="n"/>
      <c r="N28" s="77" t="n"/>
      <c r="O28" s="77" t="n"/>
      <c r="P28" s="77" t="n"/>
      <c r="Q28" s="78" t="n"/>
    </row>
    <row r="29">
      <c r="A29" s="77" t="n"/>
      <c r="B29" s="77" t="n"/>
      <c r="C29" s="77" t="n"/>
      <c r="D29" s="77" t="n"/>
      <c r="E29" s="77" t="n"/>
      <c r="F29" s="77" t="n"/>
      <c r="G29" s="77" t="n"/>
      <c r="H29" s="77" t="n"/>
      <c r="I29" s="77" t="n"/>
      <c r="J29" s="77" t="n"/>
      <c r="K29" s="77" t="n"/>
      <c r="L29" s="77" t="n"/>
      <c r="M29" s="77" t="n"/>
      <c r="N29" s="77" t="n"/>
      <c r="O29" s="77" t="n"/>
      <c r="P29" s="77" t="n"/>
      <c r="Q29" s="78" t="n"/>
    </row>
    <row r="30">
      <c r="A30" s="77" t="n"/>
      <c r="B30" s="77" t="n"/>
      <c r="C30" s="77" t="n"/>
      <c r="D30" s="77" t="n"/>
      <c r="E30" s="77" t="n"/>
      <c r="F30" s="77" t="n"/>
      <c r="G30" s="77" t="n"/>
      <c r="H30" s="77" t="n"/>
      <c r="I30" s="77" t="n"/>
      <c r="J30" s="77" t="n"/>
      <c r="K30" s="77" t="n"/>
      <c r="L30" s="77" t="n"/>
      <c r="M30" s="77" t="n"/>
      <c r="N30" s="77" t="n"/>
      <c r="O30" s="77" t="n"/>
      <c r="P30" s="77" t="n"/>
      <c r="Q30" s="78" t="n"/>
    </row>
    <row r="31">
      <c r="A31" s="77" t="n"/>
      <c r="B31" s="77" t="n"/>
      <c r="C31" s="77" t="n"/>
      <c r="D31" s="77" t="n"/>
      <c r="E31" s="77" t="n"/>
      <c r="F31" s="77" t="n"/>
      <c r="G31" s="77" t="n"/>
      <c r="H31" s="77" t="n"/>
      <c r="I31" s="77" t="n"/>
      <c r="J31" s="77" t="n"/>
      <c r="K31" s="77" t="n"/>
      <c r="L31" s="77" t="n"/>
      <c r="M31" s="77" t="n"/>
      <c r="N31" s="77" t="n"/>
      <c r="O31" s="77" t="n"/>
      <c r="P31" s="77" t="n"/>
      <c r="Q31" s="78" t="n"/>
    </row>
    <row r="32">
      <c r="A32" s="77" t="n"/>
      <c r="B32" s="77" t="n"/>
      <c r="C32" s="77" t="n"/>
      <c r="D32" s="77" t="n"/>
      <c r="E32" s="77" t="n"/>
      <c r="F32" s="77" t="n"/>
      <c r="G32" s="77" t="n"/>
      <c r="H32" s="77" t="n"/>
      <c r="I32" s="77" t="n"/>
      <c r="J32" s="77" t="n"/>
      <c r="K32" s="77" t="n"/>
      <c r="L32" s="77" t="n"/>
      <c r="M32" s="77" t="n"/>
      <c r="N32" s="77" t="n"/>
      <c r="O32" s="77" t="n"/>
      <c r="P32" s="77" t="n"/>
      <c r="Q32" s="78" t="n"/>
    </row>
    <row r="33">
      <c r="A33" s="77" t="n"/>
      <c r="B33" s="77" t="n"/>
      <c r="C33" s="77" t="n"/>
      <c r="D33" s="77" t="n"/>
      <c r="E33" s="77" t="n"/>
      <c r="F33" s="77" t="n"/>
      <c r="G33" s="77" t="n"/>
      <c r="H33" s="77" t="n"/>
      <c r="I33" s="77" t="n"/>
      <c r="J33" s="77" t="n"/>
      <c r="K33" s="77" t="n"/>
      <c r="L33" s="77" t="n"/>
      <c r="M33" s="77" t="n"/>
      <c r="N33" s="77" t="n"/>
      <c r="O33" s="77" t="n"/>
      <c r="P33" s="77" t="n"/>
      <c r="Q33" s="78" t="n"/>
    </row>
    <row r="34">
      <c r="A34" s="77" t="n"/>
      <c r="B34" s="77" t="n"/>
      <c r="C34" s="77" t="n"/>
      <c r="D34" s="77" t="n"/>
      <c r="E34" s="77" t="n"/>
      <c r="F34" s="77" t="n"/>
      <c r="G34" s="77" t="n"/>
      <c r="H34" s="77" t="n"/>
      <c r="I34" s="77" t="n"/>
      <c r="J34" s="77" t="n"/>
      <c r="K34" s="77" t="n"/>
      <c r="L34" s="77" t="n"/>
      <c r="M34" s="77" t="n"/>
      <c r="N34" s="77" t="n"/>
      <c r="O34" s="77" t="n"/>
      <c r="P34" s="77" t="n"/>
      <c r="Q34" s="78" t="n"/>
    </row>
    <row r="35">
      <c r="A35" s="77" t="n"/>
      <c r="B35" s="77" t="n"/>
      <c r="C35" s="77" t="n"/>
      <c r="D35" s="77" t="n"/>
      <c r="E35" s="77" t="n"/>
      <c r="F35" s="77" t="n"/>
      <c r="G35" s="77" t="n"/>
      <c r="H35" s="77" t="n"/>
      <c r="I35" s="77" t="n"/>
      <c r="J35" s="77" t="n"/>
      <c r="K35" s="77" t="n"/>
      <c r="L35" s="77" t="n"/>
      <c r="M35" s="77" t="n"/>
      <c r="N35" s="77" t="n"/>
      <c r="O35" s="77" t="n"/>
      <c r="P35" s="77" t="n"/>
      <c r="Q35" s="78" t="n"/>
    </row>
    <row r="36">
      <c r="A36" s="77" t="n"/>
      <c r="B36" s="77" t="n"/>
      <c r="C36" s="77" t="n"/>
      <c r="D36" s="77" t="n"/>
      <c r="E36" s="77" t="n"/>
      <c r="F36" s="77" t="n"/>
      <c r="G36" s="77" t="n"/>
      <c r="H36" s="77" t="n"/>
      <c r="I36" s="77" t="n"/>
      <c r="J36" s="77" t="n"/>
      <c r="K36" s="77" t="n"/>
      <c r="L36" s="77" t="n"/>
      <c r="M36" s="77" t="n"/>
      <c r="N36" s="77" t="n"/>
      <c r="O36" s="77" t="n"/>
      <c r="P36" s="77" t="n"/>
      <c r="Q36" s="78" t="n"/>
    </row>
    <row r="37">
      <c r="A37" s="77" t="n"/>
      <c r="B37" s="77" t="n"/>
      <c r="C37" s="77" t="n"/>
      <c r="D37" s="77" t="n"/>
      <c r="E37" s="77" t="n"/>
      <c r="F37" s="77" t="n"/>
      <c r="G37" s="77" t="n"/>
      <c r="H37" s="77" t="n"/>
      <c r="I37" s="77" t="n"/>
      <c r="J37" s="77" t="n"/>
      <c r="K37" s="77" t="n"/>
      <c r="L37" s="77" t="n"/>
      <c r="M37" s="77" t="n"/>
      <c r="N37" s="77" t="n"/>
      <c r="O37" s="77" t="n"/>
      <c r="P37" s="77" t="n"/>
      <c r="Q37" s="78" t="n"/>
    </row>
    <row r="38">
      <c r="A38" s="77" t="n"/>
      <c r="B38" s="77" t="n"/>
      <c r="C38" s="77" t="n"/>
      <c r="D38" s="77" t="n"/>
      <c r="E38" s="77" t="n"/>
      <c r="F38" s="77" t="n"/>
      <c r="G38" s="77" t="n"/>
      <c r="H38" s="77" t="n"/>
      <c r="I38" s="77" t="n"/>
      <c r="J38" s="77" t="n"/>
      <c r="K38" s="77" t="n"/>
      <c r="L38" s="77" t="n"/>
      <c r="M38" s="77" t="n"/>
      <c r="N38" s="77" t="n"/>
      <c r="O38" s="77" t="n"/>
      <c r="P38" s="77" t="n"/>
      <c r="Q38" s="78" t="n"/>
    </row>
    <row r="39">
      <c r="A39" s="77" t="n"/>
      <c r="B39" s="77" t="n"/>
      <c r="C39" s="77" t="n"/>
      <c r="D39" s="77" t="n"/>
      <c r="E39" s="77" t="n"/>
      <c r="F39" s="77" t="n"/>
      <c r="G39" s="77" t="n"/>
      <c r="H39" s="77" t="n"/>
      <c r="I39" s="77" t="n"/>
      <c r="J39" s="77" t="n"/>
      <c r="K39" s="77" t="n"/>
      <c r="L39" s="77" t="n"/>
      <c r="M39" s="77" t="n"/>
      <c r="N39" s="77" t="n"/>
      <c r="O39" s="77" t="n"/>
      <c r="P39" s="77" t="n"/>
      <c r="Q39" s="78" t="n"/>
    </row>
    <row r="40">
      <c r="A40" s="77" t="n"/>
      <c r="B40" s="77" t="n"/>
      <c r="C40" s="77" t="n"/>
      <c r="D40" s="77" t="n"/>
      <c r="E40" s="77" t="n"/>
      <c r="F40" s="77" t="n"/>
      <c r="G40" s="77" t="n"/>
      <c r="H40" s="77" t="n"/>
      <c r="I40" s="77" t="n"/>
      <c r="J40" s="77" t="n"/>
      <c r="K40" s="77" t="n"/>
      <c r="L40" s="77" t="n"/>
      <c r="M40" s="77" t="n"/>
      <c r="N40" s="77" t="n"/>
      <c r="O40" s="77" t="n"/>
      <c r="P40" s="77" t="n"/>
      <c r="Q40" s="78" t="n"/>
    </row>
    <row r="41">
      <c r="A41" s="77" t="n"/>
      <c r="B41" s="77" t="n"/>
      <c r="C41" s="77" t="n"/>
      <c r="D41" s="77" t="n"/>
      <c r="E41" s="77" t="n"/>
      <c r="F41" s="77" t="n"/>
      <c r="G41" s="77" t="n"/>
      <c r="H41" s="77" t="n"/>
      <c r="I41" s="77" t="n"/>
      <c r="J41" s="77" t="n"/>
      <c r="K41" s="77" t="n"/>
      <c r="L41" s="77" t="n"/>
      <c r="M41" s="77" t="n"/>
      <c r="N41" s="77" t="n"/>
      <c r="O41" s="77" t="n"/>
      <c r="P41" s="77" t="n"/>
      <c r="Q41" s="78" t="n"/>
    </row>
    <row r="42">
      <c r="A42" s="77" t="n"/>
      <c r="B42" s="77" t="n"/>
      <c r="C42" s="77" t="n"/>
      <c r="D42" s="77" t="n"/>
      <c r="E42" s="77" t="n"/>
      <c r="F42" s="77" t="n"/>
      <c r="G42" s="77" t="n"/>
      <c r="H42" s="77" t="n"/>
      <c r="I42" s="77" t="n"/>
      <c r="J42" s="77" t="n"/>
      <c r="K42" s="77" t="n"/>
      <c r="L42" s="77" t="n"/>
      <c r="M42" s="77" t="n"/>
      <c r="N42" s="77" t="n"/>
      <c r="O42" s="77" t="n"/>
      <c r="P42" s="77" t="n"/>
      <c r="Q42" s="78" t="n"/>
    </row>
    <row r="43">
      <c r="A43" s="77" t="n"/>
      <c r="B43" s="77" t="n"/>
      <c r="C43" s="77" t="n"/>
      <c r="D43" s="77" t="n"/>
      <c r="E43" s="77" t="n"/>
      <c r="F43" s="77" t="n"/>
      <c r="G43" s="77" t="n"/>
      <c r="H43" s="77" t="n"/>
      <c r="I43" s="77" t="n"/>
      <c r="J43" s="77" t="n"/>
      <c r="K43" s="77" t="n"/>
      <c r="L43" s="77" t="n"/>
      <c r="M43" s="77" t="n"/>
      <c r="N43" s="77" t="n"/>
      <c r="O43" s="77" t="n"/>
      <c r="P43" s="77" t="n"/>
      <c r="Q43" s="78" t="n"/>
    </row>
    <row r="44">
      <c r="A44" s="77" t="n"/>
      <c r="B44" s="77" t="n"/>
      <c r="C44" s="77" t="n"/>
      <c r="D44" s="77" t="n"/>
      <c r="E44" s="77" t="n"/>
      <c r="F44" s="77" t="n"/>
      <c r="G44" s="77" t="n"/>
      <c r="H44" s="77" t="n"/>
      <c r="I44" s="77" t="n"/>
      <c r="J44" s="77" t="n"/>
      <c r="K44" s="77" t="n"/>
      <c r="L44" s="77" t="n"/>
      <c r="M44" s="77" t="n"/>
      <c r="N44" s="77" t="n"/>
      <c r="O44" s="77" t="n"/>
      <c r="P44" s="77" t="n"/>
      <c r="Q44" s="78" t="n"/>
    </row>
    <row r="45">
      <c r="A45" s="77" t="n"/>
      <c r="B45" s="77" t="n"/>
      <c r="C45" s="77" t="n"/>
      <c r="D45" s="77" t="n"/>
      <c r="E45" s="77" t="n"/>
      <c r="F45" s="77" t="n"/>
      <c r="G45" s="77" t="n"/>
      <c r="H45" s="77" t="n"/>
      <c r="I45" s="77" t="n"/>
      <c r="J45" s="77" t="n"/>
      <c r="K45" s="77" t="n"/>
      <c r="L45" s="77" t="n"/>
      <c r="M45" s="77" t="n"/>
      <c r="N45" s="77" t="n"/>
      <c r="O45" s="77" t="n"/>
      <c r="P45" s="77" t="n"/>
      <c r="Q45" s="78" t="n"/>
    </row>
    <row r="46">
      <c r="A46" s="77" t="n"/>
      <c r="B46" s="77" t="n"/>
      <c r="C46" s="77" t="n"/>
      <c r="D46" s="77" t="n"/>
      <c r="E46" s="77" t="n"/>
      <c r="F46" s="77" t="n"/>
      <c r="G46" s="77" t="n"/>
      <c r="H46" s="77" t="n"/>
      <c r="I46" s="77" t="n"/>
      <c r="J46" s="77" t="n"/>
      <c r="K46" s="77" t="n"/>
      <c r="L46" s="77" t="n"/>
      <c r="M46" s="77" t="n"/>
      <c r="N46" s="77" t="n"/>
      <c r="O46" s="77" t="n"/>
      <c r="P46" s="77" t="n"/>
      <c r="Q46" s="78" t="n"/>
    </row>
    <row r="47">
      <c r="A47" s="77" t="n"/>
      <c r="B47" s="77" t="n"/>
      <c r="C47" s="77" t="n"/>
      <c r="D47" s="77" t="n"/>
      <c r="E47" s="77" t="n"/>
      <c r="F47" s="77" t="n"/>
      <c r="G47" s="77" t="n"/>
      <c r="H47" s="77" t="n"/>
      <c r="I47" s="77" t="n"/>
      <c r="J47" s="77" t="n"/>
      <c r="K47" s="77" t="n"/>
      <c r="L47" s="77" t="n"/>
      <c r="M47" s="77" t="n"/>
      <c r="N47" s="77" t="n"/>
      <c r="O47" s="77" t="n"/>
      <c r="P47" s="77" t="n"/>
      <c r="Q47" s="78" t="n"/>
    </row>
    <row r="48">
      <c r="A48" s="77" t="n"/>
      <c r="B48" s="77" t="n"/>
      <c r="C48" s="77" t="n"/>
      <c r="D48" s="77" t="n"/>
      <c r="E48" s="77" t="n"/>
      <c r="F48" s="77" t="n"/>
      <c r="G48" s="77" t="n"/>
      <c r="H48" s="77" t="n"/>
      <c r="I48" s="77" t="n"/>
      <c r="J48" s="77" t="n"/>
      <c r="K48" s="77" t="n"/>
      <c r="L48" s="77" t="n"/>
      <c r="M48" s="77" t="n"/>
      <c r="N48" s="77" t="n"/>
      <c r="O48" s="77" t="n"/>
      <c r="P48" s="77" t="n"/>
      <c r="Q48" s="78" t="n"/>
    </row>
    <row r="49">
      <c r="A49" s="77" t="n"/>
      <c r="B49" s="77" t="n"/>
      <c r="C49" s="77" t="n"/>
      <c r="D49" s="77" t="n"/>
      <c r="E49" s="77" t="n"/>
      <c r="F49" s="77" t="n"/>
      <c r="G49" s="77" t="n"/>
      <c r="H49" s="77" t="n"/>
      <c r="I49" s="77" t="n"/>
      <c r="J49" s="77" t="n"/>
      <c r="K49" s="77" t="n"/>
      <c r="L49" s="77" t="n"/>
      <c r="M49" s="77" t="n"/>
      <c r="N49" s="77" t="n"/>
      <c r="O49" s="77" t="n"/>
      <c r="P49" s="77" t="n"/>
      <c r="Q49" s="78" t="n"/>
    </row>
    <row r="50">
      <c r="A50" s="77" t="n"/>
      <c r="B50" s="77" t="n"/>
      <c r="C50" s="77" t="n"/>
      <c r="D50" s="77" t="n"/>
      <c r="E50" s="77" t="n"/>
      <c r="F50" s="77" t="n"/>
      <c r="G50" s="77" t="n"/>
      <c r="H50" s="77" t="n"/>
      <c r="I50" s="77" t="n"/>
      <c r="J50" s="77" t="n"/>
      <c r="K50" s="77" t="n"/>
      <c r="L50" s="77" t="n"/>
      <c r="M50" s="77" t="n"/>
      <c r="N50" s="77" t="n"/>
      <c r="O50" s="77" t="n"/>
      <c r="P50" s="77" t="n"/>
      <c r="Q50" s="78" t="n"/>
    </row>
    <row r="51">
      <c r="A51" s="77" t="n"/>
      <c r="B51" s="77" t="n"/>
      <c r="C51" s="77" t="n"/>
      <c r="D51" s="77" t="n"/>
      <c r="E51" s="77" t="n"/>
      <c r="F51" s="77" t="n"/>
      <c r="G51" s="77" t="n"/>
      <c r="H51" s="77" t="n"/>
      <c r="I51" s="77" t="n"/>
      <c r="J51" s="77" t="n"/>
      <c r="K51" s="77" t="n"/>
      <c r="L51" s="77" t="n"/>
      <c r="M51" s="77" t="n"/>
      <c r="N51" s="77" t="n"/>
      <c r="O51" s="77" t="n"/>
      <c r="P51" s="77" t="n"/>
      <c r="Q51" s="78" t="n"/>
    </row>
    <row r="52">
      <c r="A52" s="77" t="n"/>
      <c r="B52" s="77" t="n"/>
      <c r="C52" s="77" t="n"/>
      <c r="D52" s="77" t="n"/>
      <c r="E52" s="77" t="n"/>
      <c r="F52" s="77" t="n"/>
      <c r="G52" s="77" t="n"/>
      <c r="H52" s="77" t="n"/>
      <c r="I52" s="77" t="n"/>
      <c r="J52" s="77" t="n"/>
      <c r="K52" s="77" t="n"/>
      <c r="L52" s="77" t="n"/>
      <c r="M52" s="77" t="n"/>
      <c r="N52" s="77" t="n"/>
      <c r="O52" s="77" t="n"/>
      <c r="P52" s="77" t="n"/>
      <c r="Q52" s="78" t="n"/>
    </row>
    <row r="53">
      <c r="A53" s="77" t="n"/>
      <c r="B53" s="77" t="n"/>
      <c r="C53" s="77" t="n"/>
      <c r="D53" s="77" t="n"/>
      <c r="E53" s="77" t="n"/>
      <c r="F53" s="77" t="n"/>
      <c r="G53" s="77" t="n"/>
      <c r="H53" s="77" t="n"/>
      <c r="I53" s="77" t="n"/>
      <c r="J53" s="77" t="n"/>
      <c r="K53" s="77" t="n"/>
      <c r="L53" s="77" t="n"/>
      <c r="M53" s="77" t="n"/>
      <c r="N53" s="77" t="n"/>
      <c r="O53" s="77" t="n"/>
      <c r="P53" s="77" t="n"/>
      <c r="Q53" s="78" t="n"/>
    </row>
    <row r="54">
      <c r="A54" s="77" t="n"/>
      <c r="B54" s="77" t="n"/>
      <c r="C54" s="77" t="n"/>
      <c r="D54" s="77" t="n"/>
      <c r="E54" s="77" t="n"/>
      <c r="F54" s="77" t="n"/>
      <c r="G54" s="77" t="n"/>
      <c r="H54" s="77" t="n"/>
      <c r="I54" s="77" t="n"/>
      <c r="J54" s="77" t="n"/>
      <c r="K54" s="77" t="n"/>
      <c r="L54" s="77" t="n"/>
      <c r="M54" s="77" t="n"/>
      <c r="N54" s="77" t="n"/>
      <c r="O54" s="77" t="n"/>
      <c r="P54" s="77" t="n"/>
      <c r="Q54" s="78" t="n"/>
    </row>
    <row r="55">
      <c r="A55" s="77" t="n"/>
      <c r="B55" s="77" t="n"/>
      <c r="C55" s="77" t="n"/>
      <c r="D55" s="77" t="n"/>
      <c r="E55" s="77" t="n"/>
      <c r="F55" s="77" t="n"/>
      <c r="G55" s="77" t="n"/>
      <c r="H55" s="77" t="n"/>
      <c r="I55" s="77" t="n"/>
      <c r="J55" s="77" t="n"/>
      <c r="K55" s="77" t="n"/>
      <c r="L55" s="77" t="n"/>
      <c r="M55" s="77" t="n"/>
      <c r="N55" s="77" t="n"/>
      <c r="O55" s="77" t="n"/>
      <c r="P55" s="77" t="n"/>
      <c r="Q55" s="78" t="n"/>
    </row>
    <row r="56">
      <c r="A56" s="77" t="n"/>
      <c r="B56" s="77" t="n"/>
      <c r="C56" s="77" t="n"/>
      <c r="D56" s="77" t="n"/>
      <c r="E56" s="77" t="n"/>
      <c r="F56" s="77" t="n"/>
      <c r="G56" s="77" t="n"/>
      <c r="H56" s="77" t="n"/>
      <c r="I56" s="77" t="n"/>
      <c r="J56" s="77" t="n"/>
      <c r="K56" s="77" t="n"/>
      <c r="L56" s="77" t="n"/>
      <c r="M56" s="77" t="n"/>
      <c r="N56" s="77" t="n"/>
      <c r="O56" s="77" t="n"/>
      <c r="P56" s="77" t="n"/>
      <c r="Q56" s="78" t="n"/>
    </row>
    <row r="57">
      <c r="A57" s="77" t="n"/>
      <c r="B57" s="77" t="n"/>
      <c r="C57" s="77" t="n"/>
      <c r="D57" s="77" t="n"/>
      <c r="E57" s="77" t="n"/>
      <c r="F57" s="77" t="n"/>
      <c r="G57" s="77" t="n"/>
      <c r="H57" s="77" t="n"/>
      <c r="I57" s="77" t="n"/>
      <c r="J57" s="77" t="n"/>
      <c r="K57" s="77" t="n"/>
      <c r="L57" s="77" t="n"/>
      <c r="M57" s="77" t="n"/>
      <c r="N57" s="77" t="n"/>
      <c r="O57" s="77" t="n"/>
      <c r="P57" s="77" t="n"/>
      <c r="Q57" s="78" t="n"/>
    </row>
    <row r="58">
      <c r="A58" s="77" t="n"/>
      <c r="B58" s="77" t="n"/>
      <c r="C58" s="77" t="n"/>
      <c r="D58" s="77" t="n"/>
      <c r="E58" s="77" t="n"/>
      <c r="F58" s="77" t="n"/>
      <c r="G58" s="77" t="n"/>
      <c r="H58" s="77" t="n"/>
      <c r="I58" s="77" t="n"/>
      <c r="J58" s="77" t="n"/>
      <c r="K58" s="77" t="n"/>
      <c r="L58" s="77" t="n"/>
      <c r="M58" s="77" t="n"/>
      <c r="N58" s="77" t="n"/>
      <c r="O58" s="77" t="n"/>
      <c r="P58" s="77" t="n"/>
      <c r="Q58" s="78" t="n"/>
    </row>
    <row r="59">
      <c r="A59" s="77" t="n"/>
      <c r="B59" s="77" t="n"/>
      <c r="C59" s="77" t="n"/>
      <c r="D59" s="77" t="n"/>
      <c r="E59" s="77" t="n"/>
      <c r="F59" s="77" t="n"/>
      <c r="G59" s="77" t="n"/>
      <c r="H59" s="77" t="n"/>
      <c r="I59" s="77" t="n"/>
      <c r="J59" s="77" t="n"/>
      <c r="K59" s="77" t="n"/>
      <c r="L59" s="77" t="n"/>
      <c r="M59" s="77" t="n"/>
      <c r="N59" s="77" t="n"/>
      <c r="O59" s="77" t="n"/>
      <c r="P59" s="77" t="n"/>
      <c r="Q59" s="78" t="n"/>
    </row>
    <row r="60">
      <c r="A60" s="77" t="n"/>
      <c r="B60" s="77" t="n"/>
      <c r="C60" s="77" t="n"/>
      <c r="D60" s="77" t="n"/>
      <c r="E60" s="77" t="n"/>
      <c r="F60" s="77" t="n"/>
      <c r="G60" s="77" t="n"/>
      <c r="H60" s="77" t="n"/>
      <c r="I60" s="77" t="n"/>
      <c r="J60" s="77" t="n"/>
      <c r="K60" s="77" t="n"/>
      <c r="L60" s="77" t="n"/>
      <c r="M60" s="77" t="n"/>
      <c r="N60" s="77" t="n"/>
      <c r="O60" s="77" t="n"/>
      <c r="P60" s="77" t="n"/>
      <c r="Q60" s="78" t="n"/>
    </row>
  </sheetData>
  <autoFilter ref="A4:Q60"/>
  <dataValidations count="2">
    <dataValidation sqref="C5:C20" showDropDown="0" showInputMessage="0" showErrorMessage="0" allowBlank="1" type="list">
      <formula1>='فهرست‌ها'!$B$9:$B$11</formula1>
    </dataValidation>
    <dataValidation sqref="L5:L20" showDropDown="0" showInputMessage="0" showErrorMessage="0" allowBlank="1" type="list">
      <formula1>='فهرست‌ها'!$A$2:$A$7</formula1>
    </dataValidation>
  </dataValidations>
  <hyperlinks>
    <hyperlink ref="E7" location="'برنامه تست'!A5"/>
    <hyperlink ref="D12" location="'برنامه تست'!A5"/>
    <hyperlink ref="D13" location="'برنامه تست'!A7"/>
    <hyperlink ref="E16" location="'برنامه تست'!A9"/>
    <hyperlink ref="M17" location="'برنامه تست'!A5"/>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Q25"/>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83" t="inlineStr">
        <is>
          <t>تست‌های آزمایشگاهی (پایه، اسیلوسکوپ و زمان‌بندی دقیق — جدا از تست عملی)</t>
        </is>
      </c>
      <c r="B1" s="53" t="n"/>
      <c r="C1" s="53" t="n"/>
      <c r="D1" s="53" t="n"/>
      <c r="E1" s="53" t="n"/>
      <c r="F1" s="53" t="n"/>
      <c r="G1" s="53" t="n"/>
      <c r="H1" s="53" t="n"/>
      <c r="I1" s="53" t="n"/>
      <c r="J1" s="53" t="n"/>
      <c r="K1" s="53" t="n"/>
      <c r="L1" s="53" t="n"/>
      <c r="M1" s="53" t="n"/>
      <c r="N1" s="53" t="n"/>
      <c r="O1" s="53" t="n"/>
      <c r="P1" s="53" t="n"/>
      <c r="Q1" s="53" t="n"/>
    </row>
    <row r="2" ht="42" customHeight="1">
      <c r="A2" s="68" t="inlineStr">
        <is>
          <t>این شیت جدا از تست عملی است: اندازه‌گیری روی پایه‌ها، اسیلوسکوپ و تلرانس‌های دقیق میلی‌ثانیه/میکروثانیه. برای بررسی عملکرد واقعی دستگاه لازم نیست؛ برای اعتبارسنجی دقیق سخت‌افزار و زمان‌بندی‌هاست.</t>
        </is>
      </c>
      <c r="B2" s="53" t="n"/>
      <c r="C2" s="53" t="n"/>
      <c r="D2" s="53" t="n"/>
      <c r="E2" s="53" t="n"/>
      <c r="F2" s="53" t="n"/>
      <c r="G2" s="53" t="n"/>
      <c r="H2" s="53" t="n"/>
      <c r="I2" s="53" t="n"/>
      <c r="J2" s="53" t="n"/>
      <c r="K2" s="53" t="n"/>
      <c r="L2" s="53" t="n"/>
      <c r="M2" s="53" t="n"/>
      <c r="N2" s="53" t="n"/>
      <c r="O2" s="53" t="n"/>
      <c r="P2" s="53" t="n"/>
      <c r="Q2" s="53" t="n"/>
    </row>
    <row r="3">
      <c r="A3" s="53" t="n"/>
      <c r="B3" s="53" t="n"/>
      <c r="C3" s="53" t="n"/>
      <c r="D3" s="53" t="n"/>
      <c r="E3" s="53" t="n"/>
      <c r="F3" s="53" t="n"/>
      <c r="G3" s="53" t="n"/>
      <c r="H3" s="53" t="n"/>
      <c r="I3" s="53" t="n"/>
      <c r="J3" s="53" t="n"/>
      <c r="K3" s="53" t="n"/>
      <c r="L3" s="53" t="n"/>
      <c r="M3" s="53" t="n"/>
      <c r="N3" s="53" t="n"/>
      <c r="O3" s="53" t="n"/>
      <c r="P3" s="53" t="n"/>
      <c r="Q3" s="53" t="n"/>
    </row>
    <row r="4" ht="30" customHeight="1">
      <c r="A4" s="80" t="inlineStr">
        <is>
          <t>شناسه</t>
        </is>
      </c>
      <c r="B4" s="80" t="inlineStr">
        <is>
          <t>دسته</t>
        </is>
      </c>
      <c r="C4" s="80" t="inlineStr">
        <is>
          <t>اولویت</t>
        </is>
      </c>
      <c r="D4" s="80" t="inlineStr">
        <is>
          <t>پیش‌شرط</t>
        </is>
      </c>
      <c r="E4" s="80" t="inlineStr">
        <is>
          <t>روش اجرای دقیق</t>
        </is>
      </c>
      <c r="F4" s="80" t="inlineStr">
        <is>
          <t>ورودی‌ها / شرایط</t>
        </is>
      </c>
      <c r="G4" s="80" t="inlineStr">
        <is>
          <t>مدت مشاهده</t>
        </is>
      </c>
      <c r="H4" s="80" t="inlineStr">
        <is>
          <t>رفتار مورد انتظار</t>
        </is>
      </c>
      <c r="I4" s="80" t="inlineStr">
        <is>
          <t>می‌ماند یا پاک می‌شود</t>
        </is>
      </c>
      <c r="J4" s="80" t="inlineStr">
        <is>
          <t>معیار قبولی</t>
        </is>
      </c>
      <c r="K4" s="80" t="inlineStr">
        <is>
          <t>نتیجهٔ واقعی / اندازه‌گیری</t>
        </is>
      </c>
      <c r="L4" s="80" t="inlineStr">
        <is>
          <t>وضعیت</t>
        </is>
      </c>
      <c r="M4" s="80" t="inlineStr">
        <is>
          <t>شرح ایراد / تفاوت</t>
        </is>
      </c>
      <c r="N4" s="80" t="inlineStr">
        <is>
          <t>مدرک تست</t>
        </is>
      </c>
      <c r="O4" s="80" t="inlineStr">
        <is>
          <t>نسخهٔ برنامه</t>
        </is>
      </c>
      <c r="P4" s="80" t="inlineStr">
        <is>
          <t>نام تست‌کننده</t>
        </is>
      </c>
      <c r="Q4" s="80" t="inlineStr">
        <is>
          <t>تاریخ</t>
        </is>
      </c>
    </row>
    <row r="5" ht="54" customHeight="1">
      <c r="A5" s="55" t="inlineStr">
        <is>
          <t>IM-008</t>
        </is>
      </c>
      <c r="B5" s="61" t="inlineStr">
        <is>
          <t>چشمک قفل</t>
        </is>
      </c>
      <c r="C5" s="63" t="inlineStr">
        <is>
          <t>متوسط</t>
        </is>
      </c>
      <c r="D5" s="61" t="inlineStr">
        <is>
          <t>قفل فعال</t>
        </is>
      </c>
      <c r="E5" s="65" t="inlineStr">
        <is>
          <t>گام ۱: قفل را فعال نگه دار (IM-007).
گام ۲: پارامتر 123 (دورهٔ چشمک) را 1000 میلی‌ثانیه و پارامتر 124 (سهم روشنی) را 50 درصد بگذار.
گام ۳: با کرنومتر یا اسیلوسکوپ یک دورهٔ کامل چشمک قرمز را اندازه بگیر و مدت روشنی را هم بخوان.
گام ۴: در 60 ثانیه چند دوره را چک کن: دوره باید 1000 میلی‌ثانیه و روشنی 50 درصد باشد، با خطای حداکثر ±5 درصد.</t>
        </is>
      </c>
      <c r="F5" s="63" t="inlineStr">
        <is>
          <t>۱۰۰۰ms و ۵۰٪</t>
        </is>
      </c>
      <c r="G5" s="63" t="inlineStr">
        <is>
          <t>۶۰ ثانیه</t>
        </is>
      </c>
      <c r="H5" s="61" t="inlineStr">
        <is>
          <t>چشمک قرمز با همان دوره و duty</t>
        </is>
      </c>
      <c r="I5" s="61" t="inlineStr">
        <is>
          <t>پایدار</t>
        </is>
      </c>
      <c r="J5" s="61" t="inlineStr">
        <is>
          <t>اندازه‌گیری با کرنومتر یا اسیلوسکوپ در ±۵٪</t>
        </is>
      </c>
      <c r="K5" s="61" t="inlineStr">
        <is>
          <t>در انتظار</t>
        </is>
      </c>
      <c r="L5" s="59" t="inlineStr">
        <is>
          <t>در انتظار</t>
        </is>
      </c>
      <c r="M5" s="61" t="n"/>
      <c r="N5" s="61" t="inlineStr">
        <is>
          <t>(بعد از تست پر شود)</t>
        </is>
      </c>
      <c r="O5" s="63" t="inlineStr">
        <is>
          <t>(بعد از تست پر شود)</t>
        </is>
      </c>
      <c r="P5" s="63" t="inlineStr">
        <is>
          <t>(بعد از تست پر شود)</t>
        </is>
      </c>
      <c r="Q5" s="64" t="inlineStr">
        <is>
          <t>2026-10-05</t>
        </is>
      </c>
    </row>
    <row r="6">
      <c r="A6" s="53" t="n"/>
      <c r="B6" s="53" t="n"/>
      <c r="C6" s="53" t="n"/>
      <c r="D6" s="53" t="n"/>
      <c r="E6" s="53" t="n"/>
      <c r="F6" s="53" t="n"/>
      <c r="G6" s="53" t="n"/>
      <c r="H6" s="53" t="n"/>
      <c r="I6" s="53" t="n"/>
      <c r="J6" s="53" t="n"/>
      <c r="K6" s="53" t="n"/>
      <c r="L6" s="53" t="n"/>
      <c r="M6" s="53" t="n"/>
      <c r="N6" s="53" t="n"/>
      <c r="O6" s="53" t="n"/>
      <c r="P6" s="53" t="n"/>
      <c r="Q6" s="67">
        <f>IF(OR(L6="",L6="در انتظار"),"",IF(Q6="",TODAY(),Q6))</f>
        <v/>
      </c>
    </row>
    <row r="7">
      <c r="A7" s="53" t="n"/>
      <c r="B7" s="53" t="n"/>
      <c r="C7" s="53" t="n"/>
      <c r="D7" s="53" t="n"/>
      <c r="E7" s="53" t="n"/>
      <c r="F7" s="53" t="n"/>
      <c r="G7" s="53" t="n"/>
      <c r="H7" s="53" t="n"/>
      <c r="I7" s="53" t="n"/>
      <c r="J7" s="53" t="n"/>
      <c r="K7" s="53" t="n"/>
      <c r="L7" s="53" t="n"/>
      <c r="M7" s="53" t="n"/>
      <c r="N7" s="53" t="n"/>
      <c r="O7" s="53" t="n"/>
      <c r="P7" s="53" t="n"/>
      <c r="Q7" s="67">
        <f>IF(OR(L7="",L7="در انتظار"),"",IF(Q7="",TODAY(),Q7))</f>
        <v/>
      </c>
    </row>
    <row r="8">
      <c r="A8" s="53" t="n"/>
      <c r="B8" s="53" t="n"/>
      <c r="C8" s="53" t="n"/>
      <c r="D8" s="53" t="n"/>
      <c r="E8" s="53" t="n"/>
      <c r="F8" s="53" t="n"/>
      <c r="G8" s="53" t="n"/>
      <c r="H8" s="53" t="n"/>
      <c r="I8" s="53" t="n"/>
      <c r="J8" s="53" t="n"/>
      <c r="K8" s="53" t="n"/>
      <c r="L8" s="53" t="n"/>
      <c r="M8" s="53" t="n"/>
      <c r="N8" s="53" t="n"/>
      <c r="O8" s="53" t="n"/>
      <c r="P8" s="53" t="n"/>
      <c r="Q8" s="67">
        <f>IF(OR(L8="",L8="در انتظار"),"",IF(Q8="",TODAY(),Q8))</f>
        <v/>
      </c>
    </row>
    <row r="9">
      <c r="A9" s="53" t="n"/>
      <c r="B9" s="53" t="n"/>
      <c r="C9" s="53" t="n"/>
      <c r="D9" s="53" t="n"/>
      <c r="E9" s="53" t="n"/>
      <c r="F9" s="53" t="n"/>
      <c r="G9" s="53" t="n"/>
      <c r="H9" s="53" t="n"/>
      <c r="I9" s="53" t="n"/>
      <c r="J9" s="53" t="n"/>
      <c r="K9" s="53" t="n"/>
      <c r="L9" s="53" t="n"/>
      <c r="M9" s="53" t="n"/>
      <c r="N9" s="53" t="n"/>
      <c r="O9" s="53" t="n"/>
      <c r="P9" s="53" t="n"/>
      <c r="Q9" s="67">
        <f>IF(OR(L9="",L9="در انتظار"),"",IF(Q9="",TODAY(),Q9))</f>
        <v/>
      </c>
    </row>
    <row r="10">
      <c r="A10" s="53" t="n"/>
      <c r="B10" s="53" t="n"/>
      <c r="C10" s="53" t="n"/>
      <c r="D10" s="53" t="n"/>
      <c r="E10" s="53" t="n"/>
      <c r="F10" s="53" t="n"/>
      <c r="G10" s="53" t="n"/>
      <c r="H10" s="53" t="n"/>
      <c r="I10" s="53" t="n"/>
      <c r="J10" s="53" t="n"/>
      <c r="K10" s="53" t="n"/>
      <c r="L10" s="53" t="n"/>
      <c r="M10" s="53" t="n"/>
      <c r="N10" s="53" t="n"/>
      <c r="O10" s="53" t="n"/>
      <c r="P10" s="53" t="n"/>
      <c r="Q10" s="67">
        <f>IF(OR(L10="",L10="در انتظار"),"",IF(Q10="",TODAY(),Q10))</f>
        <v/>
      </c>
    </row>
    <row r="11">
      <c r="A11" s="53" t="n"/>
      <c r="B11" s="53" t="n"/>
      <c r="C11" s="53" t="n"/>
      <c r="D11" s="53" t="n"/>
      <c r="E11" s="53" t="n"/>
      <c r="F11" s="53" t="n"/>
      <c r="G11" s="53" t="n"/>
      <c r="H11" s="53" t="n"/>
      <c r="I11" s="53" t="n"/>
      <c r="J11" s="53" t="n"/>
      <c r="K11" s="53" t="n"/>
      <c r="L11" s="53" t="n"/>
      <c r="M11" s="53" t="n"/>
      <c r="N11" s="53" t="n"/>
      <c r="O11" s="53" t="n"/>
      <c r="P11" s="53" t="n"/>
      <c r="Q11" s="67">
        <f>IF(OR(L11="",L11="در انتظار"),"",IF(Q11="",TODAY(),Q11))</f>
        <v/>
      </c>
    </row>
    <row r="12">
      <c r="A12" s="53" t="n"/>
      <c r="B12" s="53" t="n"/>
      <c r="C12" s="53" t="n"/>
      <c r="D12" s="53" t="n"/>
      <c r="E12" s="53" t="n"/>
      <c r="F12" s="53" t="n"/>
      <c r="G12" s="53" t="n"/>
      <c r="H12" s="53" t="n"/>
      <c r="I12" s="53" t="n"/>
      <c r="J12" s="53" t="n"/>
      <c r="K12" s="53" t="n"/>
      <c r="L12" s="53" t="n"/>
      <c r="M12" s="53" t="n"/>
      <c r="N12" s="53" t="n"/>
      <c r="O12" s="53" t="n"/>
      <c r="P12" s="53" t="n"/>
      <c r="Q12" s="67">
        <f>IF(OR(L12="",L12="در انتظار"),"",IF(Q12="",TODAY(),Q12))</f>
        <v/>
      </c>
    </row>
    <row r="13">
      <c r="A13" s="53" t="n"/>
      <c r="B13" s="53" t="n"/>
      <c r="C13" s="53" t="n"/>
      <c r="D13" s="53" t="n"/>
      <c r="E13" s="53" t="n"/>
      <c r="F13" s="53" t="n"/>
      <c r="G13" s="53" t="n"/>
      <c r="H13" s="53" t="n"/>
      <c r="I13" s="53" t="n"/>
      <c r="J13" s="53" t="n"/>
      <c r="K13" s="53" t="n"/>
      <c r="L13" s="53" t="n"/>
      <c r="M13" s="53" t="n"/>
      <c r="N13" s="53" t="n"/>
      <c r="O13" s="53" t="n"/>
      <c r="P13" s="53" t="n"/>
      <c r="Q13" s="67">
        <f>IF(OR(L13="",L13="در انتظار"),"",IF(Q13="",TODAY(),Q13))</f>
        <v/>
      </c>
    </row>
    <row r="14">
      <c r="A14" s="53" t="n"/>
      <c r="B14" s="53" t="n"/>
      <c r="C14" s="53" t="n"/>
      <c r="D14" s="53" t="n"/>
      <c r="E14" s="53" t="n"/>
      <c r="F14" s="53" t="n"/>
      <c r="G14" s="53" t="n"/>
      <c r="H14" s="53" t="n"/>
      <c r="I14" s="53" t="n"/>
      <c r="J14" s="53" t="n"/>
      <c r="K14" s="53" t="n"/>
      <c r="L14" s="53" t="n"/>
      <c r="M14" s="53" t="n"/>
      <c r="N14" s="53" t="n"/>
      <c r="O14" s="53" t="n"/>
      <c r="P14" s="53" t="n"/>
      <c r="Q14" s="67">
        <f>IF(OR(L14="",L14="در انتظار"),"",IF(Q14="",TODAY(),Q14))</f>
        <v/>
      </c>
    </row>
    <row r="15">
      <c r="A15" s="53" t="n"/>
      <c r="B15" s="53" t="n"/>
      <c r="C15" s="53" t="n"/>
      <c r="D15" s="53" t="n"/>
      <c r="E15" s="53" t="n"/>
      <c r="F15" s="53" t="n"/>
      <c r="G15" s="53" t="n"/>
      <c r="H15" s="53" t="n"/>
      <c r="I15" s="53" t="n"/>
      <c r="J15" s="53" t="n"/>
      <c r="K15" s="53" t="n"/>
      <c r="L15" s="53" t="n"/>
      <c r="M15" s="53" t="n"/>
      <c r="N15" s="53" t="n"/>
      <c r="O15" s="53" t="n"/>
      <c r="P15" s="53" t="n"/>
      <c r="Q15" s="67">
        <f>IF(OR(L15="",L15="در انتظار"),"",IF(Q15="",TODAY(),Q15))</f>
        <v/>
      </c>
    </row>
    <row r="16">
      <c r="A16" s="53" t="n"/>
      <c r="B16" s="53" t="n"/>
      <c r="C16" s="53" t="n"/>
      <c r="D16" s="53" t="n"/>
      <c r="E16" s="53" t="n"/>
      <c r="F16" s="53" t="n"/>
      <c r="G16" s="53" t="n"/>
      <c r="H16" s="53" t="n"/>
      <c r="I16" s="53" t="n"/>
      <c r="J16" s="53" t="n"/>
      <c r="K16" s="53" t="n"/>
      <c r="L16" s="53" t="n"/>
      <c r="M16" s="53" t="n"/>
      <c r="N16" s="53" t="n"/>
      <c r="O16" s="53" t="n"/>
      <c r="P16" s="53" t="n"/>
      <c r="Q16" s="67">
        <f>IF(OR(L16="",L16="در انتظار"),"",IF(Q16="",TODAY(),Q16))</f>
        <v/>
      </c>
    </row>
    <row r="17">
      <c r="A17" s="53" t="n"/>
      <c r="B17" s="53" t="n"/>
      <c r="C17" s="53" t="n"/>
      <c r="D17" s="53" t="n"/>
      <c r="E17" s="53" t="n"/>
      <c r="F17" s="53" t="n"/>
      <c r="G17" s="53" t="n"/>
      <c r="H17" s="53" t="n"/>
      <c r="I17" s="53" t="n"/>
      <c r="J17" s="53" t="n"/>
      <c r="K17" s="53" t="n"/>
      <c r="L17" s="53" t="n"/>
      <c r="M17" s="53" t="n"/>
      <c r="N17" s="53" t="n"/>
      <c r="O17" s="53" t="n"/>
      <c r="P17" s="53" t="n"/>
      <c r="Q17" s="67">
        <f>IF(OR(L17="",L17="در انتظار"),"",IF(Q17="",TODAY(),Q17))</f>
        <v/>
      </c>
    </row>
    <row r="18">
      <c r="A18" s="53" t="n"/>
      <c r="B18" s="53" t="n"/>
      <c r="C18" s="53" t="n"/>
      <c r="D18" s="53" t="n"/>
      <c r="E18" s="53" t="n"/>
      <c r="F18" s="53" t="n"/>
      <c r="G18" s="53" t="n"/>
      <c r="H18" s="53" t="n"/>
      <c r="I18" s="53" t="n"/>
      <c r="J18" s="53" t="n"/>
      <c r="K18" s="53" t="n"/>
      <c r="L18" s="53" t="n"/>
      <c r="M18" s="53" t="n"/>
      <c r="N18" s="53" t="n"/>
      <c r="O18" s="53" t="n"/>
      <c r="P18" s="53" t="n"/>
      <c r="Q18" s="67">
        <f>IF(OR(L18="",L18="در انتظار"),"",IF(Q18="",TODAY(),Q18))</f>
        <v/>
      </c>
    </row>
    <row r="19">
      <c r="A19" s="53" t="n"/>
      <c r="B19" s="53" t="n"/>
      <c r="C19" s="53" t="n"/>
      <c r="D19" s="53" t="n"/>
      <c r="E19" s="53" t="n"/>
      <c r="F19" s="53" t="n"/>
      <c r="G19" s="53" t="n"/>
      <c r="H19" s="53" t="n"/>
      <c r="I19" s="53" t="n"/>
      <c r="J19" s="53" t="n"/>
      <c r="K19" s="53" t="n"/>
      <c r="L19" s="53" t="n"/>
      <c r="M19" s="53" t="n"/>
      <c r="N19" s="53" t="n"/>
      <c r="O19" s="53" t="n"/>
      <c r="P19" s="53" t="n"/>
      <c r="Q19" s="67">
        <f>IF(OR(L19="",L19="در انتظار"),"",IF(Q19="",TODAY(),Q19))</f>
        <v/>
      </c>
    </row>
    <row r="20">
      <c r="A20" s="53" t="n"/>
      <c r="B20" s="53" t="n"/>
      <c r="C20" s="53" t="n"/>
      <c r="D20" s="53" t="n"/>
      <c r="E20" s="53" t="n"/>
      <c r="F20" s="53" t="n"/>
      <c r="G20" s="53" t="n"/>
      <c r="H20" s="53" t="n"/>
      <c r="I20" s="53" t="n"/>
      <c r="J20" s="53" t="n"/>
      <c r="K20" s="53" t="n"/>
      <c r="L20" s="53" t="n"/>
      <c r="M20" s="53" t="n"/>
      <c r="N20" s="53" t="n"/>
      <c r="O20" s="53" t="n"/>
      <c r="P20" s="53" t="n"/>
      <c r="Q20" s="67">
        <f>IF(OR(L20="",L20="در انتظار"),"",IF(Q20="",TODAY(),Q20))</f>
        <v/>
      </c>
    </row>
    <row r="21">
      <c r="A21" s="53" t="n"/>
      <c r="B21" s="53" t="n"/>
      <c r="C21" s="53" t="n"/>
      <c r="D21" s="53" t="n"/>
      <c r="E21" s="53" t="n"/>
      <c r="F21" s="53" t="n"/>
      <c r="G21" s="53" t="n"/>
      <c r="H21" s="53" t="n"/>
      <c r="I21" s="53" t="n"/>
      <c r="J21" s="53" t="n"/>
      <c r="K21" s="53" t="n"/>
      <c r="L21" s="53" t="n"/>
      <c r="M21" s="53" t="n"/>
      <c r="N21" s="53" t="n"/>
      <c r="O21" s="53" t="n"/>
      <c r="P21" s="53" t="n"/>
      <c r="Q21" s="67">
        <f>IF(OR(L21="",L21="در انتظار"),"",IF(Q21="",TODAY(),Q21))</f>
        <v/>
      </c>
    </row>
    <row r="22">
      <c r="A22" s="53" t="n"/>
      <c r="B22" s="53" t="n"/>
      <c r="C22" s="53" t="n"/>
      <c r="D22" s="53" t="n"/>
      <c r="E22" s="53" t="n"/>
      <c r="F22" s="53" t="n"/>
      <c r="G22" s="53" t="n"/>
      <c r="H22" s="53" t="n"/>
      <c r="I22" s="53" t="n"/>
      <c r="J22" s="53" t="n"/>
      <c r="K22" s="53" t="n"/>
      <c r="L22" s="53" t="n"/>
      <c r="M22" s="53" t="n"/>
      <c r="N22" s="53" t="n"/>
      <c r="O22" s="53" t="n"/>
      <c r="P22" s="53" t="n"/>
      <c r="Q22" s="67">
        <f>IF(OR(L22="",L22="در انتظار"),"",IF(Q22="",TODAY(),Q22))</f>
        <v/>
      </c>
    </row>
    <row r="23">
      <c r="A23" s="53" t="n"/>
      <c r="B23" s="53" t="n"/>
      <c r="C23" s="53" t="n"/>
      <c r="D23" s="53" t="n"/>
      <c r="E23" s="53" t="n"/>
      <c r="F23" s="53" t="n"/>
      <c r="G23" s="53" t="n"/>
      <c r="H23" s="53" t="n"/>
      <c r="I23" s="53" t="n"/>
      <c r="J23" s="53" t="n"/>
      <c r="K23" s="53" t="n"/>
      <c r="L23" s="53" t="n"/>
      <c r="M23" s="53" t="n"/>
      <c r="N23" s="53" t="n"/>
      <c r="O23" s="53" t="n"/>
      <c r="P23" s="53" t="n"/>
      <c r="Q23" s="67">
        <f>IF(OR(L23="",L23="در انتظار"),"",IF(Q23="",TODAY(),Q23))</f>
        <v/>
      </c>
    </row>
    <row r="24">
      <c r="A24" s="53" t="n"/>
      <c r="B24" s="53" t="n"/>
      <c r="C24" s="53" t="n"/>
      <c r="D24" s="53" t="n"/>
      <c r="E24" s="53" t="n"/>
      <c r="F24" s="53" t="n"/>
      <c r="G24" s="53" t="n"/>
      <c r="H24" s="53" t="n"/>
      <c r="I24" s="53" t="n"/>
      <c r="J24" s="53" t="n"/>
      <c r="K24" s="53" t="n"/>
      <c r="L24" s="53" t="n"/>
      <c r="M24" s="53" t="n"/>
      <c r="N24" s="53" t="n"/>
      <c r="O24" s="53" t="n"/>
      <c r="P24" s="53" t="n"/>
      <c r="Q24" s="67">
        <f>IF(OR(L24="",L24="در انتظار"),"",IF(Q24="",TODAY(),Q24))</f>
        <v/>
      </c>
    </row>
    <row r="25">
      <c r="A25" s="53" t="n"/>
      <c r="B25" s="53" t="n"/>
      <c r="C25" s="53" t="n"/>
      <c r="D25" s="53" t="n"/>
      <c r="E25" s="53" t="n"/>
      <c r="F25" s="53" t="n"/>
      <c r="G25" s="53" t="n"/>
      <c r="H25" s="53" t="n"/>
      <c r="I25" s="53" t="n"/>
      <c r="J25" s="53" t="n"/>
      <c r="K25" s="53" t="n"/>
      <c r="L25" s="53" t="n"/>
      <c r="M25" s="53" t="n"/>
      <c r="N25" s="53" t="n"/>
      <c r="O25" s="53" t="n"/>
      <c r="P25" s="53" t="n"/>
      <c r="Q25" s="67">
        <f>IF(OR(L25="",L25="در انتظار"),"",IF(Q25="",TODAY(),Q25))</f>
        <v/>
      </c>
    </row>
  </sheetData>
  <autoFilter ref="A4:Q5"/>
  <dataValidations count="1">
    <dataValidation sqref="L5 L6 L7 L8 L9 L10 L11 L12 L13 L14 L15 L16 L17 L18 L19 L20 L21 L22 L23 L24 L25" showDropDown="0" showInputMessage="0" showErrorMessage="0" allowBlank="1" type="list">
      <formula1>='فهرست‌ها'!$A$2:$A$7</formula1>
    </dataValidation>
  </dataValidations>
  <hyperlinks>
    <hyperlink ref="E5" location="'برنامه تست'!A7"/>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385723"/>
    <outlinePr summaryBelow="1" summaryRight="1"/>
    <pageSetUpPr fitToPage="1"/>
  </sheetPr>
  <dimension ref="A1:Q25"/>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83" t="inlineStr">
        <is>
          <t>تست‌های برنامه‌نویسی و هاست (جدا از ولیدیشن عملی برد)</t>
        </is>
      </c>
      <c r="B1" s="53" t="n"/>
      <c r="C1" s="53" t="n"/>
      <c r="D1" s="53" t="n"/>
      <c r="E1" s="53" t="n"/>
      <c r="F1" s="53" t="n"/>
      <c r="G1" s="53" t="n"/>
      <c r="H1" s="53" t="n"/>
      <c r="I1" s="53" t="n"/>
      <c r="J1" s="53" t="n"/>
      <c r="K1" s="53" t="n"/>
      <c r="L1" s="53" t="n"/>
      <c r="M1" s="53" t="n"/>
      <c r="N1" s="53" t="n"/>
      <c r="O1" s="53" t="n"/>
      <c r="P1" s="53" t="n"/>
      <c r="Q1" s="53" t="n"/>
    </row>
    <row r="2" ht="42" customHeight="1">
      <c r="A2" s="53" t="n"/>
      <c r="B2" s="68" t="inlineStr">
        <is>
          <t>این شیت جدا از ولیدیشن عملی برد است: چک‌های کدنویسی، تست‌های هاست، بازبینی کد و تزریق با دیباگر. این‌ها با گیت‌های check_ai_rules و check_firmware_syntax و تست‌های هاست پوشش داده می‌شوند؛ برای بررسی عملکرد روی برد واقعی لازم نیستند.</t>
        </is>
      </c>
      <c r="C2" s="53" t="n"/>
      <c r="D2" s="53" t="n"/>
      <c r="E2" s="53" t="n"/>
      <c r="F2" s="53" t="n"/>
      <c r="G2" s="53" t="n"/>
      <c r="H2" s="53" t="n"/>
      <c r="I2" s="53" t="n"/>
      <c r="J2" s="53" t="n"/>
      <c r="K2" s="53" t="n"/>
      <c r="L2" s="53" t="n"/>
      <c r="M2" s="53" t="n"/>
      <c r="N2" s="53" t="n"/>
      <c r="O2" s="53" t="n"/>
      <c r="P2" s="53" t="n"/>
      <c r="Q2" s="53" t="n"/>
    </row>
    <row r="3">
      <c r="A3" s="53" t="n"/>
      <c r="B3" s="53" t="n"/>
      <c r="C3" s="53" t="n"/>
      <c r="D3" s="53" t="n"/>
      <c r="E3" s="53" t="n"/>
      <c r="F3" s="53" t="n"/>
      <c r="G3" s="53" t="n"/>
      <c r="H3" s="53" t="n"/>
      <c r="I3" s="53" t="n"/>
      <c r="J3" s="53" t="n"/>
      <c r="K3" s="53" t="n"/>
      <c r="L3" s="53" t="n"/>
      <c r="M3" s="53" t="n"/>
      <c r="N3" s="53" t="n"/>
      <c r="O3" s="53" t="n"/>
      <c r="P3" s="53" t="n"/>
      <c r="Q3" s="53" t="n"/>
    </row>
    <row r="4" ht="30" customHeight="1">
      <c r="A4" s="80" t="inlineStr">
        <is>
          <t>شناسه</t>
        </is>
      </c>
      <c r="B4" s="80" t="inlineStr">
        <is>
          <t>دسته</t>
        </is>
      </c>
      <c r="C4" s="80" t="inlineStr">
        <is>
          <t>اولویت</t>
        </is>
      </c>
      <c r="D4" s="80" t="inlineStr">
        <is>
          <t>پیش‌شرط</t>
        </is>
      </c>
      <c r="E4" s="80" t="inlineStr">
        <is>
          <t>روش اجرای دقیق</t>
        </is>
      </c>
      <c r="F4" s="80" t="inlineStr">
        <is>
          <t>ورودی‌ها / شرایط</t>
        </is>
      </c>
      <c r="G4" s="80" t="inlineStr">
        <is>
          <t>مدت مشاهده</t>
        </is>
      </c>
      <c r="H4" s="80" t="inlineStr">
        <is>
          <t>رفتار مورد انتظار</t>
        </is>
      </c>
      <c r="I4" s="80" t="inlineStr">
        <is>
          <t>می‌ماند یا پاک می‌شود</t>
        </is>
      </c>
      <c r="J4" s="80" t="inlineStr">
        <is>
          <t>معیار قبولی</t>
        </is>
      </c>
      <c r="K4" s="80" t="inlineStr">
        <is>
          <t>نتیجهٔ واقعی / اندازه‌گیری</t>
        </is>
      </c>
      <c r="L4" s="80" t="inlineStr">
        <is>
          <t>وضعیت</t>
        </is>
      </c>
      <c r="M4" s="80" t="inlineStr">
        <is>
          <t>شرح ایراد / تفاوت</t>
        </is>
      </c>
      <c r="N4" s="80" t="inlineStr">
        <is>
          <t>مدرک تست</t>
        </is>
      </c>
      <c r="O4" s="80" t="inlineStr">
        <is>
          <t>نسخهٔ برنامه</t>
        </is>
      </c>
      <c r="P4" s="80" t="inlineStr">
        <is>
          <t>نام تست‌کننده</t>
        </is>
      </c>
      <c r="Q4" s="80" t="inlineStr">
        <is>
          <t>تاریخ</t>
        </is>
      </c>
    </row>
    <row r="5" ht="40.5" customHeight="1">
      <c r="A5" s="55" t="inlineStr">
        <is>
          <t>IM-020</t>
        </is>
      </c>
      <c r="B5" s="61" t="inlineStr">
        <is>
          <t>snapshot zeroing</t>
        </is>
      </c>
      <c r="C5" s="62" t="inlineStr">
        <is>
          <t>بالا</t>
        </is>
      </c>
      <c r="D5" s="61" t="inlineStr">
        <is>
          <t>valid=false</t>
        </is>
      </c>
      <c r="E5" s="61" t="inlineStr">
        <is>
          <t>گام ۱: یک snapshot نامعتبر بساز: valid=false و ولتاژهای بالا/پایین (vHigh/vLow) را عمداً زباله بگذار.
گام ۲: آن را 3 ثانیه به Imbalance_Evaluate بده (ورودی‌ها را task_control از قبل صفر می‌کند).
گام ۳: شمارنده و وضعیت اپیزود را نگاه کن: ماژول باید روی valid گیت بزند و هیچ اپیزود کاذبی نباید ساخته شود.</t>
        </is>
      </c>
      <c r="F5" s="63" t="inlineStr">
        <is>
          <t>valid=false</t>
        </is>
      </c>
      <c r="G5" s="63" t="inlineStr">
        <is>
          <t>3s</t>
        </is>
      </c>
      <c r="H5" s="61" t="inlineStr">
        <is>
          <t>ماژول باید روی valid گیت بزند و بدون episode کاذب بماند؛ ورودی‌ها از task_control صفر شده</t>
        </is>
      </c>
      <c r="I5" s="61" t="inlineStr">
        <is>
          <t>—</t>
        </is>
      </c>
      <c r="J5" s="61" t="inlineStr">
        <is>
          <t>بدون episode کاذب</t>
        </is>
      </c>
      <c r="K5" s="61" t="n"/>
      <c r="L5" s="69" t="inlineStr">
        <is>
          <t>نیاز به تکرار</t>
        </is>
      </c>
      <c r="M5" s="61" t="n"/>
      <c r="N5" s="61" t="n"/>
      <c r="O5" s="63" t="inlineStr">
        <is>
          <t>62f3782</t>
        </is>
      </c>
      <c r="P5" s="63" t="n"/>
      <c r="Q5" s="64" t="inlineStr">
        <is>
          <t>2026-10-12</t>
        </is>
      </c>
    </row>
    <row r="6">
      <c r="A6" s="53" t="n"/>
      <c r="B6" s="53" t="n"/>
      <c r="C6" s="53" t="n"/>
      <c r="D6" s="53" t="n"/>
      <c r="E6" s="53" t="n"/>
      <c r="F6" s="53" t="n"/>
      <c r="G6" s="53" t="n"/>
      <c r="H6" s="53" t="n"/>
      <c r="I6" s="53" t="n"/>
      <c r="J6" s="53" t="n"/>
      <c r="K6" s="53" t="n"/>
      <c r="L6" s="53" t="n"/>
      <c r="M6" s="53" t="n"/>
      <c r="N6" s="53" t="n"/>
      <c r="O6" s="53" t="n"/>
      <c r="P6" s="53" t="n"/>
      <c r="Q6" s="67">
        <f>IF(OR(L6="",L6="در انتظار"),"",IF(Q6="",TODAY(),Q6))</f>
        <v/>
      </c>
    </row>
    <row r="7">
      <c r="A7" s="53" t="n"/>
      <c r="B7" s="53" t="n"/>
      <c r="C7" s="53" t="n"/>
      <c r="D7" s="53" t="n"/>
      <c r="E7" s="53" t="n"/>
      <c r="F7" s="53" t="n"/>
      <c r="G7" s="53" t="n"/>
      <c r="H7" s="53" t="n"/>
      <c r="I7" s="53" t="n"/>
      <c r="J7" s="53" t="n"/>
      <c r="K7" s="53" t="n"/>
      <c r="L7" s="53" t="n"/>
      <c r="M7" s="53" t="n"/>
      <c r="N7" s="53" t="n"/>
      <c r="O7" s="53" t="n"/>
      <c r="P7" s="53" t="n"/>
      <c r="Q7" s="67">
        <f>IF(OR(L7="",L7="در انتظار"),"",IF(Q7="",TODAY(),Q7))</f>
        <v/>
      </c>
    </row>
    <row r="8">
      <c r="A8" s="53" t="n"/>
      <c r="B8" s="53" t="n"/>
      <c r="C8" s="53" t="n"/>
      <c r="D8" s="53" t="n"/>
      <c r="E8" s="53" t="n"/>
      <c r="F8" s="53" t="n"/>
      <c r="G8" s="53" t="n"/>
      <c r="H8" s="53" t="n"/>
      <c r="I8" s="53" t="n"/>
      <c r="J8" s="53" t="n"/>
      <c r="K8" s="53" t="n"/>
      <c r="L8" s="53" t="n"/>
      <c r="M8" s="53" t="n"/>
      <c r="N8" s="53" t="n"/>
      <c r="O8" s="53" t="n"/>
      <c r="P8" s="53" t="n"/>
      <c r="Q8" s="67">
        <f>IF(OR(L8="",L8="در انتظار"),"",IF(Q8="",TODAY(),Q8))</f>
        <v/>
      </c>
    </row>
    <row r="9">
      <c r="A9" s="53" t="n"/>
      <c r="B9" s="53" t="n"/>
      <c r="C9" s="53" t="n"/>
      <c r="D9" s="53" t="n"/>
      <c r="E9" s="53" t="n"/>
      <c r="F9" s="53" t="n"/>
      <c r="G9" s="53" t="n"/>
      <c r="H9" s="53" t="n"/>
      <c r="I9" s="53" t="n"/>
      <c r="J9" s="53" t="n"/>
      <c r="K9" s="53" t="n"/>
      <c r="L9" s="53" t="n"/>
      <c r="M9" s="53" t="n"/>
      <c r="N9" s="53" t="n"/>
      <c r="O9" s="53" t="n"/>
      <c r="P9" s="53" t="n"/>
      <c r="Q9" s="67">
        <f>IF(OR(L9="",L9="در انتظار"),"",IF(Q9="",TODAY(),Q9))</f>
        <v/>
      </c>
    </row>
    <row r="10">
      <c r="A10" s="53" t="n"/>
      <c r="B10" s="53" t="n"/>
      <c r="C10" s="53" t="n"/>
      <c r="D10" s="53" t="n"/>
      <c r="E10" s="53" t="n"/>
      <c r="F10" s="53" t="n"/>
      <c r="G10" s="53" t="n"/>
      <c r="H10" s="53" t="n"/>
      <c r="I10" s="53" t="n"/>
      <c r="J10" s="53" t="n"/>
      <c r="K10" s="53" t="n"/>
      <c r="L10" s="53" t="n"/>
      <c r="M10" s="53" t="n"/>
      <c r="N10" s="53" t="n"/>
      <c r="O10" s="53" t="n"/>
      <c r="P10" s="53" t="n"/>
      <c r="Q10" s="67">
        <f>IF(OR(L10="",L10="در انتظار"),"",IF(Q10="",TODAY(),Q10))</f>
        <v/>
      </c>
    </row>
    <row r="11">
      <c r="A11" s="53" t="n"/>
      <c r="B11" s="53" t="n"/>
      <c r="C11" s="53" t="n"/>
      <c r="D11" s="53" t="n"/>
      <c r="E11" s="53" t="n"/>
      <c r="F11" s="53" t="n"/>
      <c r="G11" s="53" t="n"/>
      <c r="H11" s="53" t="n"/>
      <c r="I11" s="53" t="n"/>
      <c r="J11" s="53" t="n"/>
      <c r="K11" s="53" t="n"/>
      <c r="L11" s="53" t="n"/>
      <c r="M11" s="53" t="n"/>
      <c r="N11" s="53" t="n"/>
      <c r="O11" s="53" t="n"/>
      <c r="P11" s="53" t="n"/>
      <c r="Q11" s="67">
        <f>IF(OR(L11="",L11="در انتظار"),"",IF(Q11="",TODAY(),Q11))</f>
        <v/>
      </c>
    </row>
    <row r="12">
      <c r="A12" s="53" t="n"/>
      <c r="B12" s="53" t="n"/>
      <c r="C12" s="53" t="n"/>
      <c r="D12" s="53" t="n"/>
      <c r="E12" s="53" t="n"/>
      <c r="F12" s="53" t="n"/>
      <c r="G12" s="53" t="n"/>
      <c r="H12" s="53" t="n"/>
      <c r="I12" s="53" t="n"/>
      <c r="J12" s="53" t="n"/>
      <c r="K12" s="53" t="n"/>
      <c r="L12" s="53" t="n"/>
      <c r="M12" s="53" t="n"/>
      <c r="N12" s="53" t="n"/>
      <c r="O12" s="53" t="n"/>
      <c r="P12" s="53" t="n"/>
      <c r="Q12" s="67">
        <f>IF(OR(L12="",L12="در انتظار"),"",IF(Q12="",TODAY(),Q12))</f>
        <v/>
      </c>
    </row>
    <row r="13">
      <c r="A13" s="53" t="n"/>
      <c r="B13" s="53" t="n"/>
      <c r="C13" s="53" t="n"/>
      <c r="D13" s="53" t="n"/>
      <c r="E13" s="53" t="n"/>
      <c r="F13" s="53" t="n"/>
      <c r="G13" s="53" t="n"/>
      <c r="H13" s="53" t="n"/>
      <c r="I13" s="53" t="n"/>
      <c r="J13" s="53" t="n"/>
      <c r="K13" s="53" t="n"/>
      <c r="L13" s="53" t="n"/>
      <c r="M13" s="53" t="n"/>
      <c r="N13" s="53" t="n"/>
      <c r="O13" s="53" t="n"/>
      <c r="P13" s="53" t="n"/>
      <c r="Q13" s="67">
        <f>IF(OR(L13="",L13="در انتظار"),"",IF(Q13="",TODAY(),Q13))</f>
        <v/>
      </c>
    </row>
    <row r="14">
      <c r="A14" s="53" t="n"/>
      <c r="B14" s="53" t="n"/>
      <c r="C14" s="53" t="n"/>
      <c r="D14" s="53" t="n"/>
      <c r="E14" s="53" t="n"/>
      <c r="F14" s="53" t="n"/>
      <c r="G14" s="53" t="n"/>
      <c r="H14" s="53" t="n"/>
      <c r="I14" s="53" t="n"/>
      <c r="J14" s="53" t="n"/>
      <c r="K14" s="53" t="n"/>
      <c r="L14" s="53" t="n"/>
      <c r="M14" s="53" t="n"/>
      <c r="N14" s="53" t="n"/>
      <c r="O14" s="53" t="n"/>
      <c r="P14" s="53" t="n"/>
      <c r="Q14" s="67">
        <f>IF(OR(L14="",L14="در انتظار"),"",IF(Q14="",TODAY(),Q14))</f>
        <v/>
      </c>
    </row>
    <row r="15">
      <c r="A15" s="53" t="n"/>
      <c r="B15" s="53" t="n"/>
      <c r="C15" s="53" t="n"/>
      <c r="D15" s="53" t="n"/>
      <c r="E15" s="53" t="n"/>
      <c r="F15" s="53" t="n"/>
      <c r="G15" s="53" t="n"/>
      <c r="H15" s="53" t="n"/>
      <c r="I15" s="53" t="n"/>
      <c r="J15" s="53" t="n"/>
      <c r="K15" s="53" t="n"/>
      <c r="L15" s="53" t="n"/>
      <c r="M15" s="53" t="n"/>
      <c r="N15" s="53" t="n"/>
      <c r="O15" s="53" t="n"/>
      <c r="P15" s="53" t="n"/>
      <c r="Q15" s="67">
        <f>IF(OR(L15="",L15="در انتظار"),"",IF(Q15="",TODAY(),Q15))</f>
        <v/>
      </c>
    </row>
    <row r="16">
      <c r="A16" s="53" t="n"/>
      <c r="B16" s="53" t="n"/>
      <c r="C16" s="53" t="n"/>
      <c r="D16" s="53" t="n"/>
      <c r="E16" s="53" t="n"/>
      <c r="F16" s="53" t="n"/>
      <c r="G16" s="53" t="n"/>
      <c r="H16" s="53" t="n"/>
      <c r="I16" s="53" t="n"/>
      <c r="J16" s="53" t="n"/>
      <c r="K16" s="53" t="n"/>
      <c r="L16" s="53" t="n"/>
      <c r="M16" s="53" t="n"/>
      <c r="N16" s="53" t="n"/>
      <c r="O16" s="53" t="n"/>
      <c r="P16" s="53" t="n"/>
      <c r="Q16" s="67">
        <f>IF(OR(L16="",L16="در انتظار"),"",IF(Q16="",TODAY(),Q16))</f>
        <v/>
      </c>
    </row>
    <row r="17">
      <c r="A17" s="53" t="n"/>
      <c r="B17" s="53" t="n"/>
      <c r="C17" s="53" t="n"/>
      <c r="D17" s="53" t="n"/>
      <c r="E17" s="53" t="n"/>
      <c r="F17" s="53" t="n"/>
      <c r="G17" s="53" t="n"/>
      <c r="H17" s="53" t="n"/>
      <c r="I17" s="53" t="n"/>
      <c r="J17" s="53" t="n"/>
      <c r="K17" s="53" t="n"/>
      <c r="L17" s="53" t="n"/>
      <c r="M17" s="53" t="n"/>
      <c r="N17" s="53" t="n"/>
      <c r="O17" s="53" t="n"/>
      <c r="P17" s="53" t="n"/>
      <c r="Q17" s="67">
        <f>IF(OR(L17="",L17="در انتظار"),"",IF(Q17="",TODAY(),Q17))</f>
        <v/>
      </c>
    </row>
    <row r="18">
      <c r="A18" s="53" t="n"/>
      <c r="B18" s="53" t="n"/>
      <c r="C18" s="53" t="n"/>
      <c r="D18" s="53" t="n"/>
      <c r="E18" s="53" t="n"/>
      <c r="F18" s="53" t="n"/>
      <c r="G18" s="53" t="n"/>
      <c r="H18" s="53" t="n"/>
      <c r="I18" s="53" t="n"/>
      <c r="J18" s="53" t="n"/>
      <c r="K18" s="53" t="n"/>
      <c r="L18" s="53" t="n"/>
      <c r="M18" s="53" t="n"/>
      <c r="N18" s="53" t="n"/>
      <c r="O18" s="53" t="n"/>
      <c r="P18" s="53" t="n"/>
      <c r="Q18" s="67">
        <f>IF(OR(L18="",L18="در انتظار"),"",IF(Q18="",TODAY(),Q18))</f>
        <v/>
      </c>
    </row>
    <row r="19">
      <c r="A19" s="53" t="n"/>
      <c r="B19" s="53" t="n"/>
      <c r="C19" s="53" t="n"/>
      <c r="D19" s="53" t="n"/>
      <c r="E19" s="53" t="n"/>
      <c r="F19" s="53" t="n"/>
      <c r="G19" s="53" t="n"/>
      <c r="H19" s="53" t="n"/>
      <c r="I19" s="53" t="n"/>
      <c r="J19" s="53" t="n"/>
      <c r="K19" s="53" t="n"/>
      <c r="L19" s="53" t="n"/>
      <c r="M19" s="53" t="n"/>
      <c r="N19" s="53" t="n"/>
      <c r="O19" s="53" t="n"/>
      <c r="P19" s="53" t="n"/>
      <c r="Q19" s="67">
        <f>IF(OR(L19="",L19="در انتظار"),"",IF(Q19="",TODAY(),Q19))</f>
        <v/>
      </c>
    </row>
    <row r="20">
      <c r="A20" s="53" t="n"/>
      <c r="B20" s="53" t="n"/>
      <c r="C20" s="53" t="n"/>
      <c r="D20" s="53" t="n"/>
      <c r="E20" s="53" t="n"/>
      <c r="F20" s="53" t="n"/>
      <c r="G20" s="53" t="n"/>
      <c r="H20" s="53" t="n"/>
      <c r="I20" s="53" t="n"/>
      <c r="J20" s="53" t="n"/>
      <c r="K20" s="53" t="n"/>
      <c r="L20" s="53" t="n"/>
      <c r="M20" s="53" t="n"/>
      <c r="N20" s="53" t="n"/>
      <c r="O20" s="53" t="n"/>
      <c r="P20" s="53" t="n"/>
      <c r="Q20" s="67">
        <f>IF(OR(L20="",L20="در انتظار"),"",IF(Q20="",TODAY(),Q20))</f>
        <v/>
      </c>
    </row>
    <row r="21">
      <c r="A21" s="53" t="n"/>
      <c r="B21" s="53" t="n"/>
      <c r="C21" s="53" t="n"/>
      <c r="D21" s="53" t="n"/>
      <c r="E21" s="53" t="n"/>
      <c r="F21" s="53" t="n"/>
      <c r="G21" s="53" t="n"/>
      <c r="H21" s="53" t="n"/>
      <c r="I21" s="53" t="n"/>
      <c r="J21" s="53" t="n"/>
      <c r="K21" s="53" t="n"/>
      <c r="L21" s="53" t="n"/>
      <c r="M21" s="53" t="n"/>
      <c r="N21" s="53" t="n"/>
      <c r="O21" s="53" t="n"/>
      <c r="P21" s="53" t="n"/>
      <c r="Q21" s="67">
        <f>IF(OR(L21="",L21="در انتظار"),"",IF(Q21="",TODAY(),Q21))</f>
        <v/>
      </c>
    </row>
    <row r="22">
      <c r="A22" s="53" t="n"/>
      <c r="B22" s="53" t="n"/>
      <c r="C22" s="53" t="n"/>
      <c r="D22" s="53" t="n"/>
      <c r="E22" s="53" t="n"/>
      <c r="F22" s="53" t="n"/>
      <c r="G22" s="53" t="n"/>
      <c r="H22" s="53" t="n"/>
      <c r="I22" s="53" t="n"/>
      <c r="J22" s="53" t="n"/>
      <c r="K22" s="53" t="n"/>
      <c r="L22" s="53" t="n"/>
      <c r="M22" s="53" t="n"/>
      <c r="N22" s="53" t="n"/>
      <c r="O22" s="53" t="n"/>
      <c r="P22" s="53" t="n"/>
      <c r="Q22" s="67">
        <f>IF(OR(L22="",L22="در انتظار"),"",IF(Q22="",TODAY(),Q22))</f>
        <v/>
      </c>
    </row>
    <row r="23">
      <c r="A23" s="53" t="n"/>
      <c r="B23" s="53" t="n"/>
      <c r="C23" s="53" t="n"/>
      <c r="D23" s="53" t="n"/>
      <c r="E23" s="53" t="n"/>
      <c r="F23" s="53" t="n"/>
      <c r="G23" s="53" t="n"/>
      <c r="H23" s="53" t="n"/>
      <c r="I23" s="53" t="n"/>
      <c r="J23" s="53" t="n"/>
      <c r="K23" s="53" t="n"/>
      <c r="L23" s="53" t="n"/>
      <c r="M23" s="53" t="n"/>
      <c r="N23" s="53" t="n"/>
      <c r="O23" s="53" t="n"/>
      <c r="P23" s="53" t="n"/>
      <c r="Q23" s="67">
        <f>IF(OR(L23="",L23="در انتظار"),"",IF(Q23="",TODAY(),Q23))</f>
        <v/>
      </c>
    </row>
    <row r="24">
      <c r="A24" s="53" t="n"/>
      <c r="B24" s="53" t="n"/>
      <c r="C24" s="53" t="n"/>
      <c r="D24" s="53" t="n"/>
      <c r="E24" s="53" t="n"/>
      <c r="F24" s="53" t="n"/>
      <c r="G24" s="53" t="n"/>
      <c r="H24" s="53" t="n"/>
      <c r="I24" s="53" t="n"/>
      <c r="J24" s="53" t="n"/>
      <c r="K24" s="53" t="n"/>
      <c r="L24" s="53" t="n"/>
      <c r="M24" s="53" t="n"/>
      <c r="N24" s="53" t="n"/>
      <c r="O24" s="53" t="n"/>
      <c r="P24" s="53" t="n"/>
      <c r="Q24" s="67">
        <f>IF(OR(L24="",L24="در انتظار"),"",IF(Q24="",TODAY(),Q24))</f>
        <v/>
      </c>
    </row>
    <row r="25">
      <c r="A25" s="53" t="n"/>
      <c r="B25" s="53" t="n"/>
      <c r="C25" s="53" t="n"/>
      <c r="D25" s="53" t="n"/>
      <c r="E25" s="53" t="n"/>
      <c r="F25" s="53" t="n"/>
      <c r="G25" s="53" t="n"/>
      <c r="H25" s="53" t="n"/>
      <c r="I25" s="53" t="n"/>
      <c r="J25" s="53" t="n"/>
      <c r="K25" s="53" t="n"/>
      <c r="L25" s="53" t="n"/>
      <c r="M25" s="53" t="n"/>
      <c r="N25" s="53" t="n"/>
      <c r="O25" s="53" t="n"/>
      <c r="P25" s="53" t="n"/>
      <c r="Q25" s="67">
        <f>IF(OR(L25="",L25="در انتظار"),"",IF(Q25="",TODAY(),Q25))</f>
        <v/>
      </c>
    </row>
  </sheetData>
  <autoFilter ref="A4:Q5"/>
  <dataValidations count="1">
    <dataValidation sqref="L5 L6 L7 L8 L9 L10 L11 L12 L13 L14 L15 L16 L17 L18 L19 L20 L21 L22 L23 L24 L25" showDropDown="0" showInputMessage="0" showErrorMessage="0" allowBlank="1" type="list">
      <formula1>='فهرست‌ها'!$A$2:$A$7</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BF8F00"/>
    <outlinePr summaryBelow="1" summaryRight="1"/>
    <pageSetUpPr/>
  </sheetPr>
  <dimension ref="A1:E13"/>
  <sheetViews>
    <sheetView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30" customWidth="1" min="3" max="3"/>
    <col width="34" customWidth="1" min="4" max="4"/>
    <col width="26" customWidth="1" min="5" max="5"/>
  </cols>
  <sheetData>
    <row r="1" ht="30" customHeight="1">
      <c r="A1" s="89" t="inlineStr">
        <is>
          <t>مرجع سریع سناریوها و ثابت‌های ماژول Imbalance</t>
        </is>
      </c>
      <c r="B1" s="80" t="n"/>
      <c r="C1" s="80" t="n"/>
      <c r="D1" s="80" t="n"/>
      <c r="E1" s="80" t="n"/>
    </row>
    <row r="2">
      <c r="A2" s="53" t="n"/>
      <c r="B2" s="53" t="n"/>
      <c r="C2" s="53" t="n"/>
      <c r="D2" s="53" t="n"/>
      <c r="E2" s="53" t="n"/>
    </row>
    <row r="3">
      <c r="A3" s="70" t="inlineStr">
        <is>
          <t>موضوع</t>
        </is>
      </c>
      <c r="B3" s="70" t="inlineStr">
        <is>
          <t>شرط / مقدار</t>
        </is>
      </c>
      <c r="C3" s="70" t="inlineStr">
        <is>
          <t>رفتار مورد انتظار</t>
        </is>
      </c>
      <c r="D3" s="70" t="inlineStr">
        <is>
          <t>ثابت / محل کد</t>
        </is>
      </c>
      <c r="E3" s="70" t="inlineStr">
        <is>
          <t>توضیح</t>
        </is>
      </c>
    </row>
    <row r="4">
      <c r="A4" s="71" t="inlineStr">
        <is>
          <t>حد استراحت</t>
        </is>
      </c>
      <c r="B4" s="71" t="inlineStr">
        <is>
          <t>۳۰۰mV (پیش‌فرض)</t>
        </is>
      </c>
      <c r="C4" s="71" t="inlineStr">
        <is>
          <t>شمارش رویداد پس از پایداری</t>
        </is>
      </c>
      <c r="D4" s="71" t="inlineStr">
        <is>
          <t>IMBAL_PARAM_REST_LIMIT_MV (۱۰۸) / IMBAL_DEF_REST_LIMIT_MV</t>
        </is>
      </c>
      <c r="E4" s="71" t="inlineStr">
        <is>
          <t>فقط با گیت زمانی</t>
        </is>
      </c>
    </row>
    <row r="5">
      <c r="A5" s="71" t="inlineStr">
        <is>
          <t>حد دشارژ</t>
        </is>
      </c>
      <c r="B5" s="71" t="inlineStr">
        <is>
          <t>۵۰۰mV (پیش‌فرض)</t>
        </is>
      </c>
      <c r="C5" s="71" t="inlineStr">
        <is>
          <t>اعمال بلافاصله روی باتری</t>
        </is>
      </c>
      <c r="D5" s="71" t="inlineStr">
        <is>
          <t>IMBAL_PARAM_DISCHARGE_LIMIT_MV (۱۰۹)</t>
        </is>
      </c>
      <c r="E5" s="71" t="inlineStr">
        <is>
          <t>بدون گیت زمانی</t>
        </is>
      </c>
    </row>
    <row r="6">
      <c r="A6" s="71" t="inlineStr">
        <is>
          <t>گیت پس از شارژ</t>
        </is>
      </c>
      <c r="B6" s="71" t="inlineStr">
        <is>
          <t>۱۰ دقیقه</t>
        </is>
      </c>
      <c r="C6" s="71" t="inlineStr">
        <is>
          <t>پیش از آن بدون قضاوت</t>
        </is>
      </c>
      <c r="D6" s="71" t="inlineStr">
        <is>
          <t>IMBAL_PARAM_POST_CHARGE_WAIT_MS (۱۱۰)</t>
        </is>
      </c>
      <c r="E6" s="71" t="inlineStr">
        <is>
          <t>لنگر بوت اگر شارژی تمام نشده</t>
        </is>
      </c>
    </row>
    <row r="7">
      <c r="A7" s="71" t="inlineStr">
        <is>
          <t>گیت حین شارژ</t>
        </is>
      </c>
      <c r="B7" s="71" t="inlineStr">
        <is>
          <t>۱۰ دقیقه</t>
        </is>
      </c>
      <c r="C7" s="71" t="inlineStr">
        <is>
          <t>صفر یعنی خاموش</t>
        </is>
      </c>
      <c r="D7" s="71" t="inlineStr">
        <is>
          <t>IMBAL_PARAM_IN_CHARGE_WAIT_MS (۱۱۱)</t>
        </is>
      </c>
      <c r="E7" s="71" t="inlineStr">
        <is>
          <t>با همان حد استراحت</t>
        </is>
      </c>
    </row>
    <row r="8">
      <c r="A8" s="71" t="inlineStr">
        <is>
          <t>پایداری</t>
        </is>
      </c>
      <c r="B8" s="71" t="inlineStr">
        <is>
          <t>۳۰ ثانیه پیوسته</t>
        </is>
      </c>
      <c r="C8" s="71" t="inlineStr">
        <is>
          <t>یک رویداد</t>
        </is>
      </c>
      <c r="D8" s="71" t="inlineStr">
        <is>
          <t>IMBAL_PARAM_STABILITY_MS (۱۱۲)</t>
        </is>
      </c>
      <c r="E8" s="71" t="inlineStr">
        <is>
          <t>هر اپیزود یک‌بار</t>
        </is>
      </c>
    </row>
    <row r="9">
      <c r="A9" s="71" t="inlineStr">
        <is>
          <t>هیسترزیس</t>
        </is>
      </c>
      <c r="B9" s="71" t="inlineStr">
        <is>
          <t>۱۰۰mV</t>
        </is>
      </c>
      <c r="C9" s="71" t="inlineStr">
        <is>
          <t>پایان اپیزود</t>
        </is>
      </c>
      <c r="D9" s="71" t="inlineStr">
        <is>
          <t>IMBAL_PARAM_HYSTERESIS_MV (۱۱۳)</t>
        </is>
      </c>
      <c r="E9" s="71" t="inlineStr">
        <is>
          <t>ضد نوسان</t>
        </is>
      </c>
    </row>
    <row r="10">
      <c r="A10" s="71" t="inlineStr">
        <is>
          <t>آستانهٔ قفل</t>
        </is>
      </c>
      <c r="B10" s="71" t="inlineStr">
        <is>
          <t>۱۰ رویداد</t>
        </is>
      </c>
      <c r="C10" s="71" t="inlineStr">
        <is>
          <t>قرمز چشمک‌زن + بوق + وتو</t>
        </is>
      </c>
      <c r="D10" s="71" t="inlineStr">
        <is>
          <t>IMBAL_PARAM_MAX_EVENTS (۱۱۴)</t>
        </is>
      </c>
      <c r="E10" s="71" t="inlineStr">
        <is>
          <t>شمارش ماندگار</t>
        </is>
      </c>
    </row>
    <row r="11">
      <c r="A11" s="71" t="inlineStr">
        <is>
          <t>بودجهٔ سیکل</t>
        </is>
      </c>
      <c r="B11" s="71" t="inlineStr">
        <is>
          <t>۲۰ سیکل در قفل</t>
        </is>
      </c>
      <c r="C11" s="71" t="inlineStr">
        <is>
          <t>مسدودی شارژ همان پک</t>
        </is>
      </c>
      <c r="D11" s="71" t="inlineStr">
        <is>
          <t>IMBAL_PARAM_MAX_LATCHED_CYCLES (۱۱۸)</t>
        </is>
      </c>
      <c r="E11" s="71" t="inlineStr">
        <is>
          <t>شارژ در قفل آزاد است</t>
        </is>
      </c>
    </row>
    <row r="12">
      <c r="A12" s="71" t="inlineStr">
        <is>
          <t>ریست تعویض</t>
        </is>
      </c>
      <c r="B12" s="71" t="inlineStr">
        <is>
          <t>نبود باتری ۳ ثانیه</t>
        </is>
      </c>
      <c r="C12" s="71" t="inlineStr">
        <is>
          <t>ریست شمارنده‌ها و قفل</t>
        </is>
      </c>
      <c r="D12" s="71" t="inlineStr">
        <is>
          <t>IMBAL_ABSENT_RESET_MS</t>
        </is>
      </c>
      <c r="E12" s="71" t="inlineStr">
        <is>
          <t>تعویض واقعی باتری</t>
        </is>
      </c>
    </row>
    <row r="13">
      <c r="A13" s="71" t="inlineStr">
        <is>
          <t>اسلات‌های ماندگار</t>
        </is>
      </c>
      <c r="B13" s="71" t="inlineStr">
        <is>
          <t>۲۰۰ رویداد، ۲۰۱ سیکل، ۲۰۲ قفل</t>
        </is>
      </c>
      <c r="C13" s="71" t="inlineStr">
        <is>
          <t>بقا پس از قطع برق</t>
        </is>
      </c>
      <c r="D13" s="71" t="inlineStr">
        <is>
          <t>IMBAL_SLOT_*_ID</t>
        </is>
      </c>
      <c r="E13" s="71" t="inlineStr">
        <is>
          <t>فقط پخش NVM</t>
        </is>
      </c>
    </row>
  </sheetData>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M4"/>
  <sheetViews>
    <sheetView rightToLeft="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83" t="inlineStr">
        <is>
          <t>ثبت ایرادهای مشاهده‌شده — ماژول Imbalance</t>
        </is>
      </c>
      <c r="B1" s="53" t="n"/>
      <c r="C1" s="53" t="n"/>
      <c r="D1" s="53" t="n"/>
      <c r="E1" s="53" t="n"/>
      <c r="F1" s="53" t="n"/>
      <c r="G1" s="53" t="n"/>
      <c r="H1" s="53" t="n"/>
      <c r="I1" s="53" t="n"/>
      <c r="J1" s="53" t="n"/>
      <c r="K1" s="53" t="n"/>
      <c r="L1" s="53" t="n"/>
      <c r="M1" s="53" t="n"/>
    </row>
    <row r="2" ht="30" customHeight="1">
      <c r="A2" s="80" t="inlineStr">
        <is>
          <t>برای هر وضعیت «رد» یا تفاوت مهم، یک ردیف با شناسهٔ یکتا ثبت و پس از اصلاح دوباره تست شود.</t>
        </is>
      </c>
      <c r="B2" s="80" t="n"/>
      <c r="C2" s="80" t="n"/>
      <c r="D2" s="80" t="n"/>
      <c r="E2" s="80" t="n"/>
      <c r="F2" s="80" t="n"/>
      <c r="G2" s="80" t="n"/>
      <c r="H2" s="80" t="n"/>
      <c r="I2" s="80" t="n"/>
      <c r="J2" s="80" t="n"/>
      <c r="K2" s="80" t="n"/>
      <c r="L2" s="80" t="n"/>
      <c r="M2" s="80" t="n"/>
    </row>
    <row r="3">
      <c r="A3" s="70" t="inlineStr">
        <is>
          <t>شماره ایراد</t>
        </is>
      </c>
      <c r="B3" s="70" t="inlineStr">
        <is>
          <t>شناسه تست</t>
        </is>
      </c>
      <c r="C3" s="70" t="inlineStr">
        <is>
          <t>تاریخ کشف</t>
        </is>
      </c>
      <c r="D3" s="70" t="inlineStr">
        <is>
          <t>شدت</t>
        </is>
      </c>
      <c r="E3" s="70" t="inlineStr">
        <is>
          <t>شرح کوتاه ایراد</t>
        </is>
      </c>
      <c r="F3" s="70" t="inlineStr">
        <is>
          <t>مراحل بازتولید</t>
        </is>
      </c>
      <c r="G3" s="70" t="inlineStr">
        <is>
          <t>انتظار</t>
        </is>
      </c>
      <c r="H3" s="70" t="inlineStr">
        <is>
          <t>واقعیت</t>
        </is>
      </c>
      <c r="I3" s="70" t="inlineStr">
        <is>
          <t>مدرک/مسیر عکس یا scope</t>
        </is>
      </c>
      <c r="J3" s="70" t="inlineStr">
        <is>
          <t>نسخهٔ برنامه</t>
        </is>
      </c>
      <c r="K3" s="70" t="inlineStr">
        <is>
          <t>محل احتمالی</t>
        </is>
      </c>
      <c r="L3" s="70" t="inlineStr">
        <is>
          <t>وضعیت ایراد</t>
        </is>
      </c>
      <c r="M3" s="70" t="inlineStr">
        <is>
          <t>تأیید رفع / توضیحات</t>
        </is>
      </c>
    </row>
    <row r="4">
      <c r="A4" s="73" t="inlineStr">
        <is>
          <t>DEF-IM-001</t>
        </is>
      </c>
      <c r="B4" s="73" t="inlineStr">
        <is>
          <t>IM-016</t>
        </is>
      </c>
      <c r="C4" s="70" t="inlineStr">
        <is>
          <t>2026-10-06</t>
        </is>
      </c>
      <c r="D4" s="70" t="inlineStr">
        <is>
          <t>بالا</t>
        </is>
      </c>
      <c r="E4" s="70" t="inlineStr">
        <is>
          <t>تنظیم‌های ذخیره‌شدهٔ سناریو ۵ با هر بار روشن‌شدن به پیش‌فرض کامپایل برمی‌گشت</t>
        </is>
      </c>
      <c r="F4" s="70" t="inlineStr">
        <is>
          <t>یک پارامتر ۱۰۸..۱۱۸ را از پنل تغییر و ذخیره کن؛ تغذیه را قطع و وصل کن؛ همان پارامتر را بخوان</t>
        </is>
      </c>
      <c r="G4" s="70" t="inlineStr">
        <is>
          <t>مقدار ذخیره‌شده باقی بماند</t>
        </is>
      </c>
      <c r="H4" s="70" t="inlineStr">
        <is>
          <t>مقدار پیش‌فرض کامپایل خوانده می‌شد</t>
        </is>
      </c>
      <c r="I4" s="73" t="inlineStr">
        <is>
          <t>تست هاست host_test_imbalance.c (بلوک رگرسیون v1.81)</t>
        </is>
      </c>
      <c r="J4" s="70" t="inlineStr">
        <is>
          <t>ممیزی ۲۰۲۶-۱۰-۰۶</t>
        </is>
      </c>
      <c r="K4" s="73" t="inlineStr">
        <is>
          <t>func__Imbalance_Init() در imbalance.c کل جدول پارامتر را بی‌قید به پیش‌فرض برمی‌گرداند، در حالی که بازپخش NVM پیش از آن اجرا می‌شود</t>
        </is>
      </c>
      <c r="L4" s="70" t="inlineStr">
        <is>
          <t>اصلاح شد</t>
        </is>
      </c>
      <c r="M4" s="70" t="inlineStr">
        <is>
          <t>با func__Imbalance_SeedDefaultsOnce() پیش‌فرض‌ها فقط یک‌بار نوشته می‌شوند؛ تست هاست با ۵۰۴۱ بررسی و ۰ خطا قبول شد — تأیید نهایی منوط به تست روی برد</t>
        </is>
      </c>
    </row>
  </sheetData>
  <hyperlinks>
    <hyperlink ref="A4" location="'برنامه تست'!A5"/>
    <hyperlink ref="B4" location="'برنامه تست'!A17"/>
    <hyperlink xmlns:r="http://schemas.openxmlformats.org/officeDocument/2006/relationships" ref="I4" r:id="rId1"/>
    <hyperlink xmlns:r="http://schemas.openxmlformats.org/officeDocument/2006/relationships" ref="K4" r:id="rId2"/>
  </hyperlinks>
  <pageMargins left="0.75" right="0.75" top="1" bottom="1" header="0.5" footer="0.5"/>
</worksheet>
</file>

<file path=xl/worksheets/sheet7.xml><?xml version="1.0" encoding="utf-8"?>
<worksheet xmlns="http://schemas.openxmlformats.org/spreadsheetml/2006/main">
  <sheetPr>
    <tabColor rgb="00548235"/>
    <outlinePr summaryBelow="1" summaryRight="1"/>
    <pageSetUpPr/>
  </sheetPr>
  <dimension ref="A1:C19"/>
  <sheetViews>
    <sheetView rightToLeft="1" workbookViewId="0">
      <selection activeCell="A1" sqref="A1"/>
    </sheetView>
  </sheetViews>
  <sheetFormatPr baseColWidth="8" defaultRowHeight="15"/>
  <cols>
    <col width="20" customWidth="1" min="1" max="1"/>
    <col width="26" customWidth="1" min="2" max="2"/>
    <col width="30" customWidth="1" min="3" max="3"/>
  </cols>
  <sheetData>
    <row r="1">
      <c r="A1" s="79" t="inlineStr">
        <is>
          <t>تأیید نهایی اعتبارسنجی — ماژول Imbalance</t>
        </is>
      </c>
      <c r="B1" s="53" t="n"/>
      <c r="C1" s="53" t="n"/>
    </row>
    <row r="2">
      <c r="A2" s="50" t="inlineStr">
        <is>
          <t>این صفحه فقط پس از تکمیل تست‌ها و بسته‌شدن ایرادها پر می‌شود.</t>
        </is>
      </c>
      <c r="B2" s="53" t="n"/>
      <c r="C2" s="53" t="n"/>
    </row>
    <row r="3">
      <c r="A3" s="74" t="inlineStr">
        <is>
          <t>مشخصات تست</t>
        </is>
      </c>
      <c r="B3" s="53" t="n"/>
      <c r="C3" s="53" t="n"/>
    </row>
    <row r="4">
      <c r="A4" s="50" t="inlineStr">
        <is>
          <t>پروژه</t>
        </is>
      </c>
      <c r="B4" s="50" t="inlineStr">
        <is>
          <t>ChangeOver</t>
        </is>
      </c>
      <c r="C4" s="53" t="n"/>
    </row>
    <row r="5">
      <c r="A5" s="50" t="inlineStr">
        <is>
          <t>ماژول</t>
        </is>
      </c>
      <c r="B5" s="50" t="inlineStr">
        <is>
          <t>Imbalance — سناریوی ۵ عدم‌توازن دو نیم‌باتری</t>
        </is>
      </c>
      <c r="C5" s="53" t="n"/>
    </row>
    <row r="6">
      <c r="A6" s="50" t="inlineStr">
        <is>
          <t>تاریخ ساخت فرم</t>
        </is>
      </c>
      <c r="B6" s="50" t="inlineStr">
        <is>
          <t>2026-10-05 (1.0 — ساخته‌شده در ممیزی کل برنامه)</t>
        </is>
      </c>
      <c r="C6" s="53" t="n"/>
    </row>
    <row r="7">
      <c r="A7" s="50" t="inlineStr">
        <is>
          <t>نسخه فرم</t>
        </is>
      </c>
      <c r="B7" s="50" t="inlineStr">
        <is>
          <t>1.0</t>
        </is>
      </c>
      <c r="C7" s="53" t="n"/>
    </row>
    <row r="8">
      <c r="A8" s="50" t="inlineStr">
        <is>
          <t>نسخهٔ برنامه</t>
        </is>
      </c>
      <c r="B8" s="50" t="inlineStr">
        <is>
          <t>(بعد از تست پر شود)</t>
        </is>
      </c>
      <c r="C8" s="53" t="n"/>
    </row>
    <row r="9">
      <c r="A9" s="50" t="inlineStr">
        <is>
          <t>ابزار</t>
        </is>
      </c>
      <c r="B9" s="50" t="inlineStr">
        <is>
          <t>پنل ESP + مولتی‌متر + بار نامتقارن قابل تنظیم + کرنومتر</t>
        </is>
      </c>
      <c r="C9" s="53" t="n"/>
    </row>
    <row r="10">
      <c r="A10" s="53" t="n"/>
      <c r="B10" s="53" t="n"/>
      <c r="C10" s="53" t="n"/>
    </row>
    <row r="11">
      <c r="A11" s="74" t="inlineStr">
        <is>
          <t>خلاصهٔ خودکار وضعیت تست‌ها</t>
        </is>
      </c>
      <c r="B11" s="53" t="n"/>
      <c r="C11" s="53" t="n"/>
    </row>
    <row r="12">
      <c r="A12" s="74" t="inlineStr">
        <is>
          <t>شاخص</t>
        </is>
      </c>
      <c r="B12" s="74" t="inlineStr">
        <is>
          <t>مقدار</t>
        </is>
      </c>
      <c r="C12" s="74" t="inlineStr">
        <is>
          <t>توضیح</t>
        </is>
      </c>
    </row>
    <row r="13">
      <c r="A13" s="50" t="inlineStr">
        <is>
          <t>کل تست‌ها</t>
        </is>
      </c>
      <c r="B13" s="50" t="n">
        <v>15</v>
      </c>
      <c r="C13" s="50" t="inlineStr">
        <is>
          <t>همهٔ ردیف‌های برنامه تست</t>
        </is>
      </c>
    </row>
    <row r="14">
      <c r="A14" s="50" t="inlineStr">
        <is>
          <t>قبول</t>
        </is>
      </c>
      <c r="B14" s="50">
        <f>COUNTIF('برنامه تست'!L:L,"قبول")</f>
        <v/>
      </c>
      <c r="C14" s="50" t="inlineStr">
        <is>
          <t>COUNTIF برنامه تست</t>
        </is>
      </c>
    </row>
    <row r="15">
      <c r="A15" s="50" t="inlineStr">
        <is>
          <t>رد</t>
        </is>
      </c>
      <c r="B15" s="50">
        <f>COUNTIF('برنامه تست'!L:L,"رد")</f>
        <v/>
      </c>
      <c r="C15" s="50" t="inlineStr">
        <is>
          <t>COUNTIF رد</t>
        </is>
      </c>
    </row>
    <row r="16">
      <c r="A16" s="50" t="inlineStr">
        <is>
          <t>در انتظار</t>
        </is>
      </c>
      <c r="B16" s="50">
        <f>COUNTIF('برنامه تست'!L:L,"در انتظار")</f>
        <v/>
      </c>
      <c r="C16" s="50" t="inlineStr">
        <is>
          <t>پیش از تست برد</t>
        </is>
      </c>
    </row>
    <row r="17">
      <c r="A17" s="50" t="inlineStr">
        <is>
          <t>نرخ قبولی</t>
        </is>
      </c>
      <c r="B17" s="50">
        <f>IF(15=0,0,COUNTIF('برنامه تست'!L:L,"قبول")/15)</f>
        <v/>
      </c>
      <c r="C17" s="50" t="inlineStr">
        <is>
          <t>قبول/کل</t>
        </is>
      </c>
    </row>
    <row r="18">
      <c r="A18" s="53" t="n"/>
      <c r="B18" s="53" t="n"/>
      <c r="C18" s="53" t="n"/>
    </row>
    <row r="19">
      <c r="A19" s="50" t="inlineStr">
        <is>
          <t>امضا و تأیید: تست‌کننده ______  بازبین ______  تاریخ ______</t>
        </is>
      </c>
      <c r="B19" s="53" t="n"/>
      <c r="C19" s="53" t="n"/>
    </row>
  </sheetData>
  <pageMargins left="0.75" right="0.75" top="1" bottom="1" header="0.5" footer="0.5"/>
</worksheet>
</file>

<file path=xl/worksheets/sheet8.xml><?xml version="1.0" encoding="utf-8"?>
<worksheet xmlns="http://schemas.openxmlformats.org/spreadsheetml/2006/main">
  <sheetPr>
    <tabColor rgb="00A6A6A6"/>
    <outlinePr summaryBelow="1" summaryRight="1"/>
    <pageSetUpPr/>
  </sheetPr>
  <dimension ref="A1:B11"/>
  <sheetViews>
    <sheetView rightToLeft="1" workbookViewId="0">
      <selection activeCell="A1" sqref="A1"/>
    </sheetView>
  </sheetViews>
  <sheetFormatPr baseColWidth="8" defaultRowHeight="15"/>
  <cols>
    <col width="16" customWidth="1" min="1" max="1"/>
    <col width="16" customWidth="1" min="2" max="2"/>
  </cols>
  <sheetData>
    <row r="1">
      <c r="A1" s="75" t="inlineStr">
        <is>
          <t>وضعیت</t>
        </is>
      </c>
      <c r="B1" s="53" t="n"/>
    </row>
    <row r="2">
      <c r="A2" s="54" t="inlineStr">
        <is>
          <t>در انتظار</t>
        </is>
      </c>
      <c r="B2" s="53" t="n"/>
    </row>
    <row r="3">
      <c r="A3" s="54" t="inlineStr">
        <is>
          <t>انجام شد</t>
        </is>
      </c>
      <c r="B3" s="53" t="n"/>
    </row>
    <row r="4">
      <c r="A4" s="54" t="inlineStr">
        <is>
          <t>قبول</t>
        </is>
      </c>
      <c r="B4" s="53" t="n"/>
    </row>
    <row r="5">
      <c r="A5" s="54" t="inlineStr">
        <is>
          <t>رد</t>
        </is>
      </c>
      <c r="B5" s="53" t="n"/>
    </row>
    <row r="6">
      <c r="A6" s="54" t="inlineStr">
        <is>
          <t>مسدود</t>
        </is>
      </c>
      <c r="B6" s="53" t="n"/>
    </row>
    <row r="7">
      <c r="A7" s="53" t="inlineStr">
        <is>
          <t>نیاز به تکرار</t>
        </is>
      </c>
      <c r="B7" s="53" t="n"/>
    </row>
    <row r="8">
      <c r="A8" s="75" t="inlineStr">
        <is>
          <t>اولویت</t>
        </is>
      </c>
      <c r="B8" s="53" t="n"/>
    </row>
    <row r="9">
      <c r="A9" s="53" t="n"/>
      <c r="B9" s="54" t="inlineStr">
        <is>
          <t>بالا</t>
        </is>
      </c>
    </row>
    <row r="10">
      <c r="A10" s="53" t="n"/>
      <c r="B10" s="54" t="inlineStr">
        <is>
          <t>متوسط</t>
        </is>
      </c>
    </row>
    <row r="11">
      <c r="A11" s="53" t="n"/>
      <c r="B11" s="54" t="inlineStr">
        <is>
          <t>پایین</t>
        </is>
      </c>
    </row>
  </sheetData>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C7"/>
  <sheetViews>
    <sheetView rightToLeft="1" workbookViewId="0">
      <selection activeCell="A1" sqref="A1"/>
    </sheetView>
  </sheetViews>
  <sheetFormatPr baseColWidth="8" defaultRowHeight="15"/>
  <cols>
    <col width="34" customWidth="1" min="1" max="1"/>
    <col width="78" customWidth="1" min="2" max="2"/>
  </cols>
  <sheetData>
    <row r="1" ht="30" customHeight="1">
      <c r="A1" s="10" t="inlineStr">
        <is>
          <t>ماشین حالت ماژول عدم‌توازن (سناریوی ۵)</t>
        </is>
      </c>
    </row>
    <row r="2"/>
    <row r="3" ht="24" customHeight="1">
      <c r="A3" s="11" t="inlineStr">
        <is>
          <t>حالت‌ها و گذارهای همین ماژول</t>
        </is>
      </c>
      <c r="B3" s="12" t="inlineStr">
        <is>
          <t>Imbalance_State_Machine.xlsx</t>
        </is>
      </c>
    </row>
    <row r="4" ht="24" customHeight="1">
      <c r="A4" s="11" t="inlineStr">
        <is>
          <t>ماشین حالت کل برنامه (نمای سیستمی)</t>
        </is>
      </c>
      <c r="B4" s="12" t="inlineStr">
        <is>
          <t>../../../Documentation/System_State_Machine.xlsx</t>
        </is>
      </c>
    </row>
    <row r="5" ht="24" customHeight="1">
      <c r="A5" s="11" t="inlineStr">
        <is>
          <t>راهنمای رنگ‌ها</t>
        </is>
      </c>
      <c r="B5" s="13" t="inlineStr">
        <is>
          <t>سبز = عادی/سالم · زرد = هشدار یا انتظار · قرمز = خطا یا قفل · نارنجی = در حال کار · خاکستری = بی‌کار · آبی = اطلاعاتی</t>
        </is>
      </c>
    </row>
    <row r="6" ht="24" customHeight="1">
      <c r="A6" s="11" t="inlineStr">
        <is>
          <t>بازتولید</t>
        </is>
      </c>
      <c r="B6" s="13" t="inlineStr">
        <is>
          <t>python3 tools/make_module_state_machines.py</t>
        </is>
      </c>
    </row>
    <row r="7"/>
  </sheetData>
  <mergeCells count="1">
    <mergeCell ref="A1:C1"/>
  </mergeCells>
  <hyperlinks>
    <hyperlink xmlns:r="http://schemas.openxmlformats.org/officeDocument/2006/relationships" ref="B3" r:id="rId1"/>
    <hyperlink xmlns:r="http://schemas.openxmlformats.org/officeDocument/2006/relationships" ref="B4"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2026-10-05T18:18:55Z</dcterms:created>
  <dcterms:modified xsi:type="dcterms:W3CDTF">2026-10-17T12:51:07Z</dcterms:modified>
</cp:coreProperties>
</file>