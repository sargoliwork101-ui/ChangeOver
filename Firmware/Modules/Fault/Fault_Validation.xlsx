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برنامه‌نویسی" sheetId="3" state="visible" r:id="rId3"/>
    <sheet name="مراجع سناریو" sheetId="4" state="visible" r:id="rId4"/>
    <sheet name="ثبت ایراد" sheetId="5" state="visible" r:id="rId5"/>
    <sheet name="تأیید نهایی" sheetId="6" state="visible" r:id="rId6"/>
    <sheet name="فهرست‌ها" sheetId="7" state="visible" r:id="rId7"/>
    <sheet name="ماشین حالت" sheetId="8" state="visible" r:id="rId8"/>
    <sheet name="تست‌های آزمایشگاهی" sheetId="9" state="visible" r:id="rId9"/>
  </sheets>
  <definedNames>
    <definedName name="_xlnm._FilterDatabase" localSheetId="1" hidden="1">'برنامه تست'!$A$4:$Q$54</definedName>
    <definedName name="_xlnm.Print_Titles" localSheetId="1">'برنامه تست'!$4:$4</definedName>
    <definedName name="_xlnm._FilterDatabase" localSheetId="2" hidden="1">'تست‌های برنامه‌نویسی'!$A$4:$Q$5</definedName>
    <definedName name="_xlnm.Print_Titles" localSheetId="2">'تست‌های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29">
    <font>
      <name val="Calibri"/>
      <family val="2"/>
      <color theme="1"/>
      <sz val="11"/>
      <scheme val="minor"/>
    </font>
    <font>
      <name val="Calibri"/>
      <b val="1"/>
      <sz val="10"/>
    </font>
    <font>
      <name val="Calibri"/>
      <sz val="8"/>
    </font>
    <font>
      <name val="Calibri"/>
      <b val="1"/>
      <sz val="8"/>
    </font>
    <font>
      <name val="Vazirmatn"/>
      <b val="1"/>
      <color rgb="00FFFFFF"/>
      <sz val="14"/>
    </font>
    <font>
      <name val="Vazirmatn"/>
      <b val="1"/>
      <sz val="10"/>
    </font>
    <font>
      <name val="Vazirmatn"/>
      <color rgb="000563C1"/>
      <sz val="10"/>
      <u val="single"/>
    </font>
    <font>
      <name val="Vazirmatn"/>
      <sz val="10"/>
    </font>
    <font>
      <name val="Tahoma"/>
      <b val="1"/>
      <sz val="10"/>
    </font>
    <font>
      <name val="Tahoma"/>
      <sz val="8"/>
    </font>
    <font>
      <name val="Tahoma"/>
      <b val="1"/>
      <sz val="8"/>
    </font>
    <font>
      <name val="Tahoma"/>
      <color theme="1"/>
      <sz val="11"/>
    </font>
    <font>
      <name val="Tahoma"/>
      <b val="1"/>
      <color rgb="00FFFFFF"/>
      <sz val="14"/>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8"/>
      <u val="single"/>
    </font>
    <font>
      <name val="Tahoma"/>
      <b val="1"/>
      <color rgb="000563C1"/>
      <sz val="10"/>
      <u val="single"/>
    </font>
    <font>
      <name val="Vazirmatn"/>
      <sz val="8"/>
    </font>
    <font>
      <name val="Vazirmatn"/>
      <b val="1"/>
      <color rgb="00FFFFFF"/>
      <sz val="11"/>
    </font>
    <font>
      <name val="Vazirmatn"/>
      <b val="1"/>
      <color rgb="001F3864"/>
      <sz val="13"/>
    </font>
    <font>
      <name val="Vazirmatn"/>
      <family val="2"/>
      <color theme="1"/>
      <sz val="11"/>
      <scheme val="minor"/>
    </font>
    <font>
      <name val="Vazirmatn"/>
      <b val="1"/>
      <color rgb="00C00000"/>
      <sz val="10"/>
    </font>
    <font>
      <name val="Vazirmatn"/>
      <b val="1"/>
      <sz val="8"/>
    </font>
    <font>
      <name val="Vazirmatn"/>
      <color rgb="000563C1"/>
      <sz val="8"/>
      <u val="single"/>
    </font>
    <font>
      <name val="Vazirmatn"/>
      <color theme="1"/>
      <sz val="11"/>
    </font>
    <font>
      <name val="Vazirmatn"/>
      <sz val="11"/>
    </font>
  </fonts>
  <fills count="9">
    <fill>
      <patternFill/>
    </fill>
    <fill>
      <patternFill patternType="gray125"/>
    </fill>
    <fill>
      <patternFill patternType="solid">
        <fgColor rgb="00DDEBF7"/>
      </patternFill>
    </fill>
    <fill>
      <patternFill patternType="solid">
        <fgColor rgb="00FFEB9C"/>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s>
  <borders count="8">
    <border>
      <left/>
      <right/>
      <top/>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borders>
  <cellStyleXfs count="1">
    <xf numFmtId="0" fontId="0" fillId="0" borderId="0"/>
  </cellStyleXfs>
  <cellXfs count="79">
    <xf numFmtId="0" fontId="0" fillId="0" borderId="0" pivotButton="0" quotePrefix="0" xfId="0"/>
    <xf numFmtId="0" fontId="1" fillId="0" borderId="0" applyAlignment="1" pivotButton="0" quotePrefix="0" xfId="0">
      <alignment horizontal="right" vertical="center" wrapText="1"/>
    </xf>
    <xf numFmtId="0" fontId="2" fillId="0" borderId="0" applyAlignment="1" pivotButton="0" quotePrefix="0" xfId="0">
      <alignment horizontal="right" vertical="center" wrapText="1"/>
    </xf>
    <xf numFmtId="0" fontId="3"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1" fillId="0" borderId="0" pivotButton="0" quotePrefix="0" xfId="0"/>
    <xf numFmtId="0" fontId="2" fillId="0" borderId="0" pivotButton="0" quotePrefix="0" xfId="0"/>
    <xf numFmtId="0" fontId="1" fillId="3" borderId="0" pivotButton="0" quotePrefix="0" xfId="0"/>
    <xf numFmtId="0" fontId="4" fillId="4" borderId="0" applyAlignment="1" pivotButton="0" quotePrefix="0" xfId="0">
      <alignment horizontal="center" vertical="center"/>
    </xf>
    <xf numFmtId="0" fontId="5" fillId="0" borderId="1" applyAlignment="1" pivotButton="0" quotePrefix="0" xfId="0">
      <alignment horizontal="right" vertical="center" wrapText="1"/>
    </xf>
    <xf numFmtId="0" fontId="6" fillId="0" borderId="1" applyAlignment="1" pivotButton="0" quotePrefix="0" xfId="0">
      <alignment horizontal="right" vertical="center" wrapText="1"/>
    </xf>
    <xf numFmtId="0" fontId="7" fillId="0" borderId="1" applyAlignment="1" pivotButton="0" quotePrefix="0" xfId="0">
      <alignment horizontal="right" vertical="center" wrapText="1"/>
    </xf>
    <xf numFmtId="0" fontId="8" fillId="0" borderId="0" applyAlignment="1" pivotButton="0" quotePrefix="0" xfId="0">
      <alignment horizontal="right" vertical="center" wrapText="1"/>
    </xf>
    <xf numFmtId="0" fontId="9" fillId="0" borderId="0" applyAlignment="1" pivotButton="0" quotePrefix="0" xfId="0">
      <alignment horizontal="right" vertical="center" wrapText="1"/>
    </xf>
    <xf numFmtId="0" fontId="15" fillId="4" borderId="2" applyAlignment="1" pivotButton="0" quotePrefix="0" xfId="0">
      <alignment horizontal="center" vertical="center" wrapText="1"/>
    </xf>
    <xf numFmtId="0" fontId="16" fillId="0" borderId="0" applyAlignment="1" pivotButton="0" quotePrefix="0" xfId="0">
      <alignment horizontal="right" vertical="center" wrapText="1"/>
    </xf>
    <xf numFmtId="0" fontId="8" fillId="5" borderId="2" applyAlignment="1" pivotButton="0" quotePrefix="0" xfId="0">
      <alignment horizontal="center" vertical="center"/>
    </xf>
    <xf numFmtId="0" fontId="14" fillId="0" borderId="2" applyAlignment="1" pivotButton="0" quotePrefix="0" xfId="0">
      <alignment horizontal="right" vertical="center" wrapText="1"/>
    </xf>
    <xf numFmtId="0" fontId="17"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8" fillId="6" borderId="2" applyAlignment="1" pivotButton="0" quotePrefix="0" xfId="0">
      <alignment horizontal="center" vertical="center" wrapText="1"/>
    </xf>
    <xf numFmtId="164" fontId="14" fillId="0" borderId="2" applyAlignment="1" pivotButton="0" quotePrefix="0" xfId="0">
      <alignment horizontal="center" vertical="center" wrapText="1"/>
    </xf>
    <xf numFmtId="0" fontId="14" fillId="7" borderId="2" applyAlignment="1" pivotButton="0" quotePrefix="0" xfId="0">
      <alignment horizontal="right" vertical="center" wrapText="1"/>
    </xf>
    <xf numFmtId="0" fontId="17" fillId="7" borderId="2" applyAlignment="1" pivotButton="0" quotePrefix="0" xfId="0">
      <alignment horizontal="center" vertical="center" wrapText="1"/>
    </xf>
    <xf numFmtId="0" fontId="14" fillId="7" borderId="2" applyAlignment="1" pivotButton="0" quotePrefix="0" xfId="0">
      <alignment horizontal="center" vertical="center" wrapText="1"/>
    </xf>
    <xf numFmtId="164" fontId="14" fillId="7" borderId="2" applyAlignment="1" pivotButton="0" quotePrefix="0" xfId="0">
      <alignment horizontal="center" vertical="center" wrapText="1"/>
    </xf>
    <xf numFmtId="0" fontId="13" fillId="0" borderId="2" applyAlignment="1" pivotButton="0" quotePrefix="0" xfId="0">
      <alignment horizontal="right" vertical="center" wrapText="1"/>
    </xf>
    <xf numFmtId="0" fontId="13" fillId="7" borderId="2" applyAlignment="1" pivotButton="0" quotePrefix="0" xfId="0">
      <alignment horizontal="right" vertical="center" wrapText="1"/>
    </xf>
    <xf numFmtId="0" fontId="8" fillId="8" borderId="2" applyAlignment="1" pivotButton="0" quotePrefix="0" xfId="0">
      <alignment horizontal="center" vertical="center" wrapText="1"/>
    </xf>
    <xf numFmtId="164" fontId="0" fillId="0" borderId="0" pivotButton="0" quotePrefix="0" xfId="0"/>
    <xf numFmtId="0" fontId="10" fillId="2" borderId="0" applyAlignment="1" pivotButton="0" quotePrefix="0" xfId="0">
      <alignment horizontal="center" vertical="center" wrapText="1"/>
    </xf>
    <xf numFmtId="0" fontId="9" fillId="0" borderId="0" applyAlignment="1" pivotButton="0" quotePrefix="0" xfId="0">
      <alignment horizontal="center" vertical="center" wrapText="1"/>
    </xf>
    <xf numFmtId="0" fontId="8" fillId="0" borderId="0" pivotButton="0" quotePrefix="0" xfId="0"/>
    <xf numFmtId="0" fontId="9" fillId="0" borderId="0" pivotButton="0" quotePrefix="0" xfId="0"/>
    <xf numFmtId="0" fontId="8" fillId="3" borderId="0" pivotButton="0" quotePrefix="0" xfId="0"/>
    <xf numFmtId="0" fontId="11" fillId="0" borderId="0" pivotButton="0" quotePrefix="0" xfId="0"/>
    <xf numFmtId="0" fontId="12" fillId="4" borderId="0" applyAlignment="1" pivotButton="0" quotePrefix="0" xfId="0">
      <alignment horizontal="center" vertical="center"/>
    </xf>
    <xf numFmtId="0" fontId="8" fillId="0" borderId="1" applyAlignment="1" pivotButton="0" quotePrefix="0" xfId="0">
      <alignment horizontal="right" vertical="center" wrapText="1"/>
    </xf>
    <xf numFmtId="0" fontId="13" fillId="0" borderId="1" applyAlignment="1" pivotButton="0" quotePrefix="0" xfId="0">
      <alignment horizontal="right" vertical="center" wrapText="1"/>
    </xf>
    <xf numFmtId="0" fontId="14" fillId="0" borderId="1" applyAlignment="1" pivotButton="0" quotePrefix="0" xfId="0">
      <alignment horizontal="right" vertical="center" wrapText="1"/>
    </xf>
    <xf numFmtId="0" fontId="0" fillId="0" borderId="5" pivotButton="0" quotePrefix="0" xfId="0"/>
    <xf numFmtId="0" fontId="0" fillId="0" borderId="6" pivotButton="0" quotePrefix="0" xfId="0"/>
    <xf numFmtId="0" fontId="18" fillId="0" borderId="0" applyAlignment="1" pivotButton="0" quotePrefix="0" xfId="0">
      <alignment horizontal="center" vertical="center" wrapText="1"/>
    </xf>
    <xf numFmtId="0" fontId="16" fillId="0" borderId="0" pivotButton="0" quotePrefix="0" xfId="0"/>
    <xf numFmtId="0" fontId="14" fillId="0" borderId="0" applyAlignment="1" pivotButton="0" quotePrefix="0" xfId="0">
      <alignment vertical="center" wrapText="1"/>
    </xf>
    <xf numFmtId="0" fontId="19" fillId="5" borderId="2" applyAlignment="1" pivotButton="0" quotePrefix="0" xfId="0">
      <alignment horizontal="center" vertical="center"/>
    </xf>
    <xf numFmtId="0" fontId="5" fillId="0" borderId="0" applyAlignment="1" pivotButton="0" quotePrefix="0" xfId="0">
      <alignment horizontal="right" vertical="center" wrapText="1"/>
    </xf>
    <xf numFmtId="0" fontId="20" fillId="0" borderId="0" applyAlignment="1" pivotButton="0" quotePrefix="0" xfId="0">
      <alignment horizontal="right" vertical="center" wrapText="1"/>
    </xf>
    <xf numFmtId="0" fontId="21" fillId="4" borderId="2" applyAlignment="1" pivotButton="0" quotePrefix="0" xfId="0">
      <alignment horizontal="center" vertical="center" wrapText="1"/>
    </xf>
    <xf numFmtId="0" fontId="22" fillId="0" borderId="0" applyAlignment="1" pivotButton="0" quotePrefix="0" xfId="0">
      <alignment horizontal="right" vertical="center" wrapText="1"/>
    </xf>
    <xf numFmtId="0" fontId="23" fillId="0" borderId="0" pivotButton="0" quotePrefix="0" xfId="0"/>
    <xf numFmtId="0" fontId="5" fillId="5" borderId="2" applyAlignment="1" pivotButton="0" quotePrefix="0" xfId="0">
      <alignment horizontal="center" vertical="center"/>
    </xf>
    <xf numFmtId="0" fontId="7" fillId="0" borderId="2" applyAlignment="1" pivotButton="0" quotePrefix="0" xfId="0">
      <alignment horizontal="right" vertical="center" wrapText="1"/>
    </xf>
    <xf numFmtId="0" fontId="24" fillId="0" borderId="2" applyAlignment="1" pivotButton="0" quotePrefix="0" xfId="0">
      <alignment horizontal="center" vertical="center" wrapText="1"/>
    </xf>
    <xf numFmtId="0" fontId="7" fillId="0" borderId="2" applyAlignment="1" pivotButton="0" quotePrefix="0" xfId="0">
      <alignment horizontal="center" vertical="center" wrapText="1"/>
    </xf>
    <xf numFmtId="0" fontId="5" fillId="6" borderId="2" applyAlignment="1" pivotButton="0" quotePrefix="0" xfId="0">
      <alignment horizontal="center" vertical="center" wrapText="1"/>
    </xf>
    <xf numFmtId="164" fontId="7" fillId="0" borderId="2" applyAlignment="1" pivotButton="0" quotePrefix="0" xfId="0">
      <alignment horizontal="center" vertical="center" wrapText="1"/>
    </xf>
    <xf numFmtId="0" fontId="7" fillId="7" borderId="2" applyAlignment="1" pivotButton="0" quotePrefix="0" xfId="0">
      <alignment horizontal="right" vertical="center" wrapText="1"/>
    </xf>
    <xf numFmtId="0" fontId="24" fillId="7" borderId="2" applyAlignment="1" pivotButton="0" quotePrefix="0" xfId="0">
      <alignment horizontal="center" vertical="center" wrapText="1"/>
    </xf>
    <xf numFmtId="0" fontId="7" fillId="7" borderId="2" applyAlignment="1" pivotButton="0" quotePrefix="0" xfId="0">
      <alignment horizontal="center" vertical="center" wrapText="1"/>
    </xf>
    <xf numFmtId="164" fontId="7" fillId="7" borderId="2" applyAlignment="1" pivotButton="0" quotePrefix="0" xfId="0">
      <alignment horizontal="center" vertical="center" wrapText="1"/>
    </xf>
    <xf numFmtId="0" fontId="6" fillId="0" borderId="2" applyAlignment="1" pivotButton="0" quotePrefix="0" xfId="0">
      <alignment horizontal="right" vertical="center" wrapText="1"/>
    </xf>
    <xf numFmtId="0" fontId="6" fillId="7" borderId="2" applyAlignment="1" pivotButton="0" quotePrefix="0" xfId="0">
      <alignment horizontal="right" vertical="center" wrapText="1"/>
    </xf>
    <xf numFmtId="164" fontId="23" fillId="0" borderId="0" pivotButton="0" quotePrefix="0" xfId="0"/>
    <xf numFmtId="0" fontId="22" fillId="0" borderId="0" pivotButton="0" quotePrefix="0" xfId="0"/>
    <xf numFmtId="0" fontId="7" fillId="0" borderId="0" applyAlignment="1" pivotButton="0" quotePrefix="0" xfId="0">
      <alignment vertical="center" wrapText="1"/>
    </xf>
    <xf numFmtId="0" fontId="5" fillId="8" borderId="2" applyAlignment="1" pivotButton="0" quotePrefix="0" xfId="0">
      <alignment horizontal="center" vertical="center" wrapText="1"/>
    </xf>
    <xf numFmtId="0" fontId="23" fillId="0" borderId="5" pivotButton="0" quotePrefix="0" xfId="0"/>
    <xf numFmtId="0" fontId="23" fillId="0" borderId="6" pivotButton="0" quotePrefix="0" xfId="0"/>
    <xf numFmtId="0" fontId="25" fillId="2" borderId="0" applyAlignment="1" pivotButton="0" quotePrefix="0" xfId="0">
      <alignment horizontal="center" vertical="center" wrapText="1"/>
    </xf>
    <xf numFmtId="0" fontId="20" fillId="0" borderId="0" applyAlignment="1" pivotButton="0" quotePrefix="0" xfId="0">
      <alignment horizontal="center" vertical="center" wrapText="1"/>
    </xf>
    <xf numFmtId="0" fontId="26" fillId="0" borderId="0" applyAlignment="1" pivotButton="0" quotePrefix="0" xfId="0">
      <alignment horizontal="center" vertical="center" wrapText="1"/>
    </xf>
    <xf numFmtId="0" fontId="5" fillId="0" borderId="0" pivotButton="0" quotePrefix="0" xfId="0"/>
    <xf numFmtId="0" fontId="20" fillId="0" borderId="0" pivotButton="0" quotePrefix="0" xfId="0"/>
    <xf numFmtId="0" fontId="5" fillId="3" borderId="0" pivotButton="0" quotePrefix="0" xfId="0"/>
    <xf numFmtId="0" fontId="27" fillId="0" borderId="0" pivotButton="0" quotePrefix="0" xfId="0"/>
    <xf numFmtId="0" fontId="28" fillId="0" borderId="0" pivotButton="0" quotePrefix="0" xfId="0"/>
    <xf numFmtId="0" fontId="28" fillId="0" borderId="7" pivotButton="0" quotePrefix="0" xfId="0"/>
    <xf numFmtId="164" fontId="28" fillId="0"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fault.c" TargetMode="External" Id="rId1" /><Relationship Type="http://schemas.openxmlformats.org/officeDocument/2006/relationships/hyperlink" Target="../../Config/Inc/app_types.h" TargetMode="External" Id="rId2" /></Relationships>
</file>

<file path=xl/worksheets/_rels/sheet8.xml.rels><Relationships xmlns="http://schemas.openxmlformats.org/package/2006/relationships"><Relationship Type="http://schemas.openxmlformats.org/officeDocument/2006/relationships/hyperlink" Target="Fault_State_Machine.xlsx" TargetMode="External" Id="rId1" /><Relationship Type="http://schemas.openxmlformats.org/officeDocument/2006/relationships/hyperlink" Target="../../../Documentation/System_State_Machine.xlsx" TargetMode="External" Id="rId2" /><Relationship Type="http://schemas.openxmlformats.org/officeDocument/2006/relationships/hyperlink" Target="../../../tools/make_module_state_machines.py" TargetMode="External" Id="rId3" /></Relationships>
</file>

<file path=xl/worksheets/sheet1.xml><?xml version="1.0" encoding="utf-8"?>
<worksheet xmlns="http://schemas.openxmlformats.org/spreadsheetml/2006/main">
  <sheetPr>
    <tabColor rgb="007F7F7F"/>
    <outlinePr summaryBelow="1" summaryRight="1"/>
    <pageSetUpPr/>
  </sheetPr>
  <dimension ref="A1:A11"/>
  <sheetViews>
    <sheetView rightToLeft="1" workbookViewId="0">
      <pane ySplit="1" topLeftCell="A2" activePane="bottomLeft" state="frozen"/>
      <selection pane="bottomLeft" activeCell="A1" sqref="A1"/>
    </sheetView>
  </sheetViews>
  <sheetFormatPr baseColWidth="8" defaultRowHeight="15"/>
  <cols>
    <col width="110" customWidth="1" min="1" max="1"/>
  </cols>
  <sheetData>
    <row r="1">
      <c r="A1" s="46" t="inlineStr">
        <is>
          <t>برگه تست و اعتبارسنجی عملی ماژول Fault</t>
        </is>
      </c>
    </row>
    <row r="2">
      <c r="A2" s="47" t="inlineStr">
        <is>
          <t>Fault | مالک تشخیص متمرکز قطع باتری (FAULT_CHARGER_BAT_LOST، بیت ۶) + ماسک خطای قفل‌شده</t>
        </is>
      </c>
    </row>
    <row r="3" ht="30" customHeight="1">
      <c r="A3" s="48" t="inlineStr">
        <is>
          <t>هدف فایل</t>
        </is>
      </c>
    </row>
    <row r="4">
      <c r="A4" s="47" t="inlineStr"/>
    </row>
    <row r="5">
      <c r="A5" s="47" t="inlineStr">
        <is>
          <t>دو قاعده: پمپ &gt;14.8V حین شارژ فعال (150ms) و غیبت هر نیم &lt;6V با ورودی سالم (1s)؛ بازیابی هر دو نیم ≥7V بدون پمپ (1s).</t>
        </is>
      </c>
    </row>
    <row r="6">
      <c r="A6" s="47" t="inlineStr">
        <is>
          <t>شارژر و UI فقط پرچم را می‌خوانند؛ حین مود تست دستی شارژر، تشخیص کامل فریز است (تمپ‌های دبانس صفر).</t>
        </is>
      </c>
    </row>
    <row r="7">
      <c r="A7" s="47" t="inlineStr">
        <is>
          <t>بدون snapshot معتبر هیچ Set/Clear انجام نمی‌شود.</t>
        </is>
      </c>
    </row>
    <row r="8">
      <c r="A8" s="47" t="inlineStr"/>
    </row>
    <row r="9">
      <c r="A9" s="47" t="inlineStr">
        <is>
          <t>هشدار: تست قطع باتری حین شارژ با جریان محدود و زیر نظارت؛ ولتاژ گره پمپ‌شده می‌تواند بالای 15V برود.</t>
        </is>
      </c>
    </row>
    <row r="11">
      <c r="A11" s="76" t="inlineStr">
        <is>
          <t>اولویت تست‌های عملی: «بالا» یعنی رفتار اصلی‌ای که در کار عادی دستگاه می‌بینید (روشن‌شدن، شروع و پایان شارژ، چهره‌های اصلی چراغ‌ها، رفتن تغذیه روی برق ورودی، خطاهای اصلی)؛ اول همین‌ها را انجام دهید. «متوسط» رفتارهای فرعیِ کاربردی است و «پایین» ریزه‌کاری‌ها (مثل اثر نوسان چند درصدی روی ریتم چشمک یا لبه‌های دقیق درصد و زمان).
ستون «چه چیزی باید ببینید تا بگویید درست است» می‌گوید دقیقاً چه چیزی را باید ببینید یا بشنوید تا آن تست را قبول کنید؛ اگر چیز دیگری دیدید، وضعیت را «رد» بزنید و در شرح ایراد بنویسید چه دیدید.</t>
        </is>
      </c>
    </row>
  </sheetData>
  <mergeCells count="9">
    <mergeCell ref="A8"/>
    <mergeCell ref="A6"/>
    <mergeCell ref="A9"/>
    <mergeCell ref="A4"/>
    <mergeCell ref="A3"/>
    <mergeCell ref="A7"/>
    <mergeCell ref="A2"/>
    <mergeCell ref="A5"/>
    <mergeCell ref="A1"/>
  </mergeCells>
  <pageMargins left="0.75" right="0.75" top="1" bottom="1" header="0.5" footer="0.5"/>
</worksheet>
</file>

<file path=xl/worksheets/sheet2.xml><?xml version="1.0" encoding="utf-8"?>
<worksheet xmlns="http://schemas.openxmlformats.org/spreadsheetml/2006/main">
  <sheetPr>
    <tabColor rgb="001F4E79"/>
    <outlinePr summaryBelow="1" summaryRight="1"/>
    <pageSetUpPr fitToPage="1"/>
  </sheetPr>
  <dimension ref="A1:Q52"/>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49" t="inlineStr">
        <is>
          <t>برنامهٔ تست عملی — ماژول Fault</t>
        </is>
      </c>
    </row>
    <row r="2">
      <c r="A2" s="47" t="inlineStr">
        <is>
          <t>وضعیت فقط یکی از: در انتظار / قبول / رد / مسدود / نیاز به تکرار. تست Host جایگزین تست برد نیست.</t>
        </is>
      </c>
    </row>
    <row r="3">
      <c r="A3" s="47" t="inlineStr">
        <is>
          <t>برای هر ردیف پیش‌شرط، ورودی، انتظار و معیار قبولی صریح است؛ نتیجهٔ واقعی فقط با اندازه‌گیری روی برد پر می‌شود.</t>
        </is>
      </c>
    </row>
    <row r="4" ht="30" customHeight="1">
      <c r="A4" s="48" t="inlineStr">
        <is>
          <t>شناسه</t>
        </is>
      </c>
      <c r="B4" s="48" t="inlineStr">
        <is>
          <t>دسته</t>
        </is>
      </c>
      <c r="C4" s="48" t="inlineStr">
        <is>
          <t>اولویت</t>
        </is>
      </c>
      <c r="D4" s="48" t="inlineStr">
        <is>
          <t>پیش‌شرط</t>
        </is>
      </c>
      <c r="E4" s="48" t="inlineStr">
        <is>
          <t>روش اجرای دقیق</t>
        </is>
      </c>
      <c r="F4" s="48" t="inlineStr">
        <is>
          <t>ورودی‌ها / شرایط</t>
        </is>
      </c>
      <c r="G4" s="48" t="inlineStr">
        <is>
          <t>مدت مشاهده</t>
        </is>
      </c>
      <c r="H4" s="48" t="inlineStr">
        <is>
          <t>رفتار مورد انتظار</t>
        </is>
      </c>
      <c r="I4" s="48" t="inlineStr">
        <is>
          <t>وضعیت حفظ / latch</t>
        </is>
      </c>
      <c r="J4" s="48" t="inlineStr">
        <is>
          <t>چه چیزی باید ببینید تا بگویید درست است</t>
        </is>
      </c>
      <c r="K4" s="48" t="inlineStr">
        <is>
          <t>نتیجهٔ واقعی / اندازه‌گیری</t>
        </is>
      </c>
      <c r="L4" s="48" t="inlineStr">
        <is>
          <t>وضعیت</t>
        </is>
      </c>
      <c r="M4" s="48" t="inlineStr">
        <is>
          <t>شرح ایراد / تفاوت</t>
        </is>
      </c>
      <c r="N4" s="48" t="inlineStr">
        <is>
          <t>مدرک تست / scope</t>
        </is>
      </c>
      <c r="O4" s="48" t="inlineStr">
        <is>
          <t>commit</t>
        </is>
      </c>
      <c r="P4" s="48" t="inlineStr">
        <is>
          <t>نام تست‌کننده</t>
        </is>
      </c>
      <c r="Q4" s="48" t="inlineStr">
        <is>
          <t>تاریخ</t>
        </is>
      </c>
    </row>
    <row r="5" ht="54" customHeight="1">
      <c r="A5" s="51" t="inlineStr">
        <is>
          <t>FL-001</t>
        </is>
      </c>
      <c r="B5" s="52" t="inlineStr">
        <is>
          <t>قاعدهٔ پمپ</t>
        </is>
      </c>
      <c r="C5" s="53" t="inlineStr">
        <is>
          <t>بالا</t>
        </is>
      </c>
      <c r="D5" s="52" t="inlineStr">
        <is>
          <t>دستگاه با برق شهر روشن است و باتری واقعی در حال شارژ است (چراغ زرد چشمک می‌زند)</t>
        </is>
      </c>
      <c r="E5" s="52" t="inlineStr">
        <is>
          <t>گام ۱: حین شارژ، سیم یکی از باتری‌ها را از ترمینال جدا کن.
گام ۲: چند ثانیه صبر کن و چراغ‌ها را ببین: قرمز باید تندتند چشمک بزند، سبز ثابت بماند و هر چند ثانیه سه بوق بیاید.
گام ۳: در پنل نگاه کن که خطای شمارهٔ ۶ ثبت شده و جریان شارژ صفر شده است.</t>
        </is>
      </c>
      <c r="F5" s="54" t="inlineStr">
        <is>
          <t>کشیدن سیم باتری حین شارژ</t>
        </is>
      </c>
      <c r="G5" s="54" t="inlineStr">
        <is>
          <t>کمتر از یک دقیقه</t>
        </is>
      </c>
      <c r="H5" s="52" t="inlineStr">
        <is>
          <t>خطای ۶ (قطع باتری) می‌آید: قرمز چشمک‌تند، سبز ثابت، سه بوق دوره‌ای و شارژ کاملاً متوقف</t>
        </is>
      </c>
      <c r="I5" s="52" t="inlineStr">
        <is>
          <t>می‌ماند تا باتری برگردد</t>
        </is>
      </c>
      <c r="J5" s="52" t="inlineStr">
        <is>
          <t>باید ببینید: ظرف چند ثانیه خطای قطع باتری می‌آید؛ قرمز تند چشمک می‌زند، سبز ثابت است، سه بوق دوره‌ای می‌آید و شارژ کاملاً می‌ایستد. اگر خطا نیامد یا شارژ ادامه داشت، قبول نیست.</t>
        </is>
      </c>
      <c r="K5" s="52" t="n"/>
      <c r="L5" s="55" t="inlineStr">
        <is>
          <t>در انتظار</t>
        </is>
      </c>
      <c r="M5" s="52" t="n"/>
      <c r="N5" s="52" t="n"/>
      <c r="O5" s="54" t="inlineStr">
        <is>
          <t>TESTER: fill</t>
        </is>
      </c>
      <c r="P5" s="54" t="n"/>
      <c r="Q5" s="56">
        <f>IF(OR(L5="",L5="در انتظار"),"",IF(Q5="",TODAY(),Q5))</f>
        <v/>
      </c>
    </row>
    <row r="6" ht="54" customHeight="1">
      <c r="A6" s="51" t="inlineStr">
        <is>
          <t>FL-002</t>
        </is>
      </c>
      <c r="B6" s="57" t="inlineStr">
        <is>
          <t>قاعدهٔ غیبت</t>
        </is>
      </c>
      <c r="C6" s="58" t="inlineStr">
        <is>
          <t>بالا</t>
        </is>
      </c>
      <c r="D6" s="57" t="inlineStr">
        <is>
          <t>باتری را اصلاً وصل نکرده‌ای؛ فقط برق شهر آماده است</t>
        </is>
      </c>
      <c r="E6" s="57" t="inlineStr">
        <is>
          <t>گام ۱: بدون باتری، برق شهر را به دستگاه وصل کن.
گام ۲: چند ثانیه صبر کن.
گام ۳: چراغ‌ها و پنل را چک کن.</t>
        </is>
      </c>
      <c r="F6" s="59" t="inlineStr">
        <is>
          <t>روشن‌کردن دستگاه بدون باتری با برق شهر</t>
        </is>
      </c>
      <c r="G6" s="59" t="inlineStr">
        <is>
          <t>کمتر از یک دقیقه</t>
        </is>
      </c>
      <c r="H6" s="57" t="inlineStr">
        <is>
          <t>خطای ۶ می‌آید (قرمز چشمک‌تند و سه بوق) و شارژ هیچ‌وقت شروع نمی‌شود</t>
        </is>
      </c>
      <c r="I6" s="57" t="inlineStr">
        <is>
          <t>می‌ماند تا باتری وصل شود</t>
        </is>
      </c>
      <c r="J6" s="57" t="inlineStr">
        <is>
          <t>باید ببینید: بدون باتری خطای قطع باتری می‌آید و شارژ هیچ‌وقت شروع نمی‌شود. اگر شارژ بی‌باتری شروع شد، قبول نیست.</t>
        </is>
      </c>
      <c r="K6" s="57" t="n"/>
      <c r="L6" s="55" t="inlineStr">
        <is>
          <t>در انتظار</t>
        </is>
      </c>
      <c r="M6" s="57" t="n"/>
      <c r="N6" s="57" t="n"/>
      <c r="O6" s="59" t="inlineStr">
        <is>
          <t>TESTER: fill</t>
        </is>
      </c>
      <c r="P6" s="59" t="n"/>
      <c r="Q6" s="60">
        <f>IF(OR(L6="",L6="در انتظار"),"",IF(Q6="",TODAY(),Q6))</f>
        <v/>
      </c>
    </row>
    <row r="7" ht="54" customHeight="1">
      <c r="A7" s="51" t="inlineStr">
        <is>
          <t>FL-003</t>
        </is>
      </c>
      <c r="B7" s="52" t="inlineStr">
        <is>
          <t>بازیابی</t>
        </is>
      </c>
      <c r="C7" s="53" t="inlineStr">
        <is>
          <t>بالا</t>
        </is>
      </c>
      <c r="D7" s="61" t="inlineStr">
        <is>
          <t>از FL-001 ادامه بده؛ خطای ۶ فعال است و سیم باتری جداست</t>
        </is>
      </c>
      <c r="E7" s="52" t="inlineStr">
        <is>
          <t>گام ۱: سیم باتری را سر جایش وصل کن.
گام ۲: چند ثانیه صبر کن: چشمک قرمز و بوق باید قطع شود.
گام ۳: کمی بیشتر صبر کن؛ شارژ باید بعد از یک مکث کوتاه آرام از سر گرفته شود.</t>
        </is>
      </c>
      <c r="F7" s="54" t="inlineStr">
        <is>
          <t>وصل دوبارهٔ باتری</t>
        </is>
      </c>
      <c r="G7" s="54" t="inlineStr">
        <is>
          <t>یک دقیقه</t>
        </is>
      </c>
      <c r="H7" s="52" t="inlineStr">
        <is>
          <t>خطای ۶ خودش پاک می‌شود و شارژ بدون پرش و ناگهانی برگشتن، عادی شروع می‌شود</t>
        </is>
      </c>
      <c r="I7" s="52" t="inlineStr">
        <is>
          <t>پاک‌شدن خودکار با برگشت باتری</t>
        </is>
      </c>
      <c r="J7" s="52" t="inlineStr">
        <is>
          <t>باید ببینید: با برگشت باتری خطا خودش پاک می‌شود و شارژ آرام و عادی شروع می‌شود. اگر خطا ماند یا شارژ خشن شروع شد، قبول نیست.</t>
        </is>
      </c>
      <c r="K7" s="52" t="n"/>
      <c r="L7" s="55" t="inlineStr">
        <is>
          <t>در انتظار</t>
        </is>
      </c>
      <c r="M7" s="52" t="n"/>
      <c r="N7" s="52" t="n"/>
      <c r="O7" s="54" t="inlineStr">
        <is>
          <t>TESTER: fill</t>
        </is>
      </c>
      <c r="P7" s="54" t="n"/>
      <c r="Q7" s="56">
        <f>IF(OR(L7="",L7="در انتظار"),"",IF(Q7="",TODAY(),Q7))</f>
        <v/>
      </c>
    </row>
    <row r="8" ht="40.5" customHeight="1">
      <c r="A8" s="51" t="inlineStr">
        <is>
          <t>FL-005</t>
        </is>
      </c>
      <c r="B8" s="52" t="inlineStr">
        <is>
          <t>آینه در شارژر</t>
        </is>
      </c>
      <c r="C8" s="53" t="inlineStr">
        <is>
          <t>بالا</t>
        </is>
      </c>
      <c r="D8" s="61" t="inlineStr">
        <is>
          <t>خطای ۶ را مثل FL-001 ساخته‌ای و فعال است</t>
        </is>
      </c>
      <c r="E8" s="52" t="inlineStr">
        <is>
          <t>گام ۱: یک آمپرمتر دستی سریِ مسیر شارژ بگذار یا جریان شارژ پنل را نگاه کن.
گام ۲: تا وقتی خطا هست جریان را زیر نظر بگیر.
گام ۳: باتری را وصل کن و ببین شارژ کی برمی‌گردد.</t>
        </is>
      </c>
      <c r="F8" s="54" t="inlineStr">
        <is>
          <t>نگه‌داشتن خطای ۶ و بعد وصل باتری</t>
        </is>
      </c>
      <c r="G8" s="54" t="inlineStr">
        <is>
          <t>دو دقیقه</t>
        </is>
      </c>
      <c r="H8" s="52" t="inlineStr">
        <is>
          <t>تا وقتی خطای ۶ هست جریان شارژ صفر می‌ماند؛ شارژر بیکار است و فقط با برگشت باتری دوباره راه می‌افتد</t>
        </is>
      </c>
      <c r="I8" s="52" t="inlineStr">
        <is>
          <t>توقف کامل تا بازیابی</t>
        </is>
      </c>
      <c r="J8" s="52" t="inlineStr">
        <is>
          <t>باید ببینید: تا وقتی خطا هست جریان شارژ در پنل صفر می‌ماند و فقط با برگشت باتری شارژ راه می‌افتد. اگر حین خطا جریان شارژ دیدید، قبول نیست.</t>
        </is>
      </c>
      <c r="K8" s="52" t="n"/>
      <c r="L8" s="55" t="inlineStr">
        <is>
          <t>در انتظار</t>
        </is>
      </c>
      <c r="M8" s="52" t="n"/>
      <c r="N8" s="52" t="n"/>
      <c r="O8" s="54" t="inlineStr">
        <is>
          <t>TESTER: fill</t>
        </is>
      </c>
      <c r="P8" s="54" t="n"/>
      <c r="Q8" s="56">
        <f>IF(OR(L8="",L8="در انتظار"),"",IF(Q8="",TODAY(),Q8))</f>
        <v/>
      </c>
    </row>
    <row r="9" ht="40.5" customHeight="1">
      <c r="A9" s="51" t="inlineStr">
        <is>
          <t>FL-007</t>
        </is>
      </c>
      <c r="B9" s="52" t="inlineStr">
        <is>
          <t>فریز در مود دستی</t>
        </is>
      </c>
      <c r="C9" s="53" t="inlineStr">
        <is>
          <t>متوسط</t>
        </is>
      </c>
      <c r="D9" s="52" t="inlineStr">
        <is>
          <t>دستگاه روشن و از پنل، مود تست دستی شارژر را می‌توانی روشن کنی</t>
        </is>
      </c>
      <c r="E9" s="52" t="inlineStr">
        <is>
          <t>گام ۱: از پنل مود تست دستی شارژر را فعال کن.
گام ۲: در همین مود سیم باتری را بکش و چند ثانیه صبر کن.
گام ۳: باتری را وصل کن.</t>
        </is>
      </c>
      <c r="F9" s="54" t="inlineStr">
        <is>
          <t>قطع و وصل باتری داخل مود دستی</t>
        </is>
      </c>
      <c r="G9" s="54" t="inlineStr">
        <is>
          <t>یک دقیقه</t>
        </is>
      </c>
      <c r="H9" s="52" t="inlineStr">
        <is>
          <t>در مود دستی خطای ۶ ساخته نمی‌شود و چراغ قرمز قطع باتری نمی‌آید</t>
        </is>
      </c>
      <c r="I9" s="52" t="inlineStr">
        <is>
          <t>بدون قفل در مود دستی</t>
        </is>
      </c>
      <c r="J9" s="52" t="inlineStr">
        <is>
          <t>باید ببینید: در مود دستی خطای قطع باتری ساخته نمی‌شود و چراغ قرمز آن نمی‌آید. اگر خطا آمد، قبول نیست.</t>
        </is>
      </c>
      <c r="K9" s="52" t="n"/>
      <c r="L9" s="55" t="inlineStr">
        <is>
          <t>در انتظار</t>
        </is>
      </c>
      <c r="M9" s="52" t="n"/>
      <c r="N9" s="52" t="n"/>
      <c r="O9" s="54" t="inlineStr">
        <is>
          <t>TESTER: fill</t>
        </is>
      </c>
      <c r="P9" s="54" t="n"/>
      <c r="Q9" s="56">
        <f>IF(OR(L9="",L9="در انتظار"),"",IF(Q9="",TODAY(),Q9))</f>
        <v/>
      </c>
    </row>
    <row r="10" ht="54" customHeight="1">
      <c r="A10" s="51" t="inlineStr">
        <is>
          <t>FL-008</t>
        </is>
      </c>
      <c r="B10" s="57" t="inlineStr">
        <is>
          <t>خروج از مود دستی</t>
        </is>
      </c>
      <c r="C10" s="59" t="inlineStr">
        <is>
          <t>متوسط</t>
        </is>
      </c>
      <c r="D10" s="62" t="inlineStr">
        <is>
          <t>از FL-007 ادامه بده؛ مود دستی فعال است</t>
        </is>
      </c>
      <c r="E10" s="62" t="inlineStr">
        <is>
          <t>گام ۱: از پنل از مود تست دستی خارج شو.
گام ۲: حالا سیم باتری را حین شارژ بکش.
گام ۳: چراغ‌ها را ببین.</t>
        </is>
      </c>
      <c r="F10" s="59" t="inlineStr">
        <is>
          <t>خروج از مود دستی و قطع باتری</t>
        </is>
      </c>
      <c r="G10" s="59" t="inlineStr">
        <is>
          <t>یک دقیقه</t>
        </is>
      </c>
      <c r="H10" s="57" t="inlineStr">
        <is>
          <t>بعد از خروج از مود دستی، قطع باتری دوباره مثل حالت عادی خطای ۶ می‌سازد</t>
        </is>
      </c>
      <c r="I10" s="57" t="inlineStr">
        <is>
          <t>برگشت رفتار عادی</t>
        </is>
      </c>
      <c r="J10" s="62" t="inlineStr">
        <is>
          <t>باید ببینید: بعد از خروج از مود دستی، قطع باتری دوباره خطای همیشگی را می‌سازد. اگر نساخت، قبول نیست.</t>
        </is>
      </c>
      <c r="K10" s="57" t="n"/>
      <c r="L10" s="55" t="inlineStr">
        <is>
          <t>در انتظار</t>
        </is>
      </c>
      <c r="M10" s="57" t="n"/>
      <c r="N10" s="57" t="n"/>
      <c r="O10" s="59" t="inlineStr">
        <is>
          <t>TESTER: fill</t>
        </is>
      </c>
      <c r="P10" s="59" t="n"/>
      <c r="Q10" s="60">
        <f>IF(OR(L10="",L10="در انتظار"),"",IF(Q10="",TODAY(),Q10))</f>
        <v/>
      </c>
    </row>
    <row r="11" ht="54" customHeight="1">
      <c r="A11" s="51" t="inlineStr">
        <is>
          <t>FL-010</t>
        </is>
      </c>
      <c r="B11" s="57" t="inlineStr">
        <is>
          <t>تله‌متری</t>
        </is>
      </c>
      <c r="C11" s="59" t="inlineStr">
        <is>
          <t>متوسط</t>
        </is>
      </c>
      <c r="D11" s="57" t="inlineStr">
        <is>
          <t>پنل باز است و تله‌متری زنده را می‌بینی</t>
        </is>
      </c>
      <c r="E11" s="57" t="inlineStr">
        <is>
          <t>گام ۱: حین شارژ سیم باتری را بکش تا خطای ۶ بیاید.
گام ۲: در پنل نگاه کن خطای ۶ و توقف شارژ دیده می‌شود.
گام ۳: باتری را وصل کن و پاک‌شدن خطا را در پنل ببین.</t>
        </is>
      </c>
      <c r="F11" s="59" t="inlineStr">
        <is>
          <t>ساختن و پاک‌کردن خطای ۶ جلوی پنل</t>
        </is>
      </c>
      <c r="G11" s="59" t="inlineStr">
        <is>
          <t>دو دقیقه</t>
        </is>
      </c>
      <c r="H11" s="57" t="inlineStr">
        <is>
          <t>پنل همان چیزی را نشان می‌دهد که روی دستگاه می‌بینی: خطای ۶ می‌آید و با برگشت باتری پاک می‌شود</t>
        </is>
      </c>
      <c r="I11" s="57" t="inlineStr">
        <is>
          <t>هم‌گام با چراغ‌های دستگاه</t>
        </is>
      </c>
      <c r="J11" s="57" t="inlineStr">
        <is>
          <t>باید ببینید: پنل همان چیزی را نشان می‌دهد که روی دستگاه می‌بینید؛ خطا می‌آید و با برگشت باتری پاک می‌شود. اگر پنل با چراغ‌ها اختلاف داشت، قبول نیست.</t>
        </is>
      </c>
      <c r="K11" s="57" t="n"/>
      <c r="L11" s="55" t="inlineStr">
        <is>
          <t>در انتظار</t>
        </is>
      </c>
      <c r="M11" s="57" t="n"/>
      <c r="N11" s="57" t="n"/>
      <c r="O11" s="59" t="inlineStr">
        <is>
          <t>TESTER: fill</t>
        </is>
      </c>
      <c r="P11" s="59" t="n"/>
      <c r="Q11" s="60">
        <f>IF(OR(L11="",L11="در انتظار"),"",IF(Q11="",TODAY(),Q11))</f>
        <v/>
      </c>
    </row>
    <row r="12" ht="54" customHeight="1">
      <c r="A12" s="51" t="inlineStr">
        <is>
          <t>FL-004</t>
        </is>
      </c>
      <c r="B12" s="57" t="inlineStr">
        <is>
          <t>هیسترزیس 6/7V</t>
        </is>
      </c>
      <c r="C12" s="59" t="inlineStr">
        <is>
          <t>پایین</t>
        </is>
      </c>
      <c r="D12" s="57" t="inlineStr">
        <is>
          <t>به‌جای یکی از باتری‌ها منبع آزمایشگاهی گذاشته‌ای؛ دستگاه با برق شهر روشن است</t>
        </is>
      </c>
      <c r="E12" s="57" t="inlineStr">
        <is>
          <t>گام ۱: ولتاژ منبع را حدود ۶٫۵ ولت نگه دار (نه وصلِ سالم، نه قطعِ کامل).
گام ۲: دو دقیقه نگاه کن؛ خطا نباید پرپر بزند.
گام ۳: ولتاژ را بالای ۷ ببر (سالم) و بعد زیر ۶ ببر (قطع) و هر بار رفتار را چک کن.</t>
        </is>
      </c>
      <c r="F12" s="59" t="inlineStr">
        <is>
          <t>ولتاژ یک نیم باتری: ۶٫۵ بعد بالای ۷ بعد زیر ۶ ولت</t>
        </is>
      </c>
      <c r="G12" s="59" t="inlineStr">
        <is>
          <t>سه دقیقه</t>
        </is>
      </c>
      <c r="H12" s="57" t="inlineStr">
        <is>
          <t>روی ۶٫۵ نه خطای تازه می‌آید نه پاک و ست می‌شود؛ بالای ۷ سالم است و زیر ۶ خطای ۶ می‌آید</t>
        </is>
      </c>
      <c r="I12" s="57" t="inlineStr">
        <is>
          <t>بدون پرپر دور مرز</t>
        </is>
      </c>
      <c r="J12" s="57" t="inlineStr">
        <is>
          <t>باید ببینید: روی ولتاژ وسط (حدود ۶٫۵ ولت) نه خطای تازه می‌آید نه پرپر می‌زند؛ بالای حد سالم و زیر حد خطا می‌آید. اگر روی وسط پرپر زد، قبول نیست.</t>
        </is>
      </c>
      <c r="K12" s="57" t="n"/>
      <c r="L12" s="55" t="inlineStr">
        <is>
          <t>در انتظار</t>
        </is>
      </c>
      <c r="M12" s="57" t="n"/>
      <c r="N12" s="57" t="n"/>
      <c r="O12" s="59" t="inlineStr">
        <is>
          <t>TESTER: fill</t>
        </is>
      </c>
      <c r="P12" s="59" t="n"/>
      <c r="Q12" s="60">
        <f>IF(OR(L12="",L12="در انتظار"),"",IF(Q12="",TODAY(),Q12))</f>
        <v/>
      </c>
    </row>
    <row r="13">
      <c r="A13" s="77" t="n"/>
      <c r="B13" s="77" t="n"/>
      <c r="C13" s="77" t="n"/>
      <c r="D13" s="77" t="n"/>
      <c r="E13" s="77" t="n"/>
      <c r="F13" s="77" t="n"/>
      <c r="G13" s="77" t="n"/>
      <c r="H13" s="77" t="n"/>
      <c r="I13" s="77" t="n"/>
      <c r="J13" s="77" t="n"/>
      <c r="K13" s="77" t="n"/>
      <c r="L13" s="77" t="n"/>
      <c r="M13" s="77" t="n"/>
      <c r="N13" s="77" t="n"/>
      <c r="O13" s="77" t="n"/>
      <c r="P13" s="77" t="n"/>
      <c r="Q13" s="78" t="n"/>
    </row>
    <row r="14">
      <c r="A14" s="77" t="n"/>
      <c r="B14" s="77" t="n"/>
      <c r="C14" s="77" t="n"/>
      <c r="D14" s="77" t="n"/>
      <c r="E14" s="77" t="n"/>
      <c r="F14" s="77" t="n"/>
      <c r="G14" s="77" t="n"/>
      <c r="H14" s="77" t="n"/>
      <c r="I14" s="77" t="n"/>
      <c r="J14" s="77" t="n"/>
      <c r="K14" s="77" t="n"/>
      <c r="L14" s="77" t="n"/>
      <c r="M14" s="77" t="n"/>
      <c r="N14" s="77" t="n"/>
      <c r="O14" s="77" t="n"/>
      <c r="P14" s="77" t="n"/>
      <c r="Q14" s="78" t="n"/>
    </row>
    <row r="15">
      <c r="A15" s="77" t="n"/>
      <c r="B15" s="77" t="n"/>
      <c r="C15" s="77" t="n"/>
      <c r="D15" s="77" t="n"/>
      <c r="E15" s="77" t="n"/>
      <c r="F15" s="77" t="n"/>
      <c r="G15" s="77" t="n"/>
      <c r="H15" s="77" t="n"/>
      <c r="I15" s="77" t="n"/>
      <c r="J15" s="77" t="n"/>
      <c r="K15" s="77" t="n"/>
      <c r="L15" s="77" t="n"/>
      <c r="M15" s="77" t="n"/>
      <c r="N15" s="77" t="n"/>
      <c r="O15" s="77" t="n"/>
      <c r="P15" s="77" t="n"/>
      <c r="Q15" s="78" t="n"/>
    </row>
    <row r="16">
      <c r="A16" s="77" t="n"/>
      <c r="B16" s="77" t="n"/>
      <c r="C16" s="77" t="n"/>
      <c r="D16" s="77" t="n"/>
      <c r="E16" s="77" t="n"/>
      <c r="F16" s="77" t="n"/>
      <c r="G16" s="77" t="n"/>
      <c r="H16" s="77" t="n"/>
      <c r="I16" s="77" t="n"/>
      <c r="J16" s="77" t="n"/>
      <c r="K16" s="77" t="n"/>
      <c r="L16" s="77" t="n"/>
      <c r="M16" s="77" t="n"/>
      <c r="N16" s="77" t="n"/>
      <c r="O16" s="77" t="n"/>
      <c r="P16" s="77" t="n"/>
      <c r="Q16" s="78" t="n"/>
    </row>
    <row r="17">
      <c r="A17" s="77" t="n"/>
      <c r="B17" s="77" t="n"/>
      <c r="C17" s="77" t="n"/>
      <c r="D17" s="77" t="n"/>
      <c r="E17" s="77" t="n"/>
      <c r="F17" s="77" t="n"/>
      <c r="G17" s="77" t="n"/>
      <c r="H17" s="77" t="n"/>
      <c r="I17" s="77" t="n"/>
      <c r="J17" s="77" t="n"/>
      <c r="K17" s="77" t="n"/>
      <c r="L17" s="77" t="n"/>
      <c r="M17" s="77" t="n"/>
      <c r="N17" s="77" t="n"/>
      <c r="O17" s="77" t="n"/>
      <c r="P17" s="77" t="n"/>
      <c r="Q17" s="78" t="n"/>
    </row>
    <row r="18">
      <c r="A18" s="77" t="n"/>
      <c r="B18" s="77" t="n"/>
      <c r="C18" s="77" t="n"/>
      <c r="D18" s="77" t="n"/>
      <c r="E18" s="77" t="n"/>
      <c r="F18" s="77" t="n"/>
      <c r="G18" s="77" t="n"/>
      <c r="H18" s="77" t="n"/>
      <c r="I18" s="77" t="n"/>
      <c r="J18" s="77" t="n"/>
      <c r="K18" s="77" t="n"/>
      <c r="L18" s="77" t="n"/>
      <c r="M18" s="77" t="n"/>
      <c r="N18" s="77" t="n"/>
      <c r="O18" s="77" t="n"/>
      <c r="P18" s="77" t="n"/>
      <c r="Q18" s="78" t="n"/>
    </row>
    <row r="19">
      <c r="A19" s="77" t="n"/>
      <c r="B19" s="77" t="n"/>
      <c r="C19" s="77" t="n"/>
      <c r="D19" s="77" t="n"/>
      <c r="E19" s="77" t="n"/>
      <c r="F19" s="77" t="n"/>
      <c r="G19" s="77" t="n"/>
      <c r="H19" s="77" t="n"/>
      <c r="I19" s="77" t="n"/>
      <c r="J19" s="77" t="n"/>
      <c r="K19" s="77" t="n"/>
      <c r="L19" s="77" t="n"/>
      <c r="M19" s="77" t="n"/>
      <c r="N19" s="77" t="n"/>
      <c r="O19" s="77" t="n"/>
      <c r="P19" s="77" t="n"/>
      <c r="Q19" s="78" t="n"/>
    </row>
    <row r="20">
      <c r="A20" s="77" t="n"/>
      <c r="B20" s="77" t="n"/>
      <c r="C20" s="77" t="n"/>
      <c r="D20" s="77" t="n"/>
      <c r="E20" s="77" t="n"/>
      <c r="F20" s="77" t="n"/>
      <c r="G20" s="77" t="n"/>
      <c r="H20" s="77" t="n"/>
      <c r="I20" s="77" t="n"/>
      <c r="J20" s="77" t="n"/>
      <c r="K20" s="77" t="n"/>
      <c r="L20" s="77" t="n"/>
      <c r="M20" s="77" t="n"/>
      <c r="N20" s="77" t="n"/>
      <c r="O20" s="77" t="n"/>
      <c r="P20" s="77" t="n"/>
      <c r="Q20" s="78" t="n"/>
    </row>
    <row r="21">
      <c r="A21" s="77" t="n"/>
      <c r="B21" s="77" t="n"/>
      <c r="C21" s="77" t="n"/>
      <c r="D21" s="77" t="n"/>
      <c r="E21" s="77" t="n"/>
      <c r="F21" s="77" t="n"/>
      <c r="G21" s="77" t="n"/>
      <c r="H21" s="77" t="n"/>
      <c r="I21" s="77" t="n"/>
      <c r="J21" s="77" t="n"/>
      <c r="K21" s="77" t="n"/>
      <c r="L21" s="77" t="n"/>
      <c r="M21" s="77" t="n"/>
      <c r="N21" s="77" t="n"/>
      <c r="O21" s="77" t="n"/>
      <c r="P21" s="77" t="n"/>
      <c r="Q21" s="78" t="n"/>
    </row>
    <row r="22">
      <c r="A22" s="77" t="n"/>
      <c r="B22" s="77" t="n"/>
      <c r="C22" s="77" t="n"/>
      <c r="D22" s="77" t="n"/>
      <c r="E22" s="77" t="n"/>
      <c r="F22" s="77" t="n"/>
      <c r="G22" s="77" t="n"/>
      <c r="H22" s="77" t="n"/>
      <c r="I22" s="77" t="n"/>
      <c r="J22" s="77" t="n"/>
      <c r="K22" s="77" t="n"/>
      <c r="L22" s="77" t="n"/>
      <c r="M22" s="77" t="n"/>
      <c r="N22" s="77" t="n"/>
      <c r="O22" s="77" t="n"/>
      <c r="P22" s="77" t="n"/>
      <c r="Q22" s="78" t="n"/>
    </row>
    <row r="23">
      <c r="A23" s="77" t="n"/>
      <c r="B23" s="77" t="n"/>
      <c r="C23" s="77" t="n"/>
      <c r="D23" s="77" t="n"/>
      <c r="E23" s="77" t="n"/>
      <c r="F23" s="77" t="n"/>
      <c r="G23" s="77" t="n"/>
      <c r="H23" s="77" t="n"/>
      <c r="I23" s="77" t="n"/>
      <c r="J23" s="77" t="n"/>
      <c r="K23" s="77" t="n"/>
      <c r="L23" s="77" t="n"/>
      <c r="M23" s="77" t="n"/>
      <c r="N23" s="77" t="n"/>
      <c r="O23" s="77" t="n"/>
      <c r="P23" s="77" t="n"/>
      <c r="Q23" s="78" t="n"/>
    </row>
    <row r="24">
      <c r="A24" s="77" t="n"/>
      <c r="B24" s="77" t="n"/>
      <c r="C24" s="77" t="n"/>
      <c r="D24" s="77" t="n"/>
      <c r="E24" s="77" t="n"/>
      <c r="F24" s="77" t="n"/>
      <c r="G24" s="77" t="n"/>
      <c r="H24" s="77" t="n"/>
      <c r="I24" s="77" t="n"/>
      <c r="J24" s="77" t="n"/>
      <c r="K24" s="77" t="n"/>
      <c r="L24" s="77" t="n"/>
      <c r="M24" s="77" t="n"/>
      <c r="N24" s="77" t="n"/>
      <c r="O24" s="77" t="n"/>
      <c r="P24" s="77" t="n"/>
      <c r="Q24" s="78" t="n"/>
    </row>
    <row r="25">
      <c r="A25" s="77" t="n"/>
      <c r="B25" s="77" t="n"/>
      <c r="C25" s="77" t="n"/>
      <c r="D25" s="77" t="n"/>
      <c r="E25" s="77" t="n"/>
      <c r="F25" s="77" t="n"/>
      <c r="G25" s="77" t="n"/>
      <c r="H25" s="77" t="n"/>
      <c r="I25" s="77" t="n"/>
      <c r="J25" s="77" t="n"/>
      <c r="K25" s="77" t="n"/>
      <c r="L25" s="77" t="n"/>
      <c r="M25" s="77" t="n"/>
      <c r="N25" s="77" t="n"/>
      <c r="O25" s="77" t="n"/>
      <c r="P25" s="77" t="n"/>
      <c r="Q25" s="78" t="n"/>
    </row>
    <row r="26">
      <c r="A26" s="77" t="n"/>
      <c r="B26" s="77" t="n"/>
      <c r="C26" s="77" t="n"/>
      <c r="D26" s="77" t="n"/>
      <c r="E26" s="77" t="n"/>
      <c r="F26" s="77" t="n"/>
      <c r="G26" s="77" t="n"/>
      <c r="H26" s="77" t="n"/>
      <c r="I26" s="77" t="n"/>
      <c r="J26" s="77" t="n"/>
      <c r="K26" s="77" t="n"/>
      <c r="L26" s="77" t="n"/>
      <c r="M26" s="77" t="n"/>
      <c r="N26" s="77" t="n"/>
      <c r="O26" s="77" t="n"/>
      <c r="P26" s="77" t="n"/>
      <c r="Q26" s="78" t="n"/>
    </row>
    <row r="27">
      <c r="A27" s="77" t="n"/>
      <c r="B27" s="77" t="n"/>
      <c r="C27" s="77" t="n"/>
      <c r="D27" s="77" t="n"/>
      <c r="E27" s="77" t="n"/>
      <c r="F27" s="77" t="n"/>
      <c r="G27" s="77" t="n"/>
      <c r="H27" s="77" t="n"/>
      <c r="I27" s="77" t="n"/>
      <c r="J27" s="77" t="n"/>
      <c r="K27" s="77" t="n"/>
      <c r="L27" s="77" t="n"/>
      <c r="M27" s="77" t="n"/>
      <c r="N27" s="77" t="n"/>
      <c r="O27" s="77" t="n"/>
      <c r="P27" s="77" t="n"/>
      <c r="Q27" s="78" t="n"/>
    </row>
    <row r="28">
      <c r="A28" s="77" t="n"/>
      <c r="B28" s="77" t="n"/>
      <c r="C28" s="77" t="n"/>
      <c r="D28" s="77" t="n"/>
      <c r="E28" s="77" t="n"/>
      <c r="F28" s="77" t="n"/>
      <c r="G28" s="77" t="n"/>
      <c r="H28" s="77" t="n"/>
      <c r="I28" s="77" t="n"/>
      <c r="J28" s="77" t="n"/>
      <c r="K28" s="77" t="n"/>
      <c r="L28" s="77" t="n"/>
      <c r="M28" s="77" t="n"/>
      <c r="N28" s="77" t="n"/>
      <c r="O28" s="77" t="n"/>
      <c r="P28" s="77" t="n"/>
      <c r="Q28" s="78" t="n"/>
    </row>
    <row r="29">
      <c r="A29" s="77" t="n"/>
      <c r="B29" s="77" t="n"/>
      <c r="C29" s="77" t="n"/>
      <c r="D29" s="77" t="n"/>
      <c r="E29" s="77" t="n"/>
      <c r="F29" s="77" t="n"/>
      <c r="G29" s="77" t="n"/>
      <c r="H29" s="77" t="n"/>
      <c r="I29" s="77" t="n"/>
      <c r="J29" s="77" t="n"/>
      <c r="K29" s="77" t="n"/>
      <c r="L29" s="77" t="n"/>
      <c r="M29" s="77" t="n"/>
      <c r="N29" s="77" t="n"/>
      <c r="O29" s="77" t="n"/>
      <c r="P29" s="77" t="n"/>
      <c r="Q29" s="78" t="n"/>
    </row>
    <row r="30">
      <c r="A30" s="77" t="n"/>
      <c r="B30" s="77" t="n"/>
      <c r="C30" s="77" t="n"/>
      <c r="D30" s="77" t="n"/>
      <c r="E30" s="77" t="n"/>
      <c r="F30" s="77" t="n"/>
      <c r="G30" s="77" t="n"/>
      <c r="H30" s="77" t="n"/>
      <c r="I30" s="77" t="n"/>
      <c r="J30" s="77" t="n"/>
      <c r="K30" s="77" t="n"/>
      <c r="L30" s="77" t="n"/>
      <c r="M30" s="77" t="n"/>
      <c r="N30" s="77" t="n"/>
      <c r="O30" s="77" t="n"/>
      <c r="P30" s="77" t="n"/>
      <c r="Q30" s="78" t="n"/>
    </row>
    <row r="31">
      <c r="A31" s="77" t="n"/>
      <c r="B31" s="77" t="n"/>
      <c r="C31" s="77" t="n"/>
      <c r="D31" s="77" t="n"/>
      <c r="E31" s="77" t="n"/>
      <c r="F31" s="77" t="n"/>
      <c r="G31" s="77" t="n"/>
      <c r="H31" s="77" t="n"/>
      <c r="I31" s="77" t="n"/>
      <c r="J31" s="77" t="n"/>
      <c r="K31" s="77" t="n"/>
      <c r="L31" s="77" t="n"/>
      <c r="M31" s="77" t="n"/>
      <c r="N31" s="77" t="n"/>
      <c r="O31" s="77" t="n"/>
      <c r="P31" s="77" t="n"/>
      <c r="Q31" s="78" t="n"/>
    </row>
    <row r="32">
      <c r="A32" s="77" t="n"/>
      <c r="B32" s="77" t="n"/>
      <c r="C32" s="77" t="n"/>
      <c r="D32" s="77" t="n"/>
      <c r="E32" s="77" t="n"/>
      <c r="F32" s="77" t="n"/>
      <c r="G32" s="77" t="n"/>
      <c r="H32" s="77" t="n"/>
      <c r="I32" s="77" t="n"/>
      <c r="J32" s="77" t="n"/>
      <c r="K32" s="77" t="n"/>
      <c r="L32" s="77" t="n"/>
      <c r="M32" s="77" t="n"/>
      <c r="N32" s="77" t="n"/>
      <c r="O32" s="77" t="n"/>
      <c r="P32" s="77" t="n"/>
      <c r="Q32" s="78" t="n"/>
    </row>
    <row r="33">
      <c r="A33" s="77" t="n"/>
      <c r="B33" s="77" t="n"/>
      <c r="C33" s="77" t="n"/>
      <c r="D33" s="77" t="n"/>
      <c r="E33" s="77" t="n"/>
      <c r="F33" s="77" t="n"/>
      <c r="G33" s="77" t="n"/>
      <c r="H33" s="77" t="n"/>
      <c r="I33" s="77" t="n"/>
      <c r="J33" s="77" t="n"/>
      <c r="K33" s="77" t="n"/>
      <c r="L33" s="77" t="n"/>
      <c r="M33" s="77" t="n"/>
      <c r="N33" s="77" t="n"/>
      <c r="O33" s="77" t="n"/>
      <c r="P33" s="77" t="n"/>
      <c r="Q33" s="78" t="n"/>
    </row>
    <row r="34">
      <c r="A34" s="77" t="n"/>
      <c r="B34" s="77" t="n"/>
      <c r="C34" s="77" t="n"/>
      <c r="D34" s="77" t="n"/>
      <c r="E34" s="77" t="n"/>
      <c r="F34" s="77" t="n"/>
      <c r="G34" s="77" t="n"/>
      <c r="H34" s="77" t="n"/>
      <c r="I34" s="77" t="n"/>
      <c r="J34" s="77" t="n"/>
      <c r="K34" s="77" t="n"/>
      <c r="L34" s="77" t="n"/>
      <c r="M34" s="77" t="n"/>
      <c r="N34" s="77" t="n"/>
      <c r="O34" s="77" t="n"/>
      <c r="P34" s="77" t="n"/>
      <c r="Q34" s="78" t="n"/>
    </row>
    <row r="35">
      <c r="A35" s="77" t="n"/>
      <c r="B35" s="77" t="n"/>
      <c r="C35" s="77" t="n"/>
      <c r="D35" s="77" t="n"/>
      <c r="E35" s="77" t="n"/>
      <c r="F35" s="77" t="n"/>
      <c r="G35" s="77" t="n"/>
      <c r="H35" s="77" t="n"/>
      <c r="I35" s="77" t="n"/>
      <c r="J35" s="77" t="n"/>
      <c r="K35" s="77" t="n"/>
      <c r="L35" s="77" t="n"/>
      <c r="M35" s="77" t="n"/>
      <c r="N35" s="77" t="n"/>
      <c r="O35" s="77" t="n"/>
      <c r="P35" s="77" t="n"/>
      <c r="Q35" s="78" t="n"/>
    </row>
    <row r="36">
      <c r="A36" s="77" t="n"/>
      <c r="B36" s="77" t="n"/>
      <c r="C36" s="77" t="n"/>
      <c r="D36" s="77" t="n"/>
      <c r="E36" s="77" t="n"/>
      <c r="F36" s="77" t="n"/>
      <c r="G36" s="77" t="n"/>
      <c r="H36" s="77" t="n"/>
      <c r="I36" s="77" t="n"/>
      <c r="J36" s="77" t="n"/>
      <c r="K36" s="77" t="n"/>
      <c r="L36" s="77" t="n"/>
      <c r="M36" s="77" t="n"/>
      <c r="N36" s="77" t="n"/>
      <c r="O36" s="77" t="n"/>
      <c r="P36" s="77" t="n"/>
      <c r="Q36" s="78" t="n"/>
    </row>
    <row r="37">
      <c r="A37" s="77" t="n"/>
      <c r="B37" s="77" t="n"/>
      <c r="C37" s="77" t="n"/>
      <c r="D37" s="77" t="n"/>
      <c r="E37" s="77" t="n"/>
      <c r="F37" s="77" t="n"/>
      <c r="G37" s="77" t="n"/>
      <c r="H37" s="77" t="n"/>
      <c r="I37" s="77" t="n"/>
      <c r="J37" s="77" t="n"/>
      <c r="K37" s="77" t="n"/>
      <c r="L37" s="77" t="n"/>
      <c r="M37" s="77" t="n"/>
      <c r="N37" s="77" t="n"/>
      <c r="O37" s="77" t="n"/>
      <c r="P37" s="77" t="n"/>
      <c r="Q37" s="78" t="n"/>
    </row>
    <row r="38">
      <c r="A38" s="77" t="n"/>
      <c r="B38" s="77" t="n"/>
      <c r="C38" s="77" t="n"/>
      <c r="D38" s="77" t="n"/>
      <c r="E38" s="77" t="n"/>
      <c r="F38" s="77" t="n"/>
      <c r="G38" s="77" t="n"/>
      <c r="H38" s="77" t="n"/>
      <c r="I38" s="77" t="n"/>
      <c r="J38" s="77" t="n"/>
      <c r="K38" s="77" t="n"/>
      <c r="L38" s="77" t="n"/>
      <c r="M38" s="77" t="n"/>
      <c r="N38" s="77" t="n"/>
      <c r="O38" s="77" t="n"/>
      <c r="P38" s="77" t="n"/>
      <c r="Q38" s="78" t="n"/>
    </row>
    <row r="39">
      <c r="A39" s="77" t="n"/>
      <c r="B39" s="77" t="n"/>
      <c r="C39" s="77" t="n"/>
      <c r="D39" s="77" t="n"/>
      <c r="E39" s="77" t="n"/>
      <c r="F39" s="77" t="n"/>
      <c r="G39" s="77" t="n"/>
      <c r="H39" s="77" t="n"/>
      <c r="I39" s="77" t="n"/>
      <c r="J39" s="77" t="n"/>
      <c r="K39" s="77" t="n"/>
      <c r="L39" s="77" t="n"/>
      <c r="M39" s="77" t="n"/>
      <c r="N39" s="77" t="n"/>
      <c r="O39" s="77" t="n"/>
      <c r="P39" s="77" t="n"/>
      <c r="Q39" s="78" t="n"/>
    </row>
    <row r="40">
      <c r="A40" s="77" t="n"/>
      <c r="B40" s="77" t="n"/>
      <c r="C40" s="77" t="n"/>
      <c r="D40" s="77" t="n"/>
      <c r="E40" s="77" t="n"/>
      <c r="F40" s="77" t="n"/>
      <c r="G40" s="77" t="n"/>
      <c r="H40" s="77" t="n"/>
      <c r="I40" s="77" t="n"/>
      <c r="J40" s="77" t="n"/>
      <c r="K40" s="77" t="n"/>
      <c r="L40" s="77" t="n"/>
      <c r="M40" s="77" t="n"/>
      <c r="N40" s="77" t="n"/>
      <c r="O40" s="77" t="n"/>
      <c r="P40" s="77" t="n"/>
      <c r="Q40" s="78" t="n"/>
    </row>
    <row r="41">
      <c r="A41" s="77" t="n"/>
      <c r="B41" s="77" t="n"/>
      <c r="C41" s="77" t="n"/>
      <c r="D41" s="77" t="n"/>
      <c r="E41" s="77" t="n"/>
      <c r="F41" s="77" t="n"/>
      <c r="G41" s="77" t="n"/>
      <c r="H41" s="77" t="n"/>
      <c r="I41" s="77" t="n"/>
      <c r="J41" s="77" t="n"/>
      <c r="K41" s="77" t="n"/>
      <c r="L41" s="77" t="n"/>
      <c r="M41" s="77" t="n"/>
      <c r="N41" s="77" t="n"/>
      <c r="O41" s="77" t="n"/>
      <c r="P41" s="77" t="n"/>
      <c r="Q41" s="78" t="n"/>
    </row>
    <row r="42">
      <c r="A42" s="77" t="n"/>
      <c r="B42" s="77" t="n"/>
      <c r="C42" s="77" t="n"/>
      <c r="D42" s="77" t="n"/>
      <c r="E42" s="77" t="n"/>
      <c r="F42" s="77" t="n"/>
      <c r="G42" s="77" t="n"/>
      <c r="H42" s="77" t="n"/>
      <c r="I42" s="77" t="n"/>
      <c r="J42" s="77" t="n"/>
      <c r="K42" s="77" t="n"/>
      <c r="L42" s="77" t="n"/>
      <c r="M42" s="77" t="n"/>
      <c r="N42" s="77" t="n"/>
      <c r="O42" s="77" t="n"/>
      <c r="P42" s="77" t="n"/>
      <c r="Q42" s="78" t="n"/>
    </row>
    <row r="43">
      <c r="A43" s="77" t="n"/>
      <c r="B43" s="77" t="n"/>
      <c r="C43" s="77" t="n"/>
      <c r="D43" s="77" t="n"/>
      <c r="E43" s="77" t="n"/>
      <c r="F43" s="77" t="n"/>
      <c r="G43" s="77" t="n"/>
      <c r="H43" s="77" t="n"/>
      <c r="I43" s="77" t="n"/>
      <c r="J43" s="77" t="n"/>
      <c r="K43" s="77" t="n"/>
      <c r="L43" s="77" t="n"/>
      <c r="M43" s="77" t="n"/>
      <c r="N43" s="77" t="n"/>
      <c r="O43" s="77" t="n"/>
      <c r="P43" s="77" t="n"/>
      <c r="Q43" s="78" t="n"/>
    </row>
    <row r="44">
      <c r="A44" s="77" t="n"/>
      <c r="B44" s="77" t="n"/>
      <c r="C44" s="77" t="n"/>
      <c r="D44" s="77" t="n"/>
      <c r="E44" s="77" t="n"/>
      <c r="F44" s="77" t="n"/>
      <c r="G44" s="77" t="n"/>
      <c r="H44" s="77" t="n"/>
      <c r="I44" s="77" t="n"/>
      <c r="J44" s="77" t="n"/>
      <c r="K44" s="77" t="n"/>
      <c r="L44" s="77" t="n"/>
      <c r="M44" s="77" t="n"/>
      <c r="N44" s="77" t="n"/>
      <c r="O44" s="77" t="n"/>
      <c r="P44" s="77" t="n"/>
      <c r="Q44" s="78" t="n"/>
    </row>
    <row r="45">
      <c r="A45" s="77" t="n"/>
      <c r="B45" s="77" t="n"/>
      <c r="C45" s="77" t="n"/>
      <c r="D45" s="77" t="n"/>
      <c r="E45" s="77" t="n"/>
      <c r="F45" s="77" t="n"/>
      <c r="G45" s="77" t="n"/>
      <c r="H45" s="77" t="n"/>
      <c r="I45" s="77" t="n"/>
      <c r="J45" s="77" t="n"/>
      <c r="K45" s="77" t="n"/>
      <c r="L45" s="77" t="n"/>
      <c r="M45" s="77" t="n"/>
      <c r="N45" s="77" t="n"/>
      <c r="O45" s="77" t="n"/>
      <c r="P45" s="77" t="n"/>
      <c r="Q45" s="78" t="n"/>
    </row>
    <row r="46">
      <c r="A46" s="77" t="n"/>
      <c r="B46" s="77" t="n"/>
      <c r="C46" s="77" t="n"/>
      <c r="D46" s="77" t="n"/>
      <c r="E46" s="77" t="n"/>
      <c r="F46" s="77" t="n"/>
      <c r="G46" s="77" t="n"/>
      <c r="H46" s="77" t="n"/>
      <c r="I46" s="77" t="n"/>
      <c r="J46" s="77" t="n"/>
      <c r="K46" s="77" t="n"/>
      <c r="L46" s="77" t="n"/>
      <c r="M46" s="77" t="n"/>
      <c r="N46" s="77" t="n"/>
      <c r="O46" s="77" t="n"/>
      <c r="P46" s="77" t="n"/>
      <c r="Q46" s="78" t="n"/>
    </row>
    <row r="47">
      <c r="A47" s="77" t="n"/>
      <c r="B47" s="77" t="n"/>
      <c r="C47" s="77" t="n"/>
      <c r="D47" s="77" t="n"/>
      <c r="E47" s="77" t="n"/>
      <c r="F47" s="77" t="n"/>
      <c r="G47" s="77" t="n"/>
      <c r="H47" s="77" t="n"/>
      <c r="I47" s="77" t="n"/>
      <c r="J47" s="77" t="n"/>
      <c r="K47" s="77" t="n"/>
      <c r="L47" s="77" t="n"/>
      <c r="M47" s="77" t="n"/>
      <c r="N47" s="77" t="n"/>
      <c r="O47" s="77" t="n"/>
      <c r="P47" s="77" t="n"/>
      <c r="Q47" s="78" t="n"/>
    </row>
    <row r="48">
      <c r="A48" s="77" t="n"/>
      <c r="B48" s="77" t="n"/>
      <c r="C48" s="77" t="n"/>
      <c r="D48" s="77" t="n"/>
      <c r="E48" s="77" t="n"/>
      <c r="F48" s="77" t="n"/>
      <c r="G48" s="77" t="n"/>
      <c r="H48" s="77" t="n"/>
      <c r="I48" s="77" t="n"/>
      <c r="J48" s="77" t="n"/>
      <c r="K48" s="77" t="n"/>
      <c r="L48" s="77" t="n"/>
      <c r="M48" s="77" t="n"/>
      <c r="N48" s="77" t="n"/>
      <c r="O48" s="77" t="n"/>
      <c r="P48" s="77" t="n"/>
      <c r="Q48" s="78" t="n"/>
    </row>
    <row r="49">
      <c r="A49" s="77" t="n"/>
      <c r="B49" s="77" t="n"/>
      <c r="C49" s="77" t="n"/>
      <c r="D49" s="77" t="n"/>
      <c r="E49" s="77" t="n"/>
      <c r="F49" s="77" t="n"/>
      <c r="G49" s="77" t="n"/>
      <c r="H49" s="77" t="n"/>
      <c r="I49" s="77" t="n"/>
      <c r="J49" s="77" t="n"/>
      <c r="K49" s="77" t="n"/>
      <c r="L49" s="77" t="n"/>
      <c r="M49" s="77" t="n"/>
      <c r="N49" s="77" t="n"/>
      <c r="O49" s="77" t="n"/>
      <c r="P49" s="77" t="n"/>
      <c r="Q49" s="78" t="n"/>
    </row>
    <row r="50">
      <c r="A50" s="77" t="n"/>
      <c r="B50" s="77" t="n"/>
      <c r="C50" s="77" t="n"/>
      <c r="D50" s="77" t="n"/>
      <c r="E50" s="77" t="n"/>
      <c r="F50" s="77" t="n"/>
      <c r="G50" s="77" t="n"/>
      <c r="H50" s="77" t="n"/>
      <c r="I50" s="77" t="n"/>
      <c r="J50" s="77" t="n"/>
      <c r="K50" s="77" t="n"/>
      <c r="L50" s="77" t="n"/>
      <c r="M50" s="77" t="n"/>
      <c r="N50" s="77" t="n"/>
      <c r="O50" s="77" t="n"/>
      <c r="P50" s="77" t="n"/>
      <c r="Q50" s="78" t="n"/>
    </row>
    <row r="51">
      <c r="A51" s="77" t="n"/>
      <c r="B51" s="77" t="n"/>
      <c r="C51" s="77" t="n"/>
      <c r="D51" s="77" t="n"/>
      <c r="E51" s="77" t="n"/>
      <c r="F51" s="77" t="n"/>
      <c r="G51" s="77" t="n"/>
      <c r="H51" s="77" t="n"/>
      <c r="I51" s="77" t="n"/>
      <c r="J51" s="77" t="n"/>
      <c r="K51" s="77" t="n"/>
      <c r="L51" s="77" t="n"/>
      <c r="M51" s="77" t="n"/>
      <c r="N51" s="77" t="n"/>
      <c r="O51" s="77" t="n"/>
      <c r="P51" s="77" t="n"/>
      <c r="Q51" s="78" t="n"/>
    </row>
    <row r="52">
      <c r="A52" s="77" t="n"/>
      <c r="B52" s="77" t="n"/>
      <c r="C52" s="77" t="n"/>
      <c r="D52" s="77" t="n"/>
      <c r="E52" s="77" t="n"/>
      <c r="F52" s="77" t="n"/>
      <c r="G52" s="77" t="n"/>
      <c r="H52" s="77" t="n"/>
      <c r="I52" s="77" t="n"/>
      <c r="J52" s="77" t="n"/>
      <c r="K52" s="77" t="n"/>
      <c r="L52" s="77" t="n"/>
      <c r="M52" s="77" t="n"/>
      <c r="N52" s="77" t="n"/>
      <c r="O52" s="77" t="n"/>
      <c r="P52" s="77" t="n"/>
      <c r="Q52" s="78" t="n"/>
    </row>
  </sheetData>
  <autoFilter ref="A4:Q54"/>
  <mergeCells count="3">
    <mergeCell ref="A3:Q3"/>
    <mergeCell ref="A2:Q2"/>
    <mergeCell ref="A1:Q1"/>
  </mergeCells>
  <dataValidations count="2">
    <dataValidation sqref="C5:C12" showDropDown="0" showInputMessage="0" showErrorMessage="0" allowBlank="1" type="list">
      <formula1>='فهرست‌ها'!$B$9:$B$11</formula1>
    </dataValidation>
    <dataValidation sqref="L5:L12" showDropDown="0" showInputMessage="0" showErrorMessage="0" allowBlank="1" type="list">
      <formula1>='فهرست‌ها'!$A$2:$A$7</formula1>
    </dataValidation>
  </dataValidations>
  <hyperlinks>
    <hyperlink ref="D7" location="'برنامه تست'!A5"/>
    <hyperlink ref="D8" location="'برنامه تست'!A5"/>
    <hyperlink ref="D10" location="'برنامه تست'!A9"/>
  </hyperlinks>
  <pageMargins left="0.75" right="0.75" top="1" bottom="1" header="0.5" footer="0.5"/>
  <pageSetup orientation="landscape" fitToHeight="0" fitToWidth="1"/>
</worksheet>
</file>

<file path=xl/worksheets/sheet3.xml><?xml version="1.0" encoding="utf-8"?>
<worksheet xmlns="http://schemas.openxmlformats.org/spreadsheetml/2006/main">
  <sheetPr>
    <tabColor rgb="00808080"/>
    <outlinePr summaryBelow="1" summaryRight="1"/>
    <pageSetUpPr fitToPage="1"/>
  </sheetPr>
  <dimension ref="A1:Q25"/>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64" t="inlineStr">
        <is>
          <t>تست‌های برنامه‌نویسی و هاست (جدا از ولیدیشن عملی برد)</t>
        </is>
      </c>
      <c r="B1" s="50" t="n"/>
      <c r="C1" s="50" t="n"/>
      <c r="D1" s="50" t="n"/>
      <c r="E1" s="50" t="n"/>
      <c r="F1" s="50" t="n"/>
      <c r="G1" s="50" t="n"/>
      <c r="H1" s="50" t="n"/>
      <c r="I1" s="50" t="n"/>
      <c r="J1" s="50" t="n"/>
      <c r="K1" s="50" t="n"/>
      <c r="L1" s="50" t="n"/>
      <c r="M1" s="50" t="n"/>
      <c r="N1" s="50" t="n"/>
      <c r="O1" s="50" t="n"/>
      <c r="P1" s="50" t="n"/>
      <c r="Q1" s="50" t="n"/>
    </row>
    <row r="2" ht="42" customHeight="1">
      <c r="A2" s="50" t="n"/>
      <c r="B2" s="65"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50" t="n"/>
      <c r="D2" s="50" t="n"/>
      <c r="E2" s="50" t="n"/>
      <c r="F2" s="50" t="n"/>
      <c r="G2" s="50" t="n"/>
      <c r="H2" s="50" t="n"/>
      <c r="I2" s="50" t="n"/>
      <c r="J2" s="50" t="n"/>
      <c r="K2" s="50" t="n"/>
      <c r="L2" s="50" t="n"/>
      <c r="M2" s="50" t="n"/>
      <c r="N2" s="50" t="n"/>
      <c r="O2" s="50" t="n"/>
      <c r="P2" s="50" t="n"/>
      <c r="Q2" s="50" t="n"/>
    </row>
    <row r="3">
      <c r="A3" s="50" t="n"/>
      <c r="B3" s="50" t="n"/>
      <c r="C3" s="50" t="n"/>
      <c r="D3" s="50" t="n"/>
      <c r="E3" s="50" t="n"/>
      <c r="F3" s="50" t="n"/>
      <c r="G3" s="50" t="n"/>
      <c r="H3" s="50" t="n"/>
      <c r="I3" s="50" t="n"/>
      <c r="J3" s="50" t="n"/>
      <c r="K3" s="50" t="n"/>
      <c r="L3" s="50" t="n"/>
      <c r="M3" s="50" t="n"/>
      <c r="N3" s="50" t="n"/>
      <c r="O3" s="50" t="n"/>
      <c r="P3" s="50" t="n"/>
      <c r="Q3" s="50" t="n"/>
    </row>
    <row r="4" ht="30" customHeight="1">
      <c r="A4" s="48" t="inlineStr">
        <is>
          <t>شناسه</t>
        </is>
      </c>
      <c r="B4" s="48" t="inlineStr">
        <is>
          <t>دسته</t>
        </is>
      </c>
      <c r="C4" s="48" t="inlineStr">
        <is>
          <t>اولویت</t>
        </is>
      </c>
      <c r="D4" s="48" t="inlineStr">
        <is>
          <t>پیش‌شرط</t>
        </is>
      </c>
      <c r="E4" s="48" t="inlineStr">
        <is>
          <t>روش اجرای دقیق</t>
        </is>
      </c>
      <c r="F4" s="48" t="inlineStr">
        <is>
          <t>ورودی‌ها / شرایط</t>
        </is>
      </c>
      <c r="G4" s="48" t="inlineStr">
        <is>
          <t>مدت مشاهده</t>
        </is>
      </c>
      <c r="H4" s="48" t="inlineStr">
        <is>
          <t>رفتار مورد انتظار</t>
        </is>
      </c>
      <c r="I4" s="48" t="inlineStr">
        <is>
          <t>وضعیت حفظ / latch</t>
        </is>
      </c>
      <c r="J4" s="48" t="inlineStr">
        <is>
          <t>معیار قبولی</t>
        </is>
      </c>
      <c r="K4" s="48" t="inlineStr">
        <is>
          <t>نتیجهٔ واقعی / اندازه‌گیری</t>
        </is>
      </c>
      <c r="L4" s="48" t="inlineStr">
        <is>
          <t>وضعیت</t>
        </is>
      </c>
      <c r="M4" s="48" t="inlineStr">
        <is>
          <t>شرح ایراد / تفاوت</t>
        </is>
      </c>
      <c r="N4" s="48" t="inlineStr">
        <is>
          <t>مدرک تست / scope</t>
        </is>
      </c>
      <c r="O4" s="48" t="inlineStr">
        <is>
          <t>commit</t>
        </is>
      </c>
      <c r="P4" s="48" t="inlineStr">
        <is>
          <t>نام تست‌کننده</t>
        </is>
      </c>
      <c r="Q4" s="48" t="inlineStr">
        <is>
          <t>تاریخ</t>
        </is>
      </c>
    </row>
    <row r="5" ht="54" customHeight="1">
      <c r="A5" s="51" t="inlineStr">
        <is>
          <t>FL-009</t>
        </is>
      </c>
      <c r="B5" s="52" t="inlineStr">
        <is>
          <t>تزریق دستی</t>
        </is>
      </c>
      <c r="C5" s="54" t="inlineStr">
        <is>
          <t>پایین</t>
        </is>
      </c>
      <c r="D5" s="52" t="inlineStr">
        <is>
          <t>دیباگر وصل</t>
        </is>
      </c>
      <c r="E5" s="52" t="inlineStr">
        <is>
          <t>گام ۱: دیباگر را وصل کن و مسیر تست func__Fault_Set/Clear را آماده کن.
گام ۲: چند بیت دلخواه را یک بار Set و یک بار Clear کن.
گام ۳: ماسک را با func__Fault_Get بخوان و func__Fault_Any را چک کن.
گام ۴: ماسک باید دقیقاً همان بیت‌هایی باشد که ست کردی و Any با بودن/نبودن بیت درست جواب دهد.</t>
        </is>
      </c>
      <c r="F5" s="54" t="inlineStr">
        <is>
          <t>بیت‌های دلخواه</t>
        </is>
      </c>
      <c r="G5" s="54" t="inlineStr">
        <is>
          <t>—</t>
        </is>
      </c>
      <c r="H5" s="52" t="inlineStr">
        <is>
          <t>ماسک دقیقاً Set/Clear می‌شود</t>
        </is>
      </c>
      <c r="I5" s="52" t="inlineStr">
        <is>
          <t>—</t>
        </is>
      </c>
      <c r="J5" s="52" t="inlineStr">
        <is>
          <t>Get/Any مطابق</t>
        </is>
      </c>
      <c r="K5" s="52" t="n"/>
      <c r="L5" s="55" t="inlineStr">
        <is>
          <t>در انتظار</t>
        </is>
      </c>
      <c r="M5" s="52" t="n"/>
      <c r="N5" s="52" t="n"/>
      <c r="O5" s="54" t="inlineStr">
        <is>
          <t>TESTER: fill</t>
        </is>
      </c>
      <c r="P5" s="54" t="n"/>
      <c r="Q5" s="56" t="inlineStr">
        <is>
          <t>2026-09-23</t>
        </is>
      </c>
    </row>
    <row r="6">
      <c r="A6" s="51" t="inlineStr">
        <is>
          <t>FA-020</t>
        </is>
      </c>
      <c r="B6" s="52" t="inlineStr">
        <is>
          <t>snapshot zeroing</t>
        </is>
      </c>
      <c r="C6" s="53" t="inlineStr">
        <is>
          <t>بالا</t>
        </is>
      </c>
      <c r="D6" s="52" t="inlineStr">
        <is>
          <t>valid=false</t>
        </is>
      </c>
      <c r="E6" s="52" t="inlineStr">
        <is>
          <t>گام ۱: یک snapshot نامعتبر بساز: valid=false و هر 9 فیلد صفر.
گام ۲: آن را 2 ثانیه به Fault_Evaluate بده.
گام ۳: ماسک خطا را بخوان: هیچ Set یا Clear کاذبی نباید اتفاق افتاده باشد؛ تابع فقط valid را چک می‌کند و بر اساس فیلدهای صفر تصمیم نمی‌گیرد.</t>
        </is>
      </c>
      <c r="F6" s="54" t="inlineStr">
        <is>
          <t>valid=false</t>
        </is>
      </c>
      <c r="G6" s="54" t="inlineStr">
        <is>
          <t>2s</t>
        </is>
      </c>
      <c r="H6" s="52" t="inlineStr">
        <is>
          <t>بدون Set/Clear کاذب؛ فقط valid چک شود؛ هر 9 فیلد صفر شده باشد</t>
        </is>
      </c>
      <c r="I6" s="52" t="inlineStr">
        <is>
          <t>—</t>
        </is>
      </c>
      <c r="J6" s="52" t="inlineStr">
        <is>
          <t>بدون fault کاذب</t>
        </is>
      </c>
      <c r="K6" s="52" t="n"/>
      <c r="L6" s="66" t="inlineStr">
        <is>
          <t>نیاز به تکرار</t>
        </is>
      </c>
      <c r="M6" s="52" t="n"/>
      <c r="N6" s="52" t="n"/>
      <c r="O6" s="54" t="inlineStr">
        <is>
          <t>62f3782</t>
        </is>
      </c>
      <c r="P6" s="54" t="n"/>
      <c r="Q6" s="56">
        <f>IF(OR(L6="",L6="در انتظار"),"",IF(Q6="",TODAY(),Q6))</f>
        <v/>
      </c>
    </row>
    <row r="7">
      <c r="A7" s="50" t="n"/>
      <c r="B7" s="50" t="n"/>
      <c r="C7" s="50" t="n"/>
      <c r="D7" s="50" t="n"/>
      <c r="E7" s="50" t="n"/>
      <c r="F7" s="50" t="n"/>
      <c r="G7" s="50" t="n"/>
      <c r="H7" s="50" t="n"/>
      <c r="I7" s="50" t="n"/>
      <c r="J7" s="50" t="n"/>
      <c r="K7" s="50" t="n"/>
      <c r="L7" s="50" t="n"/>
      <c r="M7" s="50" t="n"/>
      <c r="N7" s="50" t="n"/>
      <c r="O7" s="50" t="n"/>
      <c r="P7" s="50" t="n"/>
      <c r="Q7" s="63">
        <f>IF(OR(L7="",L7="در انتظار"),"",IF(Q7="",TODAY(),Q7))</f>
        <v/>
      </c>
    </row>
    <row r="8">
      <c r="A8" s="50" t="n"/>
      <c r="B8" s="50" t="n"/>
      <c r="C8" s="50" t="n"/>
      <c r="D8" s="50" t="n"/>
      <c r="E8" s="50" t="n"/>
      <c r="F8" s="50" t="n"/>
      <c r="G8" s="50" t="n"/>
      <c r="H8" s="50" t="n"/>
      <c r="I8" s="50" t="n"/>
      <c r="J8" s="50" t="n"/>
      <c r="K8" s="50" t="n"/>
      <c r="L8" s="50" t="n"/>
      <c r="M8" s="50" t="n"/>
      <c r="N8" s="50" t="n"/>
      <c r="O8" s="50" t="n"/>
      <c r="P8" s="50" t="n"/>
      <c r="Q8" s="63">
        <f>IF(OR(L8="",L8="در انتظار"),"",IF(Q8="",TODAY(),Q8))</f>
        <v/>
      </c>
    </row>
    <row r="9">
      <c r="A9" s="50" t="n"/>
      <c r="B9" s="50" t="n"/>
      <c r="C9" s="50" t="n"/>
      <c r="D9" s="50" t="n"/>
      <c r="E9" s="50" t="n"/>
      <c r="F9" s="50" t="n"/>
      <c r="G9" s="50" t="n"/>
      <c r="H9" s="50" t="n"/>
      <c r="I9" s="50" t="n"/>
      <c r="J9" s="50" t="n"/>
      <c r="K9" s="50" t="n"/>
      <c r="L9" s="50" t="n"/>
      <c r="M9" s="50" t="n"/>
      <c r="N9" s="50" t="n"/>
      <c r="O9" s="50" t="n"/>
      <c r="P9" s="50" t="n"/>
      <c r="Q9" s="63">
        <f>IF(OR(L9="",L9="در انتظار"),"",IF(Q9="",TODAY(),Q9))</f>
        <v/>
      </c>
    </row>
    <row r="10">
      <c r="A10" s="50" t="n"/>
      <c r="B10" s="50" t="n"/>
      <c r="C10" s="50" t="n"/>
      <c r="D10" s="50" t="n"/>
      <c r="E10" s="50" t="n"/>
      <c r="F10" s="50" t="n"/>
      <c r="G10" s="50" t="n"/>
      <c r="H10" s="50" t="n"/>
      <c r="I10" s="50" t="n"/>
      <c r="J10" s="50" t="n"/>
      <c r="K10" s="50" t="n"/>
      <c r="L10" s="50" t="n"/>
      <c r="M10" s="50" t="n"/>
      <c r="N10" s="50" t="n"/>
      <c r="O10" s="50" t="n"/>
      <c r="P10" s="50" t="n"/>
      <c r="Q10" s="63">
        <f>IF(OR(L10="",L10="در انتظار"),"",IF(Q10="",TODAY(),Q10))</f>
        <v/>
      </c>
    </row>
    <row r="11">
      <c r="A11" s="50" t="n"/>
      <c r="B11" s="50" t="n"/>
      <c r="C11" s="50" t="n"/>
      <c r="D11" s="50" t="n"/>
      <c r="E11" s="50" t="n"/>
      <c r="F11" s="50" t="n"/>
      <c r="G11" s="50" t="n"/>
      <c r="H11" s="50" t="n"/>
      <c r="I11" s="50" t="n"/>
      <c r="J11" s="50" t="n"/>
      <c r="K11" s="50" t="n"/>
      <c r="L11" s="50" t="n"/>
      <c r="M11" s="50" t="n"/>
      <c r="N11" s="50" t="n"/>
      <c r="O11" s="50" t="n"/>
      <c r="P11" s="50" t="n"/>
      <c r="Q11" s="63">
        <f>IF(OR(L11="",L11="در انتظار"),"",IF(Q11="",TODAY(),Q11))</f>
        <v/>
      </c>
    </row>
    <row r="12">
      <c r="A12" s="50" t="n"/>
      <c r="B12" s="50" t="n"/>
      <c r="C12" s="50" t="n"/>
      <c r="D12" s="50" t="n"/>
      <c r="E12" s="50" t="n"/>
      <c r="F12" s="50" t="n"/>
      <c r="G12" s="50" t="n"/>
      <c r="H12" s="50" t="n"/>
      <c r="I12" s="50" t="n"/>
      <c r="J12" s="50" t="n"/>
      <c r="K12" s="50" t="n"/>
      <c r="L12" s="50" t="n"/>
      <c r="M12" s="50" t="n"/>
      <c r="N12" s="50" t="n"/>
      <c r="O12" s="50" t="n"/>
      <c r="P12" s="50" t="n"/>
      <c r="Q12" s="63">
        <f>IF(OR(L12="",L12="در انتظار"),"",IF(Q12="",TODAY(),Q12))</f>
        <v/>
      </c>
    </row>
    <row r="13">
      <c r="A13" s="50" t="n"/>
      <c r="B13" s="50" t="n"/>
      <c r="C13" s="50" t="n"/>
      <c r="D13" s="50" t="n"/>
      <c r="E13" s="50" t="n"/>
      <c r="F13" s="50" t="n"/>
      <c r="G13" s="50" t="n"/>
      <c r="H13" s="50" t="n"/>
      <c r="I13" s="50" t="n"/>
      <c r="J13" s="50" t="n"/>
      <c r="K13" s="50" t="n"/>
      <c r="L13" s="50" t="n"/>
      <c r="M13" s="50" t="n"/>
      <c r="N13" s="50" t="n"/>
      <c r="O13" s="50" t="n"/>
      <c r="P13" s="50" t="n"/>
      <c r="Q13" s="63">
        <f>IF(OR(L13="",L13="در انتظار"),"",IF(Q13="",TODAY(),Q13))</f>
        <v/>
      </c>
    </row>
    <row r="14">
      <c r="A14" s="50" t="n"/>
      <c r="B14" s="50" t="n"/>
      <c r="C14" s="50" t="n"/>
      <c r="D14" s="50" t="n"/>
      <c r="E14" s="50" t="n"/>
      <c r="F14" s="50" t="n"/>
      <c r="G14" s="50" t="n"/>
      <c r="H14" s="50" t="n"/>
      <c r="I14" s="50" t="n"/>
      <c r="J14" s="50" t="n"/>
      <c r="K14" s="50" t="n"/>
      <c r="L14" s="50" t="n"/>
      <c r="M14" s="50" t="n"/>
      <c r="N14" s="50" t="n"/>
      <c r="O14" s="50" t="n"/>
      <c r="P14" s="50" t="n"/>
      <c r="Q14" s="63">
        <f>IF(OR(L14="",L14="در انتظار"),"",IF(Q14="",TODAY(),Q14))</f>
        <v/>
      </c>
    </row>
    <row r="15">
      <c r="A15" s="50" t="n"/>
      <c r="B15" s="50" t="n"/>
      <c r="C15" s="50" t="n"/>
      <c r="D15" s="50" t="n"/>
      <c r="E15" s="50" t="n"/>
      <c r="F15" s="50" t="n"/>
      <c r="G15" s="50" t="n"/>
      <c r="H15" s="50" t="n"/>
      <c r="I15" s="50" t="n"/>
      <c r="J15" s="50" t="n"/>
      <c r="K15" s="50" t="n"/>
      <c r="L15" s="50" t="n"/>
      <c r="M15" s="50" t="n"/>
      <c r="N15" s="50" t="n"/>
      <c r="O15" s="50" t="n"/>
      <c r="P15" s="50" t="n"/>
      <c r="Q15" s="63">
        <f>IF(OR(L15="",L15="در انتظار"),"",IF(Q15="",TODAY(),Q15))</f>
        <v/>
      </c>
    </row>
    <row r="16">
      <c r="A16" s="50" t="n"/>
      <c r="B16" s="50" t="n"/>
      <c r="C16" s="50" t="n"/>
      <c r="D16" s="50" t="n"/>
      <c r="E16" s="50" t="n"/>
      <c r="F16" s="50" t="n"/>
      <c r="G16" s="50" t="n"/>
      <c r="H16" s="50" t="n"/>
      <c r="I16" s="50" t="n"/>
      <c r="J16" s="50" t="n"/>
      <c r="K16" s="50" t="n"/>
      <c r="L16" s="50" t="n"/>
      <c r="M16" s="50" t="n"/>
      <c r="N16" s="50" t="n"/>
      <c r="O16" s="50" t="n"/>
      <c r="P16" s="50" t="n"/>
      <c r="Q16" s="63">
        <f>IF(OR(L16="",L16="در انتظار"),"",IF(Q16="",TODAY(),Q16))</f>
        <v/>
      </c>
    </row>
    <row r="17">
      <c r="A17" s="50" t="n"/>
      <c r="B17" s="50" t="n"/>
      <c r="C17" s="50" t="n"/>
      <c r="D17" s="50" t="n"/>
      <c r="E17" s="50" t="n"/>
      <c r="F17" s="50" t="n"/>
      <c r="G17" s="50" t="n"/>
      <c r="H17" s="50" t="n"/>
      <c r="I17" s="50" t="n"/>
      <c r="J17" s="50" t="n"/>
      <c r="K17" s="50" t="n"/>
      <c r="L17" s="50" t="n"/>
      <c r="M17" s="50" t="n"/>
      <c r="N17" s="50" t="n"/>
      <c r="O17" s="50" t="n"/>
      <c r="P17" s="50" t="n"/>
      <c r="Q17" s="63">
        <f>IF(OR(L17="",L17="در انتظار"),"",IF(Q17="",TODAY(),Q17))</f>
        <v/>
      </c>
    </row>
    <row r="18">
      <c r="A18" s="50" t="n"/>
      <c r="B18" s="50" t="n"/>
      <c r="C18" s="50" t="n"/>
      <c r="D18" s="50" t="n"/>
      <c r="E18" s="50" t="n"/>
      <c r="F18" s="50" t="n"/>
      <c r="G18" s="50" t="n"/>
      <c r="H18" s="50" t="n"/>
      <c r="I18" s="50" t="n"/>
      <c r="J18" s="50" t="n"/>
      <c r="K18" s="50" t="n"/>
      <c r="L18" s="50" t="n"/>
      <c r="M18" s="50" t="n"/>
      <c r="N18" s="50" t="n"/>
      <c r="O18" s="50" t="n"/>
      <c r="P18" s="50" t="n"/>
      <c r="Q18" s="63">
        <f>IF(OR(L18="",L18="در انتظار"),"",IF(Q18="",TODAY(),Q18))</f>
        <v/>
      </c>
    </row>
    <row r="19">
      <c r="A19" s="50" t="n"/>
      <c r="B19" s="50" t="n"/>
      <c r="C19" s="50" t="n"/>
      <c r="D19" s="50" t="n"/>
      <c r="E19" s="50" t="n"/>
      <c r="F19" s="50" t="n"/>
      <c r="G19" s="50" t="n"/>
      <c r="H19" s="50" t="n"/>
      <c r="I19" s="50" t="n"/>
      <c r="J19" s="50" t="n"/>
      <c r="K19" s="50" t="n"/>
      <c r="L19" s="50" t="n"/>
      <c r="M19" s="50" t="n"/>
      <c r="N19" s="50" t="n"/>
      <c r="O19" s="50" t="n"/>
      <c r="P19" s="50" t="n"/>
      <c r="Q19" s="63">
        <f>IF(OR(L19="",L19="در انتظار"),"",IF(Q19="",TODAY(),Q19))</f>
        <v/>
      </c>
    </row>
    <row r="20">
      <c r="A20" s="50" t="n"/>
      <c r="B20" s="50" t="n"/>
      <c r="C20" s="50" t="n"/>
      <c r="D20" s="50" t="n"/>
      <c r="E20" s="50" t="n"/>
      <c r="F20" s="50" t="n"/>
      <c r="G20" s="50" t="n"/>
      <c r="H20" s="50" t="n"/>
      <c r="I20" s="50" t="n"/>
      <c r="J20" s="50" t="n"/>
      <c r="K20" s="50" t="n"/>
      <c r="L20" s="50" t="n"/>
      <c r="M20" s="50" t="n"/>
      <c r="N20" s="50" t="n"/>
      <c r="O20" s="50" t="n"/>
      <c r="P20" s="50" t="n"/>
      <c r="Q20" s="63">
        <f>IF(OR(L20="",L20="در انتظار"),"",IF(Q20="",TODAY(),Q20))</f>
        <v/>
      </c>
    </row>
    <row r="21">
      <c r="A21" s="50" t="n"/>
      <c r="B21" s="50" t="n"/>
      <c r="C21" s="50" t="n"/>
      <c r="D21" s="50" t="n"/>
      <c r="E21" s="50" t="n"/>
      <c r="F21" s="50" t="n"/>
      <c r="G21" s="50" t="n"/>
      <c r="H21" s="50" t="n"/>
      <c r="I21" s="50" t="n"/>
      <c r="J21" s="50" t="n"/>
      <c r="K21" s="50" t="n"/>
      <c r="L21" s="50" t="n"/>
      <c r="M21" s="50" t="n"/>
      <c r="N21" s="50" t="n"/>
      <c r="O21" s="50" t="n"/>
      <c r="P21" s="50" t="n"/>
      <c r="Q21" s="63">
        <f>IF(OR(L21="",L21="در انتظار"),"",IF(Q21="",TODAY(),Q21))</f>
        <v/>
      </c>
    </row>
    <row r="22">
      <c r="A22" s="50" t="n"/>
      <c r="B22" s="50" t="n"/>
      <c r="C22" s="50" t="n"/>
      <c r="D22" s="50" t="n"/>
      <c r="E22" s="50" t="n"/>
      <c r="F22" s="50" t="n"/>
      <c r="G22" s="50" t="n"/>
      <c r="H22" s="50" t="n"/>
      <c r="I22" s="50" t="n"/>
      <c r="J22" s="50" t="n"/>
      <c r="K22" s="50" t="n"/>
      <c r="L22" s="50" t="n"/>
      <c r="M22" s="50" t="n"/>
      <c r="N22" s="50" t="n"/>
      <c r="O22" s="50" t="n"/>
      <c r="P22" s="50" t="n"/>
      <c r="Q22" s="63">
        <f>IF(OR(L22="",L22="در انتظار"),"",IF(Q22="",TODAY(),Q22))</f>
        <v/>
      </c>
    </row>
    <row r="23">
      <c r="A23" s="50" t="n"/>
      <c r="B23" s="50" t="n"/>
      <c r="C23" s="50" t="n"/>
      <c r="D23" s="50" t="n"/>
      <c r="E23" s="50" t="n"/>
      <c r="F23" s="50" t="n"/>
      <c r="G23" s="50" t="n"/>
      <c r="H23" s="50" t="n"/>
      <c r="I23" s="50" t="n"/>
      <c r="J23" s="50" t="n"/>
      <c r="K23" s="50" t="n"/>
      <c r="L23" s="50" t="n"/>
      <c r="M23" s="50" t="n"/>
      <c r="N23" s="50" t="n"/>
      <c r="O23" s="50" t="n"/>
      <c r="P23" s="50" t="n"/>
      <c r="Q23" s="63">
        <f>IF(OR(L23="",L23="در انتظار"),"",IF(Q23="",TODAY(),Q23))</f>
        <v/>
      </c>
    </row>
    <row r="24">
      <c r="A24" s="50" t="n"/>
      <c r="B24" s="50" t="n"/>
      <c r="C24" s="50" t="n"/>
      <c r="D24" s="50" t="n"/>
      <c r="E24" s="50" t="n"/>
      <c r="F24" s="50" t="n"/>
      <c r="G24" s="50" t="n"/>
      <c r="H24" s="50" t="n"/>
      <c r="I24" s="50" t="n"/>
      <c r="J24" s="50" t="n"/>
      <c r="K24" s="50" t="n"/>
      <c r="L24" s="50" t="n"/>
      <c r="M24" s="50" t="n"/>
      <c r="N24" s="50" t="n"/>
      <c r="O24" s="50" t="n"/>
      <c r="P24" s="50" t="n"/>
      <c r="Q24" s="63">
        <f>IF(OR(L24="",L24="در انتظار"),"",IF(Q24="",TODAY(),Q24))</f>
        <v/>
      </c>
    </row>
    <row r="25">
      <c r="A25" s="50" t="n"/>
      <c r="B25" s="50" t="n"/>
      <c r="C25" s="50" t="n"/>
      <c r="D25" s="50" t="n"/>
      <c r="E25" s="50" t="n"/>
      <c r="F25" s="50" t="n"/>
      <c r="G25" s="50" t="n"/>
      <c r="H25" s="50" t="n"/>
      <c r="I25" s="50" t="n"/>
      <c r="J25" s="50" t="n"/>
      <c r="K25" s="50" t="n"/>
      <c r="L25" s="50" t="n"/>
      <c r="M25" s="50" t="n"/>
      <c r="N25" s="50" t="n"/>
      <c r="O25" s="50" t="n"/>
      <c r="P25" s="50" t="n"/>
      <c r="Q25" s="63">
        <f>IF(OR(L25="",L25="در انتظار"),"",IF(Q25="",TODAY(),Q25))</f>
        <v/>
      </c>
    </row>
  </sheetData>
  <autoFilter ref="A4:Q5"/>
  <dataValidations count="1">
    <dataValidation sqref="L5 L6 L7 L8 L9 L10 L11 L12 L13 L14 L15 L16 L17 L18 L19 L20 L21 L22 L23 L24 L25"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BF8F00"/>
    <outlinePr summaryBelow="1" summaryRight="1"/>
    <pageSetUpPr/>
  </sheetPr>
  <dimension ref="A1:E8"/>
  <sheetViews>
    <sheetView rightToLeft="1"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30" customHeight="1">
      <c r="A1" s="48" t="inlineStr">
        <is>
          <t>مرجع سریع سناریوها و ثابت‌های ماژول Fault</t>
        </is>
      </c>
      <c r="B1" s="40" t="n"/>
      <c r="C1" s="40" t="n"/>
      <c r="D1" s="40" t="n"/>
      <c r="E1" s="41" t="n"/>
    </row>
    <row r="2">
      <c r="A2" s="50" t="n"/>
      <c r="B2" s="50" t="n"/>
      <c r="C2" s="50" t="n"/>
      <c r="D2" s="50" t="n"/>
      <c r="E2" s="50" t="n"/>
    </row>
    <row r="3">
      <c r="A3" s="69" t="inlineStr">
        <is>
          <t>موضوع</t>
        </is>
      </c>
      <c r="B3" s="69" t="inlineStr">
        <is>
          <t>شرط / مقدار</t>
        </is>
      </c>
      <c r="C3" s="69" t="inlineStr">
        <is>
          <t>رفتار مورد انتظار</t>
        </is>
      </c>
      <c r="D3" s="69" t="inlineStr">
        <is>
          <t>ثابت / محل کد</t>
        </is>
      </c>
      <c r="E3" s="69" t="inlineStr">
        <is>
          <t>توضیح</t>
        </is>
      </c>
    </row>
    <row r="4">
      <c r="A4" s="70" t="inlineStr">
        <is>
          <t>قاعدهٔ پمپ</t>
        </is>
      </c>
      <c r="B4" s="70" t="inlineStr">
        <is>
          <t>&gt;14.8V حین BULK/ABSORB، 150ms</t>
        </is>
      </c>
      <c r="C4" s="70" t="inlineStr">
        <is>
          <t>قفل FAULT_CHARGER_BAT_LOST</t>
        </is>
      </c>
      <c r="D4" s="70" t="inlineStr">
        <is>
          <t>FAULT_BAT_DISCONNECT_MV / FAULT_BAT_DISCONNECT_DEBOUNCE_MS</t>
        </is>
      </c>
      <c r="E4" s="70" t="inlineStr">
        <is>
          <t>فقط کانال فعال</t>
        </is>
      </c>
    </row>
    <row r="5">
      <c r="A5" s="70" t="inlineStr">
        <is>
          <t>قاعدهٔ غیبت</t>
        </is>
      </c>
      <c r="B5" s="70" t="inlineStr">
        <is>
          <t>هر نیم &lt;6V با ورودی سالم، 1s</t>
        </is>
      </c>
      <c r="C5" s="70" t="inlineStr">
        <is>
          <t>قفل FAULT_CHARGER_BAT_LOST</t>
        </is>
      </c>
      <c r="D5" s="70" t="inlineStr">
        <is>
          <t>FAULT_BAT_ABSENT_MV / FAULT_BAT_ABSENT_DEBOUNCE_MS</t>
        </is>
      </c>
      <c r="E5" s="70" t="inlineStr">
        <is>
          <t>هرکدام، نه هر دو</t>
        </is>
      </c>
    </row>
    <row r="6">
      <c r="A6" s="70" t="inlineStr">
        <is>
          <t>بازیابی</t>
        </is>
      </c>
      <c r="B6" s="70" t="inlineStr">
        <is>
          <t>هر دو نیم ≥7V بدون پمپ، 1s</t>
        </is>
      </c>
      <c r="C6" s="70" t="inlineStr">
        <is>
          <t>پاک شدن بیت</t>
        </is>
      </c>
      <c r="D6" s="70" t="inlineStr">
        <is>
          <t>FAULT_BATTERY_BACK_MV / FAULT_BAT_RECOVER_MS</t>
        </is>
      </c>
      <c r="E6" s="70" t="inlineStr">
        <is>
          <t>هیسترزیس 1V</t>
        </is>
      </c>
    </row>
    <row r="7">
      <c r="A7" s="70" t="inlineStr">
        <is>
          <t>فریز مود دستی</t>
        </is>
      </c>
      <c r="B7" s="70" t="inlineStr">
        <is>
          <t>IsManualTestModeActive</t>
        </is>
      </c>
      <c r="C7" s="70" t="inlineStr">
        <is>
          <t>بدون Set/Clear، تمپ صفر</t>
        </is>
      </c>
      <c r="D7" s="71" t="inlineStr">
        <is>
          <t>fault.c (v1.2)</t>
        </is>
      </c>
      <c r="E7" s="70" t="inlineStr">
        <is>
          <t>پمپ عمدی عادی‌سازی شد</t>
        </is>
      </c>
    </row>
    <row r="8">
      <c r="A8" s="70" t="inlineStr">
        <is>
          <t>بیت‌های ماسک</t>
        </is>
      </c>
      <c r="B8" s="71" t="inlineStr">
        <is>
          <t>0..6 در app_types.h</t>
        </is>
      </c>
      <c r="C8" s="70" t="inlineStr">
        <is>
          <t>FAULT_CHARGER_BAT_LOST (بیت ۶)</t>
        </is>
      </c>
      <c r="D8" s="70" t="inlineStr">
        <is>
          <t>FAULT_*</t>
        </is>
      </c>
      <c r="E8" s="70" t="inlineStr">
        <is>
          <t>0x40 در تله‌متری</t>
        </is>
      </c>
    </row>
  </sheetData>
  <mergeCells count="1">
    <mergeCell ref="A1:E1"/>
  </mergeCells>
  <hyperlinks>
    <hyperlink xmlns:r="http://schemas.openxmlformats.org/officeDocument/2006/relationships" ref="D7" r:id="rId1"/>
    <hyperlink xmlns:r="http://schemas.openxmlformats.org/officeDocument/2006/relationships" ref="B8" r:id="rId2"/>
  </hyperlinks>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1:M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46" t="inlineStr">
        <is>
          <t>ثبت ایرادهای مشاهده‌شده — ماژول Fault</t>
        </is>
      </c>
    </row>
    <row r="2" ht="30" customHeight="1">
      <c r="A2" s="48" t="inlineStr">
        <is>
          <t>برای هر وضعیت «رد» یا تفاوت مهم، یک ردیف با شناسهٔ یکتا ثبت و پس از اصلاح دوباره تست شود.</t>
        </is>
      </c>
      <c r="B2" s="40" t="n"/>
      <c r="C2" s="40" t="n"/>
      <c r="D2" s="40" t="n"/>
      <c r="E2" s="40" t="n"/>
      <c r="F2" s="40" t="n"/>
      <c r="G2" s="40" t="n"/>
      <c r="H2" s="40" t="n"/>
      <c r="I2" s="40" t="n"/>
      <c r="J2" s="40" t="n"/>
      <c r="K2" s="40" t="n"/>
      <c r="L2" s="40" t="n"/>
      <c r="M2" s="41" t="n"/>
    </row>
    <row r="3">
      <c r="A3" s="69" t="inlineStr">
        <is>
          <t>شماره ایراد</t>
        </is>
      </c>
      <c r="B3" s="69" t="inlineStr">
        <is>
          <t>شناسه تست</t>
        </is>
      </c>
      <c r="C3" s="69" t="inlineStr">
        <is>
          <t>تاریخ کشف</t>
        </is>
      </c>
      <c r="D3" s="69" t="inlineStr">
        <is>
          <t>شدت</t>
        </is>
      </c>
      <c r="E3" s="69" t="inlineStr">
        <is>
          <t>شرح کوتاه ایراد</t>
        </is>
      </c>
      <c r="F3" s="69" t="inlineStr">
        <is>
          <t>مراحل بازتولید</t>
        </is>
      </c>
      <c r="G3" s="69" t="inlineStr">
        <is>
          <t>انتظار</t>
        </is>
      </c>
      <c r="H3" s="69" t="inlineStr">
        <is>
          <t>واقعیت</t>
        </is>
      </c>
      <c r="I3" s="69" t="inlineStr">
        <is>
          <t>مدرک/مسیر عکس یا scope</t>
        </is>
      </c>
      <c r="J3" s="69" t="inlineStr">
        <is>
          <t>commit firmware</t>
        </is>
      </c>
      <c r="K3" s="69" t="inlineStr">
        <is>
          <t>محل احتمالی</t>
        </is>
      </c>
      <c r="L3" s="69" t="inlineStr">
        <is>
          <t>وضعیت ایراد</t>
        </is>
      </c>
      <c r="M3" s="69" t="inlineStr">
        <is>
          <t>تأیید رفع / توضیحات</t>
        </is>
      </c>
    </row>
  </sheetData>
  <mergeCells count="2">
    <mergeCell ref="A2:M2"/>
    <mergeCell ref="A1:M1"/>
  </mergeCells>
  <pageMargins left="0.75" right="0.75" top="1" bottom="1" header="0.5" footer="0.5"/>
</worksheet>
</file>

<file path=xl/worksheets/sheet6.xml><?xml version="1.0" encoding="utf-8"?>
<worksheet xmlns="http://schemas.openxmlformats.org/spreadsheetml/2006/main">
  <sheetPr>
    <tabColor rgb="00548235"/>
    <outlinePr summaryBelow="1" summaryRight="1"/>
    <pageSetUpPr/>
  </sheetPr>
  <dimension ref="A1:C19"/>
  <sheetViews>
    <sheetView rightToLeft="1" workbookViewId="0">
      <selection activeCell="A1" sqref="A1"/>
    </sheetView>
  </sheetViews>
  <sheetFormatPr baseColWidth="8" defaultRowHeight="15"/>
  <cols>
    <col width="20" customWidth="1" min="1" max="1"/>
    <col width="26" customWidth="1" min="2" max="2"/>
    <col width="30" customWidth="1" min="3" max="3"/>
  </cols>
  <sheetData>
    <row r="1">
      <c r="A1" s="46" t="inlineStr">
        <is>
          <t>تأیید نهایی اعتبارسنجی — ماژول Fault</t>
        </is>
      </c>
    </row>
    <row r="2">
      <c r="A2" s="47" t="inlineStr">
        <is>
          <t>این صفحه فقط پس از تکمیل تست‌ها و بسته‌شدن ایرادها پر می‌شود.</t>
        </is>
      </c>
    </row>
    <row r="3">
      <c r="A3" s="47" t="inlineStr">
        <is>
          <t>مشخصات تست</t>
        </is>
      </c>
    </row>
    <row r="4">
      <c r="A4" s="47" t="inlineStr">
        <is>
          <t>پروژه</t>
        </is>
      </c>
      <c r="B4" s="47" t="inlineStr">
        <is>
          <t>ChangeOver</t>
        </is>
      </c>
      <c r="C4" s="50" t="n"/>
    </row>
    <row r="5">
      <c r="A5" s="47" t="inlineStr">
        <is>
          <t>ماژول</t>
        </is>
      </c>
      <c r="B5" s="47" t="inlineStr">
        <is>
          <t>Fault — تشخیص متمرکز قطع باتری</t>
        </is>
      </c>
      <c r="C5" s="50" t="n"/>
    </row>
    <row r="6">
      <c r="A6" s="47" t="inlineStr">
        <is>
          <t>تاریخ ساخت فرم</t>
        </is>
      </c>
      <c r="B6" s="47" t="inlineStr">
        <is>
          <t>2026-09-23 (1.0 — شامل فریز v1.2)</t>
        </is>
      </c>
      <c r="C6" s="50" t="n"/>
    </row>
    <row r="7">
      <c r="A7" s="47" t="inlineStr">
        <is>
          <t>نسخه فرم</t>
        </is>
      </c>
      <c r="B7" s="47" t="inlineStr">
        <is>
          <t>1.0</t>
        </is>
      </c>
      <c r="C7" s="50" t="n"/>
    </row>
    <row r="8">
      <c r="A8" s="47" t="inlineStr">
        <is>
          <t>commit firmware</t>
        </is>
      </c>
      <c r="B8" s="47" t="inlineStr">
        <is>
          <t>TESTER: fill</t>
        </is>
      </c>
      <c r="C8" s="50" t="n"/>
    </row>
    <row r="9">
      <c r="A9" s="47" t="inlineStr">
        <is>
          <t>ابزار</t>
        </is>
      </c>
      <c r="B9" s="47" t="inlineStr">
        <is>
          <t>پنل ESP + مولتی‌متر + سیم‌کشی تست</t>
        </is>
      </c>
      <c r="C9" s="50" t="n"/>
    </row>
    <row r="10">
      <c r="A10" s="50" t="n"/>
      <c r="B10" s="50" t="n"/>
      <c r="C10" s="50" t="n"/>
    </row>
    <row r="11">
      <c r="A11" s="72" t="inlineStr">
        <is>
          <t>خلاصهٔ خودکار وضعیت تست‌ها</t>
        </is>
      </c>
      <c r="B11" s="50" t="n"/>
      <c r="C11" s="50" t="n"/>
    </row>
    <row r="12">
      <c r="A12" s="69" t="inlineStr">
        <is>
          <t>شاخص</t>
        </is>
      </c>
      <c r="B12" s="69" t="inlineStr">
        <is>
          <t>مقدار</t>
        </is>
      </c>
      <c r="C12" s="69" t="inlineStr">
        <is>
          <t>توضیح</t>
        </is>
      </c>
    </row>
    <row r="13">
      <c r="A13" s="73" t="inlineStr">
        <is>
          <t>کل تست‌ها</t>
        </is>
      </c>
      <c r="B13" s="73" t="n">
        <v>10</v>
      </c>
      <c r="C13" s="73" t="inlineStr">
        <is>
          <t>همهٔ ردیف‌های برنامه تست</t>
        </is>
      </c>
    </row>
    <row r="14">
      <c r="A14" s="73" t="inlineStr">
        <is>
          <t>قبول</t>
        </is>
      </c>
      <c r="B14" s="73">
        <f>COUNTIF('برنامه تست'!L:L,"قبول")</f>
        <v/>
      </c>
      <c r="C14" s="73" t="inlineStr">
        <is>
          <t>COUNTIF برنامه تست</t>
        </is>
      </c>
    </row>
    <row r="15">
      <c r="A15" s="73" t="inlineStr">
        <is>
          <t>رد</t>
        </is>
      </c>
      <c r="B15" s="73">
        <f>COUNTIF('برنامه تست'!L:L,"رد")</f>
        <v/>
      </c>
      <c r="C15" s="73" t="inlineStr">
        <is>
          <t>COUNTIF رد</t>
        </is>
      </c>
    </row>
    <row r="16">
      <c r="A16" s="73" t="inlineStr">
        <is>
          <t>در انتظار</t>
        </is>
      </c>
      <c r="B16" s="73">
        <f>COUNTIF('برنامه تست'!L:L,"در انتظار")</f>
        <v/>
      </c>
      <c r="C16" s="73" t="inlineStr">
        <is>
          <t>پیش از تست برد</t>
        </is>
      </c>
    </row>
    <row r="17">
      <c r="A17" s="73" t="inlineStr">
        <is>
          <t>نرخ قبولی</t>
        </is>
      </c>
      <c r="B17" s="73">
        <f>IF(10=0,0,COUNTIF('برنامه تست'!L:L,"قبول")/10)</f>
        <v/>
      </c>
      <c r="C17" s="73" t="inlineStr">
        <is>
          <t>قبول/کل</t>
        </is>
      </c>
    </row>
    <row r="18">
      <c r="A18" s="50" t="n"/>
      <c r="B18" s="50" t="n"/>
      <c r="C18" s="50" t="n"/>
    </row>
    <row r="19">
      <c r="A19" s="72" t="inlineStr">
        <is>
          <t>امضا و تأیید: تست‌کننده ______  بازبین ______  تاریخ ______</t>
        </is>
      </c>
      <c r="B19" s="50" t="n"/>
      <c r="C19" s="50" t="n"/>
    </row>
  </sheetData>
  <mergeCells count="3">
    <mergeCell ref="A1:C1"/>
    <mergeCell ref="A3:C3"/>
    <mergeCell ref="A2:C2"/>
  </mergeCells>
  <pageMargins left="0.75" right="0.75" top="1" bottom="1" header="0.5" footer="0.5"/>
</worksheet>
</file>

<file path=xl/worksheets/sheet7.xml><?xml version="1.0" encoding="utf-8"?>
<worksheet xmlns="http://schemas.openxmlformats.org/spreadsheetml/2006/main">
  <sheetPr>
    <tabColor rgb="00808080"/>
    <outlinePr summaryBelow="1" summaryRight="1"/>
    <pageSetUpPr/>
  </sheetPr>
  <dimension ref="A1:B17"/>
  <sheetViews>
    <sheetView rightToLeft="1" workbookViewId="0">
      <selection activeCell="A1" sqref="A1"/>
    </sheetView>
  </sheetViews>
  <sheetFormatPr baseColWidth="8" defaultRowHeight="15"/>
  <cols>
    <col width="16" customWidth="1" min="1" max="1"/>
    <col width="16" customWidth="1" min="2" max="2"/>
  </cols>
  <sheetData>
    <row r="1">
      <c r="A1" s="74" t="inlineStr">
        <is>
          <t>وضعیت</t>
        </is>
      </c>
      <c r="B1" s="50" t="n"/>
    </row>
    <row r="2">
      <c r="A2" s="75" t="inlineStr">
        <is>
          <t>در انتظار</t>
        </is>
      </c>
      <c r="B2" s="50" t="n"/>
    </row>
    <row r="3">
      <c r="A3" s="75" t="inlineStr">
        <is>
          <t>انجام شد</t>
        </is>
      </c>
      <c r="B3" s="50" t="n"/>
    </row>
    <row r="4">
      <c r="A4" s="75" t="inlineStr">
        <is>
          <t>قبول</t>
        </is>
      </c>
      <c r="B4" s="50" t="n"/>
    </row>
    <row r="5">
      <c r="A5" s="75" t="inlineStr">
        <is>
          <t>رد</t>
        </is>
      </c>
      <c r="B5" s="50" t="n"/>
    </row>
    <row r="6">
      <c r="A6" s="75" t="inlineStr">
        <is>
          <t>مسدود</t>
        </is>
      </c>
      <c r="B6" s="50" t="n"/>
    </row>
    <row r="7">
      <c r="A7" s="50" t="inlineStr">
        <is>
          <t>نیاز به تکرار</t>
        </is>
      </c>
      <c r="B7" s="50" t="n"/>
    </row>
    <row r="8">
      <c r="A8" s="74" t="inlineStr">
        <is>
          <t>اولویت</t>
        </is>
      </c>
      <c r="B8" s="50" t="n"/>
    </row>
    <row r="9">
      <c r="A9" s="50" t="n"/>
      <c r="B9" s="75" t="inlineStr">
        <is>
          <t>بالا</t>
        </is>
      </c>
    </row>
    <row r="10">
      <c r="A10" s="50" t="n"/>
      <c r="B10" s="75" t="inlineStr">
        <is>
          <t>متوسط</t>
        </is>
      </c>
    </row>
    <row r="11">
      <c r="A11" s="50" t="n"/>
      <c r="B11" s="75" t="inlineStr">
        <is>
          <t>پایین</t>
        </is>
      </c>
    </row>
    <row r="12">
      <c r="A12" s="50" t="n"/>
      <c r="B12" s="50" t="n"/>
    </row>
    <row r="13">
      <c r="A13" s="74" t="inlineStr">
        <is>
          <t>شدت</t>
        </is>
      </c>
      <c r="B13" s="50" t="n"/>
    </row>
    <row r="14">
      <c r="A14" s="75" t="inlineStr">
        <is>
          <t>بحرانی</t>
        </is>
      </c>
      <c r="B14" s="50" t="n"/>
    </row>
    <row r="15">
      <c r="A15" s="75" t="inlineStr">
        <is>
          <t>بالا</t>
        </is>
      </c>
      <c r="B15" s="50" t="n"/>
    </row>
    <row r="16">
      <c r="A16" s="75" t="inlineStr">
        <is>
          <t>متوسط</t>
        </is>
      </c>
      <c r="B16" s="50" t="n"/>
    </row>
    <row r="17">
      <c r="A17" s="75" t="inlineStr">
        <is>
          <t>پایین</t>
        </is>
      </c>
      <c r="B17" s="50" t="n"/>
    </row>
  </sheetData>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8" t="inlineStr">
        <is>
          <t>ماشین حالت ماژول خطا (Fault)</t>
        </is>
      </c>
    </row>
    <row r="2">
      <c r="A2" s="50" t="n"/>
      <c r="B2" s="50" t="n"/>
      <c r="C2" s="50" t="n"/>
    </row>
    <row r="3" ht="24" customHeight="1">
      <c r="A3" s="9" t="inlineStr">
        <is>
          <t>حالت‌ها و گذارهای همین ماژول</t>
        </is>
      </c>
      <c r="B3" s="10" t="inlineStr">
        <is>
          <t>Fault_State_Machine.xlsx</t>
        </is>
      </c>
      <c r="C3" s="50" t="n"/>
    </row>
    <row r="4" ht="24" customHeight="1">
      <c r="A4" s="9" t="inlineStr">
        <is>
          <t>ماشین حالت کل برنامه (نمای سیستمی)</t>
        </is>
      </c>
      <c r="B4" s="10" t="inlineStr">
        <is>
          <t>../../../Documentation/System_State_Machine.xlsx</t>
        </is>
      </c>
      <c r="C4" s="50" t="n"/>
    </row>
    <row r="5" ht="24" customHeight="1">
      <c r="A5" s="9" t="inlineStr">
        <is>
          <t>راهنمای رنگ‌ها</t>
        </is>
      </c>
      <c r="B5" s="11" t="inlineStr">
        <is>
          <t>سبز = عادی/سالم · زرد = هشدار یا انتظار · قرمز = خطا یا قفل · نارنجی = در حال کار · خاکستری = بی‌کار · آبی = اطلاعاتی</t>
        </is>
      </c>
      <c r="C5" s="50" t="n"/>
    </row>
    <row r="6" ht="24" customHeight="1">
      <c r="A6" s="9" t="inlineStr">
        <is>
          <t>بازتولید</t>
        </is>
      </c>
      <c r="B6" s="10" t="inlineStr">
        <is>
          <t>python3 tools/make_module_state_machines.py</t>
        </is>
      </c>
      <c r="C6" s="50" t="n"/>
    </row>
  </sheetData>
  <mergeCells count="1">
    <mergeCell ref="A1:C1"/>
  </mergeCells>
  <hyperlinks>
    <hyperlink xmlns:r="http://schemas.openxmlformats.org/officeDocument/2006/relationships" ref="B3" r:id="rId1"/>
    <hyperlink xmlns:r="http://schemas.openxmlformats.org/officeDocument/2006/relationships" ref="B4" r:id="rId2"/>
    <hyperlink xmlns:r="http://schemas.openxmlformats.org/officeDocument/2006/relationships" ref="B6" r:id="rId3"/>
  </hyperlinks>
  <pageMargins left="0.75" right="0.75" top="1" bottom="1" header="0.5" footer="0.5"/>
</worksheet>
</file>

<file path=xl/worksheets/sheet9.xml><?xml version="1.0" encoding="utf-8"?>
<worksheet xmlns="http://schemas.openxmlformats.org/spreadsheetml/2006/main">
  <sheetPr>
    <tabColor rgb="001F4E79"/>
    <outlinePr summaryBelow="1" summaryRight="1"/>
    <pageSetUpPr fitToPage="1"/>
  </sheetPr>
  <dimension ref="A1:Q5"/>
  <sheetViews>
    <sheetView workbookViewId="0">
      <selection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49" t="inlineStr">
        <is>
          <t>برنامهٔ تست آزمایشگاهی — ماژول Fault</t>
        </is>
      </c>
    </row>
    <row r="2">
      <c r="A2" s="47" t="inlineStr">
        <is>
          <t>وضعیت فقط یکی از: در انتظار / قبول / رد / مسدود / نیاز به تکرار. تست Host جایگزین تست برد نیست.</t>
        </is>
      </c>
    </row>
    <row r="3">
      <c r="A3" s="47" t="inlineStr">
        <is>
          <t>برای هر ردیف پیش‌شرط، ورودی، انتظار و معیار قبولی صریح است؛ نتیجهٔ واقعی فقط با اندازه‌گیری روی برد پر می‌شود.</t>
        </is>
      </c>
    </row>
    <row r="4" ht="30" customHeight="1">
      <c r="A4" s="48" t="inlineStr">
        <is>
          <t>شناسه</t>
        </is>
      </c>
      <c r="B4" s="48" t="inlineStr">
        <is>
          <t>دسته</t>
        </is>
      </c>
      <c r="C4" s="48" t="inlineStr">
        <is>
          <t>اولویت</t>
        </is>
      </c>
      <c r="D4" s="48" t="inlineStr">
        <is>
          <t>پیش‌شرط</t>
        </is>
      </c>
      <c r="E4" s="48" t="inlineStr">
        <is>
          <t>روش اجرای دقیق</t>
        </is>
      </c>
      <c r="F4" s="48" t="inlineStr">
        <is>
          <t>ورودی‌ها / شرایط</t>
        </is>
      </c>
      <c r="G4" s="48" t="inlineStr">
        <is>
          <t>مدت مشاهده</t>
        </is>
      </c>
      <c r="H4" s="48" t="inlineStr">
        <is>
          <t>رفتار مورد انتظار</t>
        </is>
      </c>
      <c r="I4" s="48" t="inlineStr">
        <is>
          <t>وضعیت حفظ / latch</t>
        </is>
      </c>
      <c r="J4" s="48" t="inlineStr">
        <is>
          <t>معیار قبولی</t>
        </is>
      </c>
      <c r="K4" s="48" t="inlineStr">
        <is>
          <t>نتیجهٔ واقعی / اندازه‌گیری</t>
        </is>
      </c>
      <c r="L4" s="48" t="inlineStr">
        <is>
          <t>وضعیت</t>
        </is>
      </c>
      <c r="M4" s="48" t="inlineStr">
        <is>
          <t>شرح ایراد / تفاوت</t>
        </is>
      </c>
      <c r="N4" s="48" t="inlineStr">
        <is>
          <t>مدرک تست / scope</t>
        </is>
      </c>
      <c r="O4" s="48" t="inlineStr">
        <is>
          <t>commit</t>
        </is>
      </c>
      <c r="P4" s="48" t="inlineStr">
        <is>
          <t>نام تست‌کننده</t>
        </is>
      </c>
      <c r="Q4" s="48" t="inlineStr">
        <is>
          <t>تاریخ</t>
        </is>
      </c>
    </row>
    <row r="5" ht="54" customHeight="1">
      <c r="A5" s="51" t="inlineStr">
        <is>
          <t>FL-006</t>
        </is>
      </c>
      <c r="B5" s="57" t="inlineStr">
        <is>
          <t>snapshot نامعتبر</t>
        </is>
      </c>
      <c r="C5" s="58" t="inlineStr">
        <is>
          <t>بالا</t>
        </is>
      </c>
      <c r="D5" s="57" t="inlineStr">
        <is>
          <t>ADC در warm-up یا نامعتبر</t>
        </is>
      </c>
      <c r="E5" s="57" t="inlineStr">
        <is>
          <t>گام ۱: ADC را در حالت warm-up نگه دار یا کاری کن snapshot نامعتبر باشد.
گام ۲: رفتار ست/پاک شدن بیت‌ها را در همین مدت نگاه کن.
گام ۳: تا وقتی snapshot معتبر نیست هیچ Set و Clear نباید اتفاق بیفتد و وضعیت قبلی ماسک باید حفظ شود.</t>
        </is>
      </c>
      <c r="F5" s="59" t="inlineStr">
        <is>
          <t>—</t>
        </is>
      </c>
      <c r="G5" s="59" t="inlineStr">
        <is>
          <t>—</t>
        </is>
      </c>
      <c r="H5" s="57" t="inlineStr">
        <is>
          <t>هیچ Set/Clear؛ وضعیت قبلی حفظ</t>
        </is>
      </c>
      <c r="I5" s="57" t="inlineStr">
        <is>
          <t>—</t>
        </is>
      </c>
      <c r="J5" s="57" t="inlineStr">
        <is>
          <t>بدون تغییر ماسک</t>
        </is>
      </c>
      <c r="K5" s="57" t="n"/>
      <c r="L5" s="55" t="inlineStr">
        <is>
          <t>در انتظار</t>
        </is>
      </c>
      <c r="M5" s="57" t="n"/>
      <c r="N5" s="57" t="n"/>
      <c r="O5" s="59" t="inlineStr">
        <is>
          <t>TESTER: fill</t>
        </is>
      </c>
      <c r="P5" s="59" t="n"/>
      <c r="Q5" s="60">
        <f>IF(OR(L5="",L5="در انتظار"),"",IF(Q5="",TODAY(),Q5))</f>
        <v/>
      </c>
    </row>
    <row r="6" ht="54" customHeight="1"/>
    <row r="7" ht="54" customHeight="1"/>
    <row r="8" ht="54" customHeight="1"/>
    <row r="9" ht="40.5" customHeight="1"/>
    <row r="10" ht="40.5" customHeight="1"/>
    <row r="11" ht="54" customHeight="1"/>
    <row r="12" ht="54" customHeight="1"/>
    <row r="13" ht="54" customHeight="1"/>
    <row r="14" ht="54" customHeight="1"/>
    <row r="15" ht="40.5" customHeight="1"/>
  </sheetData>
  <mergeCells count="3">
    <mergeCell ref="A3:Q3"/>
    <mergeCell ref="A2:Q2"/>
    <mergeCell ref="A1:Q1"/>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2026-09-23T12:47:22Z</dcterms:created>
  <dcterms:modified xsi:type="dcterms:W3CDTF">2026-10-17T12:01:49Z</dcterms:modified>
</cp:coreProperties>
</file>