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hidden" r:id="rId7"/>
    <sheet name="ماشین حالت" sheetId="8" state="visible" r:id="rId8"/>
  </sheets>
  <definedNames>
    <definedName name="_xlnm._FilterDatabase" localSheetId="1" hidden="1">'برنامه تست'!$A$4:$Q$62</definedName>
    <definedName name="_xlnm.Print_Titles" localSheetId="1">'برنامه تست'!$4:$4</definedName>
    <definedName name="_xlnm._FilterDatabase" localSheetId="2" hidden="1">'تست‌های برنامه‌نویسی'!$A$4:$Q$8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4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2" fillId="2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42" fillId="0" borderId="0" applyAlignment="1" pivotButton="0" quotePrefix="0" xfId="0">
      <alignment horizontal="right" vertical="center" wrapText="1" readingOrder="2"/>
    </xf>
    <xf numFmtId="0" fontId="42" fillId="0" borderId="1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37" fillId="0" borderId="0" applyAlignment="1" pivotButton="0" quotePrefix="0" xfId="0">
      <alignment vertical="center" wrapText="1"/>
    </xf>
    <xf numFmtId="0" fontId="4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../../Bsp/Src/bsp_measurement.c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Bsp/Src/bsp_measurement.c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easurement.c" TargetMode="External" Id="rId1" /><Relationship Type="http://schemas.openxmlformats.org/officeDocument/2006/relationships/hyperlink" Target="measurement.c" TargetMode="External" Id="rId2" /><Relationship Type="http://schemas.openxmlformats.org/officeDocument/2006/relationships/hyperlink" Target="measurement.c" TargetMode="External" Id="rId3" /><Relationship Type="http://schemas.openxmlformats.org/officeDocument/2006/relationships/hyperlink" Target="../../Bsp/Src/bsp_adc.c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Measurement — ADC و کالیبراسیون</t>
        </is>
      </c>
    </row>
    <row r="2" ht="40" customHeight="1">
      <c r="A2" s="36" t="inlineStr">
        <is>
          <t>ChangeOver | ADC1 5ch + DMA + bsp_measurement | نسخه 1.0 — دوره 10ms، warmup 3 فریم، فرمول‌های BSP واقعی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38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9" t="inlineStr">
        <is>
          <t>دامنه</t>
        </is>
      </c>
    </row>
    <row r="8" ht="13" customHeight="1">
      <c r="A8" s="38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38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77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38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38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38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38" t="inlineStr">
        <is>
          <t>۳) تست warmup: پس از Init، فریم‌ها را با func__BspAdc_GetRaw یا Live Watch بشمار؛ valid را چک کن.</t>
        </is>
      </c>
    </row>
    <row r="17" ht="13" customHeight="1">
      <c r="A17" s="38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38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38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1.0</t>
        </is>
      </c>
      <c r="C22" s="78" t="inlineStr">
        <is>
          <t>ایجاد مستقل Measurement_Board_Validation با ۲۱ تست، فرمول‌ها و tolerance از bsp_measurement.c، دوره 10ms و warmup 3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s="43" t="inlineStr">
        <is>
          <t>2026-10-12</t>
        </is>
      </c>
      <c r="B23" s="43" t="inlineStr">
        <is>
          <t>1.87</t>
        </is>
      </c>
      <c r="C23" s="43" t="inlineStr">
        <is>
          <t>پنل دیالوگ تیره همرنگ + صف PMQ + Enter/Esc + snapshot zeroing task_control (62f3782)</t>
        </is>
      </c>
      <c r="D23" s="4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hyperlinks>
    <hyperlink xmlns:r="http://schemas.openxmlformats.org/officeDocument/2006/relationships" ref="A10" r:id="rId1"/>
    <hyperlink xmlns:r="http://schemas.openxmlformats.org/officeDocument/2006/relationships" ref="C22" r:id="rId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Measurement</t>
        </is>
      </c>
    </row>
    <row r="2" ht="30" customHeight="1">
      <c r="A2" s="45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79" t="inlineStr">
        <is>
          <t>فرمول‌ها و tolerance از bsp_measurement.c واقعی است؛ PASS/FAIL با tolerance ±1 LSB + 1% مقاومت تعریف شده است.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MS-001</t>
        </is>
      </c>
      <c r="B5" s="48" t="inlineStr">
        <is>
          <t>Init</t>
        </is>
      </c>
      <c r="C5" s="49" t="inlineStr">
        <is>
          <t>بالا</t>
        </is>
      </c>
      <c r="D5" s="48" t="inlineStr">
        <is>
          <t>پس از Reset، قبل از Start</t>
        </is>
      </c>
      <c r="E5" s="48" t="inlineStr">
        <is>
          <t>گام ۱: برد را Reset کن ولی هنوز Start را نزن (تازه بعد از Reset و قبل از Start هستیم).
گام ۲: func__Measurement_Init را صدا بزن (یا همان Reset کافی است).
گام ۳: حداکثر 100 میلی‌ثانیه بعد، متغیرهای سراسری (globals) و snapshot را بخوان.
گام ۴: باید valid=false باشد، همهٔ ولتاژ و جریان‌ها (mV و mA) صفر باشند و input_present هم false باشد؛ هر مقدار غیرصفر یعنی رد تست.</t>
        </is>
      </c>
      <c r="F5" s="50" t="inlineStr">
        <is>
          <t>—</t>
        </is>
      </c>
      <c r="G5" s="50" t="inlineStr">
        <is>
          <t>100ms</t>
        </is>
      </c>
      <c r="H5" s="48" t="inlineStr">
        <is>
          <t>valid=false، همه mV/mA=0، input_present=false. PASS: valid false و صفر. FAIL: هر mV غیرصفر یا valid true.</t>
        </is>
      </c>
      <c r="I5" s="48" t="inlineStr">
        <is>
          <t>PASS: Init صفر و invalid. FAIL: otherwise.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54" customHeight="1">
      <c r="A6" s="47" t="inlineStr">
        <is>
          <t>MS-002</t>
        </is>
      </c>
      <c r="B6" s="55" t="inlineStr">
        <is>
          <t>Warmup / فریم اول</t>
        </is>
      </c>
      <c r="C6" s="56" t="inlineStr">
        <is>
          <t>بالا</t>
        </is>
      </c>
      <c r="D6" s="55" t="inlineStr">
        <is>
          <t>پس از Init و Start موفق</t>
        </is>
      </c>
      <c r="E6" s="57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6" s="58" t="inlineStr">
        <is>
          <t>فریم 1 کامل و پایدار, counts≈2482 (2V)</t>
        </is>
      </c>
      <c r="G6" s="58" t="inlineStr">
        <is>
          <t>10ms</t>
        </is>
      </c>
      <c r="H6" s="55" t="inlineStr">
        <is>
          <t>valid همچنان false، warmupCounter=1، globals هنوز 0 یا قدیمی اما valid=false. PASS: هنوز invalid. FAIL: valid true زودهنگام.</t>
        </is>
      </c>
      <c r="I6" s="55" t="inlineStr">
        <is>
          <t>PASS: فریم1 → still false. FAIL: valid true.</t>
        </is>
      </c>
      <c r="J6" s="55" t="inlineStr"/>
      <c r="K6" s="55" t="inlineStr">
        <is>
          <t>در انتظار</t>
        </is>
      </c>
      <c r="L6" s="59" t="inlineStr"/>
      <c r="M6" s="55" t="inlineStr"/>
      <c r="N6" s="55" t="inlineStr">
        <is>
          <t>c6b084f28f2c507cfd342e5dbd0dbd8e45686772</t>
        </is>
      </c>
      <c r="O6" s="58" t="inlineStr"/>
      <c r="P6" s="58" t="inlineStr"/>
      <c r="Q6" s="60">
        <f>IF(OR(L6="",L6="در انتظار"),"",IF(Q6="",TODAY(),Q6))</f>
        <v/>
      </c>
    </row>
    <row r="7" ht="54" customHeight="1">
      <c r="A7" s="47" t="inlineStr">
        <is>
          <t>MS-003</t>
        </is>
      </c>
      <c r="B7" s="48" t="inlineStr">
        <is>
          <t>Warmup / فریم دوم</t>
        </is>
      </c>
      <c r="C7" s="49" t="inlineStr">
        <is>
          <t>بالا</t>
        </is>
      </c>
      <c r="D7" s="61" t="inlineStr">
        <is>
          <t>پس از MS-002</t>
        </is>
      </c>
      <c r="E7" s="61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7" s="50" t="inlineStr">
        <is>
          <t>فریم 2 کامل, counts 2482</t>
        </is>
      </c>
      <c r="G7" s="50" t="inlineStr">
        <is>
          <t>10ms</t>
        </is>
      </c>
      <c r="H7" s="48" t="inlineStr">
        <is>
          <t>valid همچنان false، counter=2. PASS: still false. FAIL: true.</t>
        </is>
      </c>
      <c r="I7" s="48" t="inlineStr">
        <is>
          <t>PASS: فریم2 still false. FAIL: true.</t>
        </is>
      </c>
      <c r="J7" s="51" t="inlineStr"/>
      <c r="K7" s="52" t="inlineStr">
        <is>
          <t>در انتظار</t>
        </is>
      </c>
      <c r="L7" s="53" t="inlineStr"/>
      <c r="M7" s="48" t="inlineStr"/>
      <c r="N7" s="48" t="inlineStr">
        <is>
          <t>c6b084f28f2c507cfd342e5dbd0dbd8e45686772</t>
        </is>
      </c>
      <c r="O7" s="50" t="inlineStr"/>
      <c r="P7" s="50" t="inlineStr"/>
      <c r="Q7" s="54">
        <f>IF(OR(L7="",L7="در انتظار"),"",IF(Q7="",TODAY(),Q7))</f>
        <v/>
      </c>
    </row>
    <row r="8" ht="54" customHeight="1">
      <c r="A8" s="47" t="inlineStr">
        <is>
          <t>MS-004</t>
        </is>
      </c>
      <c r="B8" s="55" t="inlineStr">
        <is>
          <t>Warmup / فریم سوم</t>
        </is>
      </c>
      <c r="C8" s="56" t="inlineStr">
        <is>
          <t>بالا</t>
        </is>
      </c>
      <c r="D8" s="57" t="inlineStr">
        <is>
          <t>پس از MS-003</t>
        </is>
      </c>
      <c r="E8" s="57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8" s="58" t="inlineStr">
        <is>
          <t>فریم 3 کامل, counts: V channels 2482 (2V pin), I channels 610 (0.49V)</t>
        </is>
      </c>
      <c r="G8" s="58" t="inlineStr">
        <is>
          <t>10ms</t>
        </is>
      </c>
      <c r="H8" s="55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55" t="inlineStr">
        <is>
          <t>PASS: فریم3 → valid true با V24≈22352 و I≈486mA. FAIL: still false.</t>
        </is>
      </c>
      <c r="J8" s="55" t="inlineStr"/>
      <c r="K8" s="55" t="inlineStr">
        <is>
          <t>در انتظار</t>
        </is>
      </c>
      <c r="L8" s="59" t="inlineStr"/>
      <c r="M8" s="55" t="inlineStr"/>
      <c r="N8" s="55" t="inlineStr">
        <is>
          <t>c6b084f28f2c507cfd342e5dbd0dbd8e45686772</t>
        </is>
      </c>
      <c r="O8" s="58" t="inlineStr"/>
      <c r="P8" s="58" t="inlineStr"/>
      <c r="Q8" s="60">
        <f>IF(OR(L8="",L8="در انتظار"),"",IF(Q8="",TODAY(),Q8))</f>
        <v/>
      </c>
    </row>
    <row r="9" ht="54" customHeight="1">
      <c r="A9" s="47" t="inlineStr">
        <is>
          <t>MS-005</t>
        </is>
      </c>
      <c r="B9" s="48" t="inlineStr">
        <is>
          <t>Warmup / فریم ناقص</t>
        </is>
      </c>
      <c r="C9" s="49" t="inlineStr">
        <is>
          <t>بالا</t>
        </is>
      </c>
      <c r="D9" s="48" t="inlineStr">
        <is>
          <t>پس از valid=true</t>
        </is>
      </c>
      <c r="E9" s="61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9" s="50" t="inlineStr">
        <is>
          <t>فریم ناقص/ناپایدار (GetRaw false)</t>
        </is>
      </c>
      <c r="G9" s="50" t="inlineStr">
        <is>
          <t>10ms</t>
        </is>
      </c>
      <c r="H9" s="48" t="inlineStr">
        <is>
          <t>valid=false فوری، warmupCounter reset به 0، snapshot.valid false. PASS: invalid و reset. FAIL: همچنان true.</t>
        </is>
      </c>
      <c r="I9" s="48" t="inlineStr">
        <is>
          <t>PASS: unstable → invalid+reset. FAIL: remains true.</t>
        </is>
      </c>
      <c r="J9" s="51" t="inlineStr"/>
      <c r="K9" s="52" t="inlineStr">
        <is>
          <t>در انتظار</t>
        </is>
      </c>
      <c r="L9" s="53" t="inlineStr"/>
      <c r="M9" s="48" t="inlineStr"/>
      <c r="N9" s="48" t="inlineStr">
        <is>
          <t>c6b084f28f2c507cfd342e5dbd0dbd8e45686772</t>
        </is>
      </c>
      <c r="O9" s="50" t="inlineStr"/>
      <c r="P9" s="50" t="inlineStr"/>
      <c r="Q9" s="54">
        <f>IF(OR(L9="",L9="در انتظار"),"",IF(Q9="",TODAY(),Q9))</f>
        <v/>
      </c>
    </row>
    <row r="10" ht="54" customHeight="1">
      <c r="A10" s="47" t="inlineStr">
        <is>
          <t>MS-006</t>
        </is>
      </c>
      <c r="B10" s="55" t="inlineStr">
        <is>
          <t>Warmup / شروع دوباره</t>
        </is>
      </c>
      <c r="C10" s="56" t="inlineStr">
        <is>
          <t>بالا</t>
        </is>
      </c>
      <c r="D10" s="57" t="inlineStr">
        <is>
          <t>پس از MS-005</t>
        </is>
      </c>
      <c r="E10" s="57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10" s="58" t="inlineStr">
        <is>
          <t>3 فریم کامل</t>
        </is>
      </c>
      <c r="G10" s="58" t="inlineStr">
        <is>
          <t>30ms</t>
        </is>
      </c>
      <c r="H10" s="55" t="inlineStr">
        <is>
          <t>پس از فریم سوم دوباره valid=true. PASS: warmup دوباره 3 فریم. FAIL: valid زودتر یا دیرتر.</t>
        </is>
      </c>
      <c r="I10" s="55" t="inlineStr">
        <is>
          <t>PASS: 3 فریم دوباره → true. FAIL: otherwise.</t>
        </is>
      </c>
      <c r="J10" s="55" t="inlineStr"/>
      <c r="K10" s="55" t="inlineStr">
        <is>
          <t>در انتظار</t>
        </is>
      </c>
      <c r="L10" s="59" t="inlineStr"/>
      <c r="M10" s="55" t="inlineStr"/>
      <c r="N10" s="55" t="inlineStr">
        <is>
          <t>c6b084f28f2c507cfd342e5dbd0dbd8e45686772</t>
        </is>
      </c>
      <c r="O10" s="58" t="inlineStr"/>
      <c r="P10" s="58" t="inlineStr"/>
      <c r="Q10" s="60">
        <f>IF(OR(L10="",L10="در انتظار"),"",IF(Q10="",TODAY(),Q10))</f>
        <v/>
      </c>
    </row>
    <row r="11" ht="54" customHeight="1">
      <c r="A11" s="47" t="inlineStr">
        <is>
          <t>MS-007</t>
        </is>
      </c>
      <c r="B11" s="48" t="inlineStr">
        <is>
          <t>ورودی 24V قطع</t>
        </is>
      </c>
      <c r="C11" s="50" t="inlineStr">
        <is>
          <t>متوسط</t>
        </is>
      </c>
      <c r="D11" s="48" t="inlineStr">
        <is>
          <t>valid=true با Vin=0</t>
        </is>
      </c>
      <c r="E11" s="48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1" s="50" t="inlineStr">
        <is>
          <t>v_in 0V (counts 0), سایر 2V</t>
        </is>
      </c>
      <c r="G11" s="50" t="inlineStr">
        <is>
          <t>10ms</t>
        </is>
      </c>
      <c r="H11" s="48" t="inlineStr">
        <is>
          <t>valid همچنان true (قطع ورودی ADC را invalid نمی‌کند)، v_in_mv≈0، سایر مقادیر به‌روز. PASS: valid true با Vin صفر. FAIL: valid false.</t>
        </is>
      </c>
      <c r="I11" s="48" t="inlineStr">
        <is>
          <t>PASS: Vin zero still valid. FAIL: invalid.</t>
        </is>
      </c>
      <c r="J11" s="51" t="inlineStr"/>
      <c r="K11" s="52" t="inlineStr">
        <is>
          <t>در انتظار</t>
        </is>
      </c>
      <c r="L11" s="53" t="inlineStr"/>
      <c r="M11" s="48" t="inlineStr"/>
      <c r="N11" s="48" t="inlineStr">
        <is>
          <t>c6b084f28f2c507cfd342e5dbd0dbd8e45686772</t>
        </is>
      </c>
      <c r="O11" s="50" t="inlineStr"/>
      <c r="P11" s="50" t="inlineStr"/>
      <c r="Q11" s="54">
        <f>IF(OR(L11="",L11="در انتظار"),"",IF(Q11="",TODAY(),Q11))</f>
        <v/>
      </c>
    </row>
    <row r="12" ht="54" customHeight="1">
      <c r="A12" s="47" t="inlineStr">
        <is>
          <t>MS-008</t>
        </is>
      </c>
      <c r="B12" s="55" t="inlineStr">
        <is>
          <t>بررسی v_in_mv</t>
        </is>
      </c>
      <c r="C12" s="56" t="inlineStr">
        <is>
          <t>بالا</t>
        </is>
      </c>
      <c r="D12" s="55" t="inlineStr">
        <is>
          <t>valid=true</t>
        </is>
      </c>
      <c r="E12" s="55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2" s="58" t="inlineStr">
        <is>
          <t>counts 1241 (1V)</t>
        </is>
      </c>
      <c r="G12" s="58" t="inlineStr">
        <is>
          <t>10ms</t>
        </is>
      </c>
      <c r="H12" s="55" t="inlineStr">
        <is>
          <t>v_in_mv = 1241*3300/4095≈1000mV pin → *76000/6800≈11176mV. tolerance ±9mV. PASS: خوانش در tolerance. FAIL: &gt;20mV خطا.</t>
        </is>
      </c>
      <c r="I12" s="55" t="inlineStr">
        <is>
          <t>PASS: مطابق فرمول V24. FAIL: خطا.</t>
        </is>
      </c>
      <c r="J12" s="55" t="inlineStr"/>
      <c r="K12" s="55" t="inlineStr">
        <is>
          <t>در انتظار</t>
        </is>
      </c>
      <c r="L12" s="59" t="inlineStr"/>
      <c r="M12" s="55" t="inlineStr"/>
      <c r="N12" s="55" t="inlineStr">
        <is>
          <t>c6b084f28f2c507cfd342e5dbd0dbd8e45686772</t>
        </is>
      </c>
      <c r="O12" s="58" t="inlineStr"/>
      <c r="P12" s="58" t="inlineStr"/>
      <c r="Q12" s="60">
        <f>IF(OR(L12="",L12="در انتظار"),"",IF(Q12="",TODAY(),Q12))</f>
        <v/>
      </c>
    </row>
    <row r="13" ht="54" customHeight="1">
      <c r="A13" s="47" t="inlineStr">
        <is>
          <t>MS-009</t>
        </is>
      </c>
      <c r="B13" s="48" t="inlineStr">
        <is>
          <t>بررسی v_bat24_mv</t>
        </is>
      </c>
      <c r="C13" s="49" t="inlineStr">
        <is>
          <t>بالا</t>
        </is>
      </c>
      <c r="D13" s="48" t="inlineStr">
        <is>
          <t>valid=true</t>
        </is>
      </c>
      <c r="E13" s="48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3" s="50" t="inlineStr">
        <is>
          <t>counts 2482</t>
        </is>
      </c>
      <c r="G13" s="50" t="inlineStr">
        <is>
          <t>10ms</t>
        </is>
      </c>
      <c r="H13" s="48" t="inlineStr">
        <is>
          <t>v_bat24_mv≈22352mV ±9mV. PASS. FAIL: خطا.</t>
        </is>
      </c>
      <c r="I13" s="48" t="inlineStr">
        <is>
          <t>PASS: مطابق فرمول V24. FAIL: خطا.</t>
        </is>
      </c>
      <c r="J13" s="51" t="inlineStr"/>
      <c r="K13" s="52" t="inlineStr">
        <is>
          <t>در انتظار</t>
        </is>
      </c>
      <c r="L13" s="53" t="inlineStr"/>
      <c r="M13" s="48" t="inlineStr"/>
      <c r="N13" s="48" t="inlineStr">
        <is>
          <t>c6b084f28f2c507cfd342e5dbd0dbd8e45686772</t>
        </is>
      </c>
      <c r="O13" s="50" t="inlineStr"/>
      <c r="P13" s="50" t="inlineStr"/>
      <c r="Q13" s="54">
        <f>IF(OR(L13="",L13="در انتظار"),"",IF(Q13="",TODAY(),Q13))</f>
        <v/>
      </c>
    </row>
    <row r="14" ht="54" customHeight="1">
      <c r="A14" s="47" t="inlineStr">
        <is>
          <t>MS-010</t>
        </is>
      </c>
      <c r="B14" s="55" t="inlineStr">
        <is>
          <t>بررسی v_bat12_mv</t>
        </is>
      </c>
      <c r="C14" s="56" t="inlineStr">
        <is>
          <t>بالا</t>
        </is>
      </c>
      <c r="D14" s="55" t="inlineStr">
        <is>
          <t>valid=true</t>
        </is>
      </c>
      <c r="E14" s="55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4" s="58" t="inlineStr">
        <is>
          <t>counts 2482</t>
        </is>
      </c>
      <c r="G14" s="58" t="inlineStr">
        <is>
          <t>10ms</t>
        </is>
      </c>
      <c r="H14" s="55" t="inlineStr">
        <is>
          <t>v_bat12_mv≈12058mV ±5mV. PASS. FAIL: خطا.</t>
        </is>
      </c>
      <c r="I14" s="55" t="inlineStr">
        <is>
          <t>PASS: مطابق فرمول V12. FAIL: خطا.</t>
        </is>
      </c>
      <c r="J14" s="55" t="inlineStr"/>
      <c r="K14" s="55" t="inlineStr">
        <is>
          <t>در انتظار</t>
        </is>
      </c>
      <c r="L14" s="59" t="inlineStr"/>
      <c r="M14" s="55" t="inlineStr"/>
      <c r="N14" s="55" t="inlineStr">
        <is>
          <t>c6b084f28f2c507cfd342e5dbd0dbd8e45686772</t>
        </is>
      </c>
      <c r="O14" s="58" t="inlineStr"/>
      <c r="P14" s="58" t="inlineStr"/>
      <c r="Q14" s="60">
        <f>IF(OR(L14="",L14="در انتظار"),"",IF(Q14="",TODAY(),Q14))</f>
        <v/>
      </c>
    </row>
    <row r="15" ht="54" customHeight="1">
      <c r="A15" s="47" t="inlineStr">
        <is>
          <t>MS-011</t>
        </is>
      </c>
      <c r="B15" s="48" t="inlineStr">
        <is>
          <t>بررسی current1</t>
        </is>
      </c>
      <c r="C15" s="49" t="inlineStr">
        <is>
          <t>بالا</t>
        </is>
      </c>
      <c r="D15" s="48" t="inlineStr">
        <is>
          <t>valid=true</t>
        </is>
      </c>
      <c r="E15" s="48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5" s="50" t="inlineStr">
        <is>
          <t>counts 610 (0.49V)</t>
        </is>
      </c>
      <c r="G15" s="50" t="inlineStr">
        <is>
          <t>10ms</t>
        </is>
      </c>
      <c r="H15" s="48" t="inlineStr">
        <is>
          <t>i_ch1≈ counts*3300*1000/(4095*101*10) ≈ 486mA ±1mA. PASS. FAIL: خطا.</t>
        </is>
      </c>
      <c r="I15" s="48" t="inlineStr">
        <is>
          <t>PASS: مطابق فرمول جریان. FAIL: خطا.</t>
        </is>
      </c>
      <c r="J15" s="51" t="inlineStr"/>
      <c r="K15" s="52" t="inlineStr">
        <is>
          <t>در انتظار</t>
        </is>
      </c>
      <c r="L15" s="53" t="inlineStr"/>
      <c r="M15" s="48" t="inlineStr"/>
      <c r="N15" s="48" t="inlineStr">
        <is>
          <t>c6b084f28f2c507cfd342e5dbd0dbd8e45686772</t>
        </is>
      </c>
      <c r="O15" s="50" t="inlineStr"/>
      <c r="P15" s="50" t="inlineStr"/>
      <c r="Q15" s="54">
        <f>IF(OR(L15="",L15="در انتظار"),"",IF(Q15="",TODAY(),Q15))</f>
        <v/>
      </c>
    </row>
    <row r="16" ht="54" customHeight="1">
      <c r="A16" s="47" t="inlineStr">
        <is>
          <t>MS-012</t>
        </is>
      </c>
      <c r="B16" s="55" t="inlineStr">
        <is>
          <t>بررسی current2</t>
        </is>
      </c>
      <c r="C16" s="56" t="inlineStr">
        <is>
          <t>بالا</t>
        </is>
      </c>
      <c r="D16" s="55" t="inlineStr">
        <is>
          <t>valid=true</t>
        </is>
      </c>
      <c r="E16" s="55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6" s="58" t="inlineStr">
        <is>
          <t>counts 1220</t>
        </is>
      </c>
      <c r="G16" s="58" t="inlineStr">
        <is>
          <t>10ms</t>
        </is>
      </c>
      <c r="H16" s="55" t="inlineStr">
        <is>
          <t>i_ch2≈ 973mA ±1mA. PASS. FAIL: خطا.</t>
        </is>
      </c>
      <c r="I16" s="55" t="inlineStr">
        <is>
          <t>PASS: مطابق فرمول. FAIL: خطا.</t>
        </is>
      </c>
      <c r="J16" s="55" t="inlineStr"/>
      <c r="K16" s="55" t="inlineStr">
        <is>
          <t>در انتظار</t>
        </is>
      </c>
      <c r="L16" s="59" t="inlineStr"/>
      <c r="M16" s="55" t="inlineStr"/>
      <c r="N16" s="55" t="inlineStr">
        <is>
          <t>c6b084f28f2c507cfd342e5dbd0dbd8e45686772</t>
        </is>
      </c>
      <c r="O16" s="58" t="inlineStr"/>
      <c r="P16" s="58" t="inlineStr"/>
      <c r="Q16" s="60">
        <f>IF(OR(L16="",L16="در انتظار"),"",IF(Q16="",TODAY(),Q16))</f>
        <v/>
      </c>
    </row>
    <row r="17" ht="54" customHeight="1">
      <c r="A17" s="47" t="inlineStr">
        <is>
          <t>MS-013</t>
        </is>
      </c>
      <c r="B17" s="48" t="inlineStr">
        <is>
          <t>بررسی input_present / High</t>
        </is>
      </c>
      <c r="C17" s="49" t="inlineStr">
        <is>
          <t>بالا</t>
        </is>
      </c>
      <c r="D17" s="48" t="inlineStr">
        <is>
          <t>valid=true</t>
        </is>
      </c>
      <c r="E17" s="48" t="inlineStr">
        <is>
          <t>گام ۱: از valid=true شروع کن.
گام ۲: پایهٔ PB4 را High کن (یعنی ورودی 24 ولت حاضر است).
گام ۳: یک Run بزن و snapshot را بخوان.
گام ۴: input_present باید true باشد؛ false ماندن یعنی رد تست.</t>
        </is>
      </c>
      <c r="F17" s="50" t="inlineStr">
        <is>
          <t>PB4 High</t>
        </is>
      </c>
      <c r="G17" s="50" t="inlineStr">
        <is>
          <t>10ms</t>
        </is>
      </c>
      <c r="H17" s="48" t="inlineStr">
        <is>
          <t>input_present=true. PASS: true. FAIL: false.</t>
        </is>
      </c>
      <c r="I17" s="48" t="inlineStr">
        <is>
          <t>PASS: true. FAIL: false.</t>
        </is>
      </c>
      <c r="J17" s="51" t="inlineStr"/>
      <c r="K17" s="52" t="inlineStr">
        <is>
          <t>در انتظار</t>
        </is>
      </c>
      <c r="L17" s="53" t="inlineStr"/>
      <c r="M17" s="48" t="inlineStr"/>
      <c r="N17" s="48" t="inlineStr">
        <is>
          <t>c6b084f28f2c507cfd342e5dbd0dbd8e45686772</t>
        </is>
      </c>
      <c r="O17" s="50" t="inlineStr"/>
      <c r="P17" s="50" t="inlineStr"/>
      <c r="Q17" s="54">
        <f>IF(OR(L17="",L17="در انتظار"),"",IF(Q17="",TODAY(),Q17))</f>
        <v/>
      </c>
    </row>
    <row r="18" ht="54" customHeight="1">
      <c r="A18" s="47" t="inlineStr">
        <is>
          <t>MS-014</t>
        </is>
      </c>
      <c r="B18" s="55" t="inlineStr">
        <is>
          <t>بررسی input_present / Low</t>
        </is>
      </c>
      <c r="C18" s="56" t="inlineStr">
        <is>
          <t>بالا</t>
        </is>
      </c>
      <c r="D18" s="55" t="inlineStr">
        <is>
          <t>valid=true</t>
        </is>
      </c>
      <c r="E18" s="55" t="inlineStr">
        <is>
          <t>گام ۱: از valid=true با ورودی حاضر شروع کن (input_present=true).
گام ۲: پایهٔ PB4 را Low کن (ورودی قطع است).
گام ۳: یک Run بزن و snapshot را بخوان.
گام ۴: input_present باید false شده باشد؛ true ماندن یعنی رد تست.</t>
        </is>
      </c>
      <c r="F18" s="58" t="inlineStr">
        <is>
          <t>PB4 Low</t>
        </is>
      </c>
      <c r="G18" s="58" t="inlineStr">
        <is>
          <t>10ms</t>
        </is>
      </c>
      <c r="H18" s="55" t="inlineStr">
        <is>
          <t>input_present=false. PASS. FAIL: true.</t>
        </is>
      </c>
      <c r="I18" s="55" t="inlineStr">
        <is>
          <t>PASS: false. FAIL: true.</t>
        </is>
      </c>
      <c r="J18" s="55" t="inlineStr"/>
      <c r="K18" s="55" t="inlineStr">
        <is>
          <t>در انتظار</t>
        </is>
      </c>
      <c r="L18" s="59" t="inlineStr"/>
      <c r="M18" s="55" t="inlineStr"/>
      <c r="N18" s="55" t="inlineStr">
        <is>
          <t>c6b084f28f2c507cfd342e5dbd0dbd8e45686772</t>
        </is>
      </c>
      <c r="O18" s="58" t="inlineStr"/>
      <c r="P18" s="58" t="inlineStr"/>
      <c r="Q18" s="60">
        <f>IF(OR(L18="",L18="در انتظار"),"",IF(Q18="",TODAY(),Q18))</f>
        <v/>
      </c>
    </row>
    <row r="19" ht="40.5" customHeight="1">
      <c r="A19" s="47" t="inlineStr">
        <is>
          <t>MS-017</t>
        </is>
      </c>
      <c r="B19" s="48" t="inlineStr">
        <is>
          <t>دوره 10ms تسک Measurement</t>
        </is>
      </c>
      <c r="C19" s="49" t="inlineStr">
        <is>
          <t>بالا</t>
        </is>
      </c>
      <c r="D19" s="48" t="inlineStr">
        <is>
          <t>valid=true</t>
        </is>
      </c>
      <c r="E19" s="48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19" s="50" t="inlineStr">
        <is>
          <t>—</t>
        </is>
      </c>
      <c r="G19" s="50" t="inlineStr">
        <is>
          <t>1s</t>
        </is>
      </c>
      <c r="H19" s="48" t="inlineStr">
        <is>
          <t>فاصله بین Runها باید 10ms ±1ms (MEASUREMENT_PERIOD_MS) با osDelayUntil. PASS: 10ms period. FAIL: 5ms یا 20ms.</t>
        </is>
      </c>
      <c r="I19" s="48" t="inlineStr">
        <is>
          <t>PASS: 10ms period. FAIL: otherwise.</t>
        </is>
      </c>
      <c r="J19" s="51" t="inlineStr"/>
      <c r="K19" s="52" t="inlineStr">
        <is>
          <t>در انتظار</t>
        </is>
      </c>
      <c r="L19" s="53" t="inlineStr"/>
      <c r="M19" s="48" t="inlineStr"/>
      <c r="N19" s="48" t="inlineStr">
        <is>
          <t>c6b084f28f2c507cfd342e5dbd0dbd8e45686772</t>
        </is>
      </c>
      <c r="O19" s="50" t="inlineStr"/>
      <c r="P19" s="50" t="inlineStr"/>
      <c r="Q19" s="54">
        <f>IF(OR(L21="",L21="در انتظار"),"",IF(Q21="",TODAY(),Q21))</f>
        <v/>
      </c>
    </row>
    <row r="20" ht="54" customHeight="1">
      <c r="A20" s="47" t="inlineStr">
        <is>
          <t>MS-019</t>
        </is>
      </c>
      <c r="B20" s="48" t="inlineStr">
        <is>
          <t>تطبیق فرمول و کالیبراسیون / صفر</t>
        </is>
      </c>
      <c r="C20" s="49" t="inlineStr">
        <is>
          <t>بالا</t>
        </is>
      </c>
      <c r="D20" s="48" t="inlineStr">
        <is>
          <t>valid=true</t>
        </is>
      </c>
      <c r="E20" s="48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20" s="50" t="inlineStr">
        <is>
          <t>counts 0</t>
        </is>
      </c>
      <c r="G20" s="50" t="inlineStr">
        <is>
          <t>10ms</t>
        </is>
      </c>
      <c r="H20" s="48" t="inlineStr">
        <is>
          <t>همه 0mV/mA. PASS: 0. FAIL: non-zero.</t>
        </is>
      </c>
      <c r="I20" s="48" t="inlineStr">
        <is>
          <t>PASS: zero. FAIL: non-zero.</t>
        </is>
      </c>
      <c r="J20" s="51" t="inlineStr"/>
      <c r="K20" s="52" t="inlineStr">
        <is>
          <t>در انتظار</t>
        </is>
      </c>
      <c r="L20" s="53" t="inlineStr"/>
      <c r="M20" s="48" t="inlineStr"/>
      <c r="N20" s="48" t="inlineStr">
        <is>
          <t>c6b084f28f2c507cfd342e5dbd0dbd8e45686772</t>
        </is>
      </c>
      <c r="O20" s="50" t="inlineStr"/>
      <c r="P20" s="50" t="inlineStr"/>
      <c r="Q20" s="54">
        <f>IF(OR(L23="",L23="در انتظار"),"",IF(Q23="",TODAY(),Q23))</f>
        <v/>
      </c>
    </row>
    <row r="21" ht="54" customHeight="1">
      <c r="A21" s="47" t="inlineStr">
        <is>
          <t>MS-020</t>
        </is>
      </c>
      <c r="B21" s="55" t="inlineStr">
        <is>
          <t>تطبیق فرمول / فول</t>
        </is>
      </c>
      <c r="C21" s="56" t="inlineStr">
        <is>
          <t>بالا</t>
        </is>
      </c>
      <c r="D21" s="55" t="inlineStr">
        <is>
          <t>valid=true</t>
        </is>
      </c>
      <c r="E21" s="55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21" s="58" t="inlineStr">
        <is>
          <t>counts 4095 (فول)</t>
        </is>
      </c>
      <c r="G21" s="58" t="inlineStr">
        <is>
          <t>10ms</t>
        </is>
      </c>
      <c r="H21" s="55" t="inlineStr">
        <is>
          <t>V24≈36882mV، V12≈19897mV، Current≈3267mA ±tolerance (V12 با 41000/6800). PASS: فول مطابق فرمول. FAIL: خطا.</t>
        </is>
      </c>
      <c r="I21" s="55" t="inlineStr">
        <is>
          <t>PASS: فول 36882/19897/3267. FAIL: خطا.</t>
        </is>
      </c>
      <c r="J21" s="55" t="inlineStr"/>
      <c r="K21" s="55" t="inlineStr">
        <is>
          <t>در انتظار</t>
        </is>
      </c>
      <c r="L21" s="59" t="inlineStr"/>
      <c r="M21" s="55" t="inlineStr"/>
      <c r="N21" s="55" t="inlineStr">
        <is>
          <t>c6b084f28f2c507cfd342e5dbd0dbd8e45686772</t>
        </is>
      </c>
      <c r="O21" s="58" t="inlineStr"/>
      <c r="P21" s="58" t="inlineStr"/>
      <c r="Q21" s="60">
        <f>IF(OR(L24="",L24="در انتظار"),"",IF(Q24="",TODAY(),Q24))</f>
        <v/>
      </c>
    </row>
    <row r="22" ht="54" customHeight="1">
      <c r="A22" s="47" t="inlineStr">
        <is>
          <t>MS-021</t>
        </is>
      </c>
      <c r="B22" s="48" t="inlineStr">
        <is>
          <t>کالیبراسیون برد / tolerance</t>
        </is>
      </c>
      <c r="C22" s="50" t="inlineStr">
        <is>
          <t>متوسط</t>
        </is>
      </c>
      <c r="D22" s="48" t="inlineStr">
        <is>
          <t>valid=true</t>
        </is>
      </c>
      <c r="E22" s="48" t="inlineStr">
        <is>
          <t>گام ۱: یک باتری/منبع واقعی دقیقاً 24 ولت به ورودی V24 بده.
گام ۲: با مولتی‌متر (DMM) ولتاژ روی پایهٔ PA2 را اندازه بگیر؛ باید حدود 2147 میلی‌ولت باشد.
گام ۳: counts را بخوان؛ باید حدود 2665 باشد.
گام ۴: V24 خوانده‌شده باید حدود 24000 میلی‌ولت باشد. خطای مجاز 1 درصد مقاومت‌ها به‌علاوهٔ 1 LSB است؛ خطای کمتر از 1 درصد قبول و بیشتر از 2 درصد رد است.</t>
        </is>
      </c>
      <c r="F22" s="50" t="inlineStr">
        <is>
          <t>V24=24V (pin≈2147mV, counts≈2665)</t>
        </is>
      </c>
      <c r="G22" s="50" t="inlineStr">
        <is>
          <t>10ms</t>
        </is>
      </c>
      <c r="H22" s="48" t="inlineStr">
        <is>
          <t>ADC pin≈2147mV، counts≈2665، V24≈24000mV ±tolerance (1% مقاومت + 1LSB). PASS: خطا &lt;1% + LSB. FAIL: &gt;2%.</t>
        </is>
      </c>
      <c r="I22" s="48" t="inlineStr">
        <is>
          <t>PASS: 2665→24000 within 1%. FAIL: &gt;2%.</t>
        </is>
      </c>
      <c r="J22" s="51" t="inlineStr"/>
      <c r="K22" s="52" t="inlineStr">
        <is>
          <t>در انتظار</t>
        </is>
      </c>
      <c r="L22" s="53" t="inlineStr"/>
      <c r="M22" s="48" t="inlineStr"/>
      <c r="N22" s="48" t="inlineStr">
        <is>
          <t>c6b084f28f2c507cfd342e5dbd0dbd8e45686772</t>
        </is>
      </c>
      <c r="O22" s="50" t="inlineStr"/>
      <c r="P22" s="50" t="inlineStr"/>
      <c r="Q22" s="54">
        <f>IF(OR(L25="",L25="در انتظار"),"",IF(Q25="",TODAY(),Q25))</f>
        <v/>
      </c>
    </row>
    <row r="23" ht="54" customHeight="1">
      <c r="Q23" s="63">
        <f>IF(OR(L27="",L27="در انتظار"),"",IF(Q27="",TODAY(),Q27))</f>
        <v/>
      </c>
    </row>
    <row r="24" ht="54" customHeight="1">
      <c r="Q24" s="63">
        <f>IF(OR(L28="",L28="در انتظار"),"",IF(Q28="",TODAY(),Q28))</f>
        <v/>
      </c>
    </row>
    <row r="25" ht="54" customHeight="1">
      <c r="Q25" s="63">
        <f>IF(OR(L29="",L29="در انتظار"),"",IF(Q29="",TODAY(),Q29))</f>
        <v/>
      </c>
    </row>
    <row r="26" ht="54" customHeight="1">
      <c r="Q26" s="63">
        <f>IF(OR(L30="",L30="در انتظار"),"",IF(Q30="",TODAY(),Q30))</f>
        <v/>
      </c>
    </row>
    <row r="27">
      <c r="Q27" s="63">
        <f>IF(OR(L31="",L31="در انتظار"),"",IF(Q31="",TODAY(),Q31))</f>
        <v/>
      </c>
    </row>
    <row r="28">
      <c r="Q28" s="63">
        <f>IF(OR(L32="",L32="در انتظار"),"",IF(Q32="",TODAY(),Q32))</f>
        <v/>
      </c>
    </row>
    <row r="29">
      <c r="Q29" s="63">
        <f>IF(OR(L33="",L33="در انتظار"),"",IF(Q33="",TODAY(),Q33))</f>
        <v/>
      </c>
    </row>
    <row r="30">
      <c r="Q30" s="63">
        <f>IF(OR(L34="",L34="در انتظار"),"",IF(Q34="",TODAY(),Q34))</f>
        <v/>
      </c>
    </row>
    <row r="31">
      <c r="Q31" s="63">
        <f>IF(OR(L35="",L35="در انتظار"),"",IF(Q35="",TODAY(),Q35))</f>
        <v/>
      </c>
    </row>
    <row r="32">
      <c r="Q32" s="63">
        <f>IF(OR(L36="",L36="در انتظار"),"",IF(Q36="",TODAY(),Q36))</f>
        <v/>
      </c>
    </row>
    <row r="33">
      <c r="Q33" s="63">
        <f>IF(OR(L37="",L37="در انتظار"),"",IF(Q37="",TODAY(),Q37))</f>
        <v/>
      </c>
    </row>
    <row r="34">
      <c r="Q34" s="63">
        <f>IF(OR(L38="",L38="در انتظار"),"",IF(Q38="",TODAY(),Q38))</f>
        <v/>
      </c>
    </row>
    <row r="35">
      <c r="Q35" s="63">
        <f>IF(OR(L39="",L39="در انتظار"),"",IF(Q39="",TODAY(),Q39))</f>
        <v/>
      </c>
    </row>
    <row r="36">
      <c r="Q36" s="63">
        <f>IF(OR(L40="",L40="در انتظار"),"",IF(Q40="",TODAY(),Q40))</f>
        <v/>
      </c>
    </row>
    <row r="37">
      <c r="Q37" s="63">
        <f>IF(OR(L41="",L41="در انتظار"),"",IF(Q41="",TODAY(),Q41))</f>
        <v/>
      </c>
    </row>
    <row r="38">
      <c r="Q38" s="63">
        <f>IF(OR(L42="",L42="در انتظار"),"",IF(Q42="",TODAY(),Q42))</f>
        <v/>
      </c>
    </row>
    <row r="39">
      <c r="Q39" s="63">
        <f>IF(OR(L43="",L43="در انتظار"),"",IF(Q43="",TODAY(),Q43))</f>
        <v/>
      </c>
    </row>
    <row r="40">
      <c r="Q40" s="63">
        <f>IF(OR(L44="",L44="در انتظار"),"",IF(Q44="",TODAY(),Q44))</f>
        <v/>
      </c>
    </row>
    <row r="41">
      <c r="Q41" s="63">
        <f>IF(OR(L45="",L45="در انتظار"),"",IF(Q45="",TODAY(),Q45))</f>
        <v/>
      </c>
    </row>
    <row r="42">
      <c r="Q42" s="63">
        <f>IF(OR(L46="",L46="در انتظار"),"",IF(Q46="",TODAY(),Q46))</f>
        <v/>
      </c>
    </row>
    <row r="43">
      <c r="Q43" s="63">
        <f>IF(OR(L47="",L47="در انتظار"),"",IF(Q47="",TODAY(),Q47))</f>
        <v/>
      </c>
    </row>
    <row r="44">
      <c r="Q44" s="63">
        <f>IF(OR(L48="",L48="در انتظار"),"",IF(Q48="",TODAY(),Q48))</f>
        <v/>
      </c>
    </row>
    <row r="45">
      <c r="Q45" s="63">
        <f>IF(OR(L49="",L49="در انتظار"),"",IF(Q49="",TODAY(),Q49))</f>
        <v/>
      </c>
    </row>
    <row r="46">
      <c r="Q46" s="63">
        <f>IF(OR(L50="",L50="در انتظار"),"",IF(Q50="",TODAY(),Q50))</f>
        <v/>
      </c>
    </row>
    <row r="47">
      <c r="Q47" s="63">
        <f>IF(OR(L51="",L51="در انتظار"),"",IF(Q51="",TODAY(),Q51))</f>
        <v/>
      </c>
    </row>
    <row r="48">
      <c r="Q48" s="63">
        <f>IF(OR(L52="",L52="در انتظار"),"",IF(Q52="",TODAY(),Q52))</f>
        <v/>
      </c>
    </row>
    <row r="49">
      <c r="Q49" s="63">
        <f>IF(OR(L53="",L53="در انتظار"),"",IF(Q53="",TODAY(),Q53))</f>
        <v/>
      </c>
    </row>
    <row r="50">
      <c r="Q50" s="63">
        <f>IF(OR(L54="",L54="در انتظار"),"",IF(Q54="",TODAY(),Q54))</f>
        <v/>
      </c>
    </row>
    <row r="51">
      <c r="Q51" s="63">
        <f>IF(OR(L55="",L55="در انتظار"),"",IF(Q55="",TODAY(),Q55))</f>
        <v/>
      </c>
    </row>
    <row r="52">
      <c r="Q52" s="63">
        <f>IF(OR(L56="",L56="در انتظار"),"",IF(Q56="",TODAY(),Q56))</f>
        <v/>
      </c>
    </row>
    <row r="53">
      <c r="Q53" s="63">
        <f>IF(OR(L57="",L57="در انتظار"),"",IF(Q57="",TODAY(),Q57))</f>
        <v/>
      </c>
    </row>
    <row r="54">
      <c r="Q54" s="63">
        <f>IF(OR(L58="",L58="در انتظار"),"",IF(Q58="",TODAY(),Q58))</f>
        <v/>
      </c>
    </row>
    <row r="55">
      <c r="Q55" s="63">
        <f>IF(OR(L59="",L59="در انتظار"),"",IF(Q59="",TODAY(),Q59))</f>
        <v/>
      </c>
    </row>
    <row r="56">
      <c r="Q56" s="63">
        <f>IF(OR(L60="",L60="در انتظار"),"",IF(Q60="",TODAY(),Q60))</f>
        <v/>
      </c>
    </row>
    <row r="57">
      <c r="Q57" s="63">
        <f>IF(OR(L61="",L61="در انتظار"),"",IF(Q61="",TODAY(),Q61))</f>
        <v/>
      </c>
    </row>
    <row r="58">
      <c r="Q58" s="63">
        <f>IF(OR(L62="",L62="در انتظار"),"",IF(Q62="",TODAY(),Q62))</f>
        <v/>
      </c>
    </row>
    <row r="59">
      <c r="Q59" s="63">
        <f>IF(OR(L63="",L63="در انتظار"),"",IF(Q63="",TODAY(),Q63))</f>
        <v/>
      </c>
    </row>
    <row r="60">
      <c r="Q60" s="63">
        <f>IF(OR(L64="",L64="در انتظار"),"",IF(Q64="",TODAY(),Q64))</f>
        <v/>
      </c>
    </row>
    <row r="61">
      <c r="Q61" s="63">
        <f>IF(OR(L65="",L65="در انتظار"),"",IF(Q65="",TODAY(),Q65))</f>
        <v/>
      </c>
    </row>
    <row r="62">
      <c r="Q62" s="63">
        <f>IF(OR(L66="",L66="در انتظار"),"",IF(Q66="",TODAY(),Q66))</f>
        <v/>
      </c>
    </row>
  </sheetData>
  <autoFilter ref="A4:Q62"/>
  <mergeCells count="3">
    <mergeCell ref="A1:P1"/>
    <mergeCell ref="A3:P3"/>
    <mergeCell ref="A2:P2"/>
  </mergeCells>
  <dataValidations count="1">
    <dataValidation sqref="L5:L106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A3" r:id="rId1"/>
    <hyperlink ref="E6" location="'برنامه تست'!A5"/>
    <hyperlink ref="D7" location="'برنامه تست'!A6"/>
    <hyperlink ref="E7" location="'برنامه تست'!A6"/>
    <hyperlink ref="D8" location="'برنامه تست'!A7"/>
    <hyperlink ref="E8" location="'برنامه تست'!A7"/>
    <hyperlink ref="E9" location="'برنامه تست'!A8"/>
    <hyperlink ref="D10" location="'برنامه تست'!A9"/>
    <hyperlink ref="E10" location="'برنامه تست'!A9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80" t="inlineStr">
        <is>
          <t>تست‌های برنامه‌نویسی و هاست (جدا از ولیدیشن عملی برد)</t>
        </is>
      </c>
    </row>
    <row r="2" ht="42" customHeight="1">
      <c r="B2" s="81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40.5" customHeight="1">
      <c r="A5" s="47" t="inlineStr">
        <is>
          <t>MS-015</t>
        </is>
      </c>
      <c r="B5" s="48" t="inlineStr">
        <is>
          <t>NULL در GetSnapshot</t>
        </is>
      </c>
      <c r="C5" s="49" t="inlineStr">
        <is>
          <t>بالا</t>
        </is>
      </c>
      <c r="D5" s="48" t="inlineStr">
        <is>
          <t>هر زمان</t>
        </is>
      </c>
      <c r="E5" s="48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5" s="50" t="inlineStr">
        <is>
          <t>NULL pointer</t>
        </is>
      </c>
      <c r="G5" s="50" t="inlineStr">
        <is>
          <t>100ms</t>
        </is>
      </c>
      <c r="H5" s="48" t="inlineStr">
        <is>
          <t>return false، بدون کرش، snapshot تغییر نکند. PASS: false. FAIL: کرش یا true.</t>
        </is>
      </c>
      <c r="I5" s="48" t="inlineStr">
        <is>
          <t>PASS: NULL → false. FAIL: true/crash.</t>
        </is>
      </c>
      <c r="J5" s="51" t="n"/>
      <c r="K5" s="52" t="inlineStr">
        <is>
          <t>در انتظار</t>
        </is>
      </c>
      <c r="L5" s="53" t="n"/>
      <c r="M5" s="48" t="n"/>
      <c r="N5" s="48" t="inlineStr">
        <is>
          <t>c6b084f28f2c507cfd342e5dbd0dbd8e45686772</t>
        </is>
      </c>
      <c r="O5" s="50" t="n"/>
      <c r="P5" s="50" t="n"/>
      <c r="Q5" s="54">
        <f>IF(OR(L5="",L5="در انتظار"),"",IF(Q5="",TODAY(),Q5))</f>
        <v/>
      </c>
    </row>
    <row r="6" ht="54" customHeight="1">
      <c r="A6" s="47" t="inlineStr">
        <is>
          <t>MS-016</t>
        </is>
      </c>
      <c r="B6" s="55" t="inlineStr">
        <is>
          <t>Snapshot چندفیلدی اتمیک</t>
        </is>
      </c>
      <c r="C6" s="56" t="inlineStr">
        <is>
          <t>بالا</t>
        </is>
      </c>
      <c r="D6" s="55" t="inlineStr">
        <is>
          <t>valid=true</t>
        </is>
      </c>
      <c r="E6" s="55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6" s="58" t="inlineStr">
        <is>
          <t>concurrent read</t>
        </is>
      </c>
      <c r="G6" s="58" t="inlineStr">
        <is>
          <t>20ms</t>
        </is>
      </c>
      <c r="H6" s="55" t="inlineStr">
        <is>
          <t>هر دو snapshot کپی‌شده باید یا کامل قدیمی یا کامل جدید باشد، نه ترکیبی. با osKernelLock تضمین. PASS: atomic. FAIL: torn read.</t>
        </is>
      </c>
      <c r="I6" s="55" t="inlineStr">
        <is>
          <t>PASS: no torn data. FAIL: partial.</t>
        </is>
      </c>
      <c r="J6" s="55" t="n"/>
      <c r="K6" s="55" t="inlineStr">
        <is>
          <t>در انتظار</t>
        </is>
      </c>
      <c r="L6" s="59" t="n"/>
      <c r="M6" s="55" t="n"/>
      <c r="N6" s="55" t="inlineStr">
        <is>
          <t>c6b084f28f2c507cfd342e5dbd0dbd8e45686772</t>
        </is>
      </c>
      <c r="O6" s="58" t="n"/>
      <c r="P6" s="58" t="n"/>
      <c r="Q6" s="60">
        <f>IF(OR(L6="",L6="در انتظار"),"",IF(Q6="",TODAY(),Q6))</f>
        <v/>
      </c>
    </row>
    <row r="7" ht="54" customHeight="1">
      <c r="A7" s="47" t="inlineStr">
        <is>
          <t>MS-018</t>
        </is>
      </c>
      <c r="B7" s="55" t="inlineStr">
        <is>
          <t>DMA frame کامل</t>
        </is>
      </c>
      <c r="C7" s="56" t="inlineStr">
        <is>
          <t>بالا</t>
        </is>
      </c>
      <c r="D7" s="55" t="inlineStr">
        <is>
          <t>valid=true</t>
        </is>
      </c>
      <c r="E7" s="55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7" s="58" t="inlineStr">
        <is>
          <t>DMA CNDTR</t>
        </is>
      </c>
      <c r="G7" s="58" t="inlineStr">
        <is>
          <t>10ms</t>
        </is>
      </c>
      <c r="H7" s="55" t="inlineStr">
        <is>
          <t>GetRaw باید stable window true بدهد و 5 نمونه valid. PASS: stable copy. FAIL: torn یا retry exceed.</t>
        </is>
      </c>
      <c r="I7" s="55" t="inlineStr">
        <is>
          <t>PASS: stable frame. FAIL: unstable.</t>
        </is>
      </c>
      <c r="J7" s="55" t="n"/>
      <c r="K7" s="55" t="inlineStr">
        <is>
          <t>در انتظار</t>
        </is>
      </c>
      <c r="L7" s="59" t="n"/>
      <c r="M7" s="55" t="n"/>
      <c r="N7" s="55" t="inlineStr">
        <is>
          <t>c6b084f28f2c507cfd342e5dbd0dbd8e45686772</t>
        </is>
      </c>
      <c r="O7" s="58" t="n"/>
      <c r="P7" s="58" t="n"/>
      <c r="Q7" s="60">
        <f>IF(OR(L7="",L7="در انتظار"),"",IF(Q7="",TODAY(),Q7))</f>
        <v/>
      </c>
    </row>
    <row r="8" ht="54" customHeight="1">
      <c r="A8" s="47" t="inlineStr">
        <is>
          <t>ME-022</t>
        </is>
      </c>
      <c r="B8" s="55" t="inlineStr">
        <is>
          <t>snapshot zeroing مصرف‌کننده</t>
        </is>
      </c>
      <c r="C8" s="56" t="inlineStr">
        <is>
          <t>بالا</t>
        </is>
      </c>
      <c r="D8" s="55" t="inlineStr">
        <is>
          <t>Measurement خاموش</t>
        </is>
      </c>
      <c r="E8" s="55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8" s="58" t="inlineStr">
        <is>
          <t>valid=false</t>
        </is>
      </c>
      <c r="G8" s="58" t="inlineStr">
        <is>
          <t>3s</t>
        </is>
      </c>
      <c r="H8" s="55" t="inlineStr">
        <is>
          <t>مصرف‌کننده‌ها (Changeover/Charger/Fault/Imbalance) بدون خواندن زباله safe-idle بمانند</t>
        </is>
      </c>
      <c r="I8" s="55" t="inlineStr">
        <is>
          <t>—</t>
        </is>
      </c>
      <c r="J8" s="55" t="inlineStr">
        <is>
          <t>بدون indeterminate struct</t>
        </is>
      </c>
      <c r="K8" s="55" t="n"/>
      <c r="L8" s="62" t="inlineStr">
        <is>
          <t>نیاز به تکرار</t>
        </is>
      </c>
      <c r="M8" s="55" t="n"/>
      <c r="N8" s="55" t="n"/>
      <c r="O8" s="58" t="inlineStr">
        <is>
          <t>62f3782</t>
        </is>
      </c>
      <c r="P8" s="58" t="n"/>
      <c r="Q8" s="60" t="inlineStr">
        <is>
          <t>2026-10-12</t>
        </is>
      </c>
    </row>
    <row r="9">
      <c r="Q9" s="63">
        <f>IF(OR(L9="",L9="در انتظار"),"",IF(Q9="",TODAY(),Q9))</f>
        <v/>
      </c>
    </row>
    <row r="10">
      <c r="Q10" s="63">
        <f>IF(OR(L10="",L10="در انتظار"),"",IF(Q10="",TODAY(),Q10))</f>
        <v/>
      </c>
    </row>
    <row r="11">
      <c r="Q11" s="63">
        <f>IF(OR(L11="",L11="در انتظار"),"",IF(Q11="",TODAY(),Q11))</f>
        <v/>
      </c>
    </row>
    <row r="12">
      <c r="Q12" s="63">
        <f>IF(OR(L12="",L12="در انتظار"),"",IF(Q12="",TODAY(),Q12))</f>
        <v/>
      </c>
    </row>
    <row r="13">
      <c r="Q13" s="63">
        <f>IF(OR(L13="",L13="در انتظار"),"",IF(Q13="",TODAY(),Q13))</f>
        <v/>
      </c>
    </row>
    <row r="14">
      <c r="Q14" s="63">
        <f>IF(OR(L14="",L14="در انتظار"),"",IF(Q14="",TODAY(),Q14))</f>
        <v/>
      </c>
    </row>
    <row r="15">
      <c r="Q15" s="63">
        <f>IF(OR(L15="",L15="در انتظار"),"",IF(Q15="",TODAY(),Q15))</f>
        <v/>
      </c>
    </row>
    <row r="16">
      <c r="Q16" s="63">
        <f>IF(OR(L16="",L16="در انتظار"),"",IF(Q16="",TODAY(),Q16))</f>
        <v/>
      </c>
    </row>
    <row r="17">
      <c r="Q17" s="63">
        <f>IF(OR(L17="",L17="در انتظار"),"",IF(Q17="",TODAY(),Q17))</f>
        <v/>
      </c>
    </row>
    <row r="18">
      <c r="Q18" s="63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64" t="inlineStr">
        <is>
          <t>مرجع Measurement — فرمول‌ها و کالیبراسیون</t>
        </is>
      </c>
    </row>
    <row r="2" ht="18" customHeight="1">
      <c r="A2" s="65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6" t="inlineStr">
        <is>
          <t>Vref و ADC</t>
        </is>
      </c>
      <c r="B4" s="66" t="inlineStr">
        <is>
          <t>Vref 3300mV، 12bit 4095</t>
        </is>
      </c>
      <c r="C4" s="66" t="inlineStr">
        <is>
          <t>پایه</t>
        </is>
      </c>
      <c r="D4" s="66" t="inlineStr">
        <is>
          <t>BSP_MEASUREMENT_VREF_MV/ADC_FULL_SCALE</t>
        </is>
      </c>
      <c r="E4" s="66" t="inlineStr">
        <is>
          <t>مرجع STM32F1</t>
        </is>
      </c>
      <c r="F4" s="67" t="inlineStr">
        <is>
          <t>MS-019,020</t>
        </is>
      </c>
    </row>
    <row r="5" ht="14" customHeight="1">
      <c r="A5" s="66" t="inlineStr">
        <is>
          <t>CountsToMv</t>
        </is>
      </c>
      <c r="B5" s="66" t="inlineStr">
        <is>
          <t>counts*3300/4095</t>
        </is>
      </c>
      <c r="C5" s="66" t="inlineStr">
        <is>
          <t>ولتاژ پایه ADC</t>
        </is>
      </c>
      <c r="D5" s="66" t="inlineStr">
        <is>
          <t>func__BspMeasurement_CountsToMv</t>
        </is>
      </c>
      <c r="E5" s="66" t="inlineStr">
        <is>
          <t>±0.8mV/LSB</t>
        </is>
      </c>
      <c r="F5" s="67" t="inlineStr">
        <is>
          <t>MS-008..012</t>
        </is>
      </c>
    </row>
    <row r="6" ht="14" customHeight="1">
      <c r="A6" s="66" t="inlineStr">
        <is>
          <t>V24</t>
        </is>
      </c>
      <c r="B6" s="66" t="inlineStr">
        <is>
          <t>adcPinMv*(69200+6800)/6800</t>
        </is>
      </c>
      <c r="C6" s="66" t="inlineStr">
        <is>
          <t>منبع 24V</t>
        </is>
      </c>
      <c r="D6" s="66" t="inlineStr">
        <is>
          <t>DIV24_TOP/BOTTOM</t>
        </is>
      </c>
      <c r="E6" s="66" t="inlineStr">
        <is>
          <t>±9mV/LSB</t>
        </is>
      </c>
      <c r="F6" s="67" t="inlineStr">
        <is>
          <t>MS-008,009</t>
        </is>
      </c>
    </row>
    <row r="7" ht="14" customHeight="1">
      <c r="A7" s="66" t="inlineStr">
        <is>
          <t>V12</t>
        </is>
      </c>
      <c r="B7" s="66" t="inlineStr">
        <is>
          <t>adcPinMv*(34200+6800)/6800</t>
        </is>
      </c>
      <c r="C7" s="66" t="inlineStr">
        <is>
          <t>منبع 12V</t>
        </is>
      </c>
      <c r="D7" s="66" t="inlineStr">
        <is>
          <t>DIV12_TOP/BOTTOM</t>
        </is>
      </c>
      <c r="E7" s="66" t="inlineStr">
        <is>
          <t>±4.8mV/LSB</t>
        </is>
      </c>
      <c r="F7" s="67" t="inlineStr">
        <is>
          <t>MS-010</t>
        </is>
      </c>
    </row>
    <row r="8" ht="14" customHeight="1">
      <c r="A8" s="66" t="inlineStr">
        <is>
          <t>Current</t>
        </is>
      </c>
      <c r="B8" s="66" t="inlineStr">
        <is>
          <t>counts*3300*1000/(4095*101*10)</t>
        </is>
      </c>
      <c r="C8" s="66" t="inlineStr">
        <is>
          <t>mA</t>
        </is>
      </c>
      <c r="D8" s="66" t="inlineStr">
        <is>
          <t>SHUNT 10mΩ GAIN101</t>
        </is>
      </c>
      <c r="E8" s="66" t="inlineStr">
        <is>
          <t>±0.8mA/LSB</t>
        </is>
      </c>
      <c r="F8" s="67" t="inlineStr">
        <is>
          <t>MS-011,012</t>
        </is>
      </c>
    </row>
    <row r="9" ht="14" customHeight="1">
      <c r="A9" s="66" t="inlineStr">
        <is>
          <t>Warmup</t>
        </is>
      </c>
      <c r="B9" s="66" t="inlineStr">
        <is>
          <t>3 فریم</t>
        </is>
      </c>
      <c r="C9" s="66" t="inlineStr">
        <is>
          <t>valid پس از 3</t>
        </is>
      </c>
      <c r="D9" s="66" t="inlineStr">
        <is>
          <t>MEASUREMENT_WARMUP_FRAME_COUNT=3</t>
        </is>
      </c>
      <c r="E9" s="66" t="inlineStr">
        <is>
          <t>واحد: فریم کامل</t>
        </is>
      </c>
      <c r="F9" s="67" t="inlineStr">
        <is>
          <t>MS-002..006</t>
        </is>
      </c>
    </row>
    <row r="10" ht="14" customHeight="1">
      <c r="A10" s="66" t="inlineStr">
        <is>
          <t>Invalid</t>
        </is>
      </c>
      <c r="B10" s="66" t="inlineStr">
        <is>
          <t>GetRaw false → valid false + reset</t>
        </is>
      </c>
      <c r="C10" s="66" t="inlineStr">
        <is>
          <t xml:space="preserve"> warmup reset</t>
        </is>
      </c>
      <c r="D10" s="67" t="inlineStr">
        <is>
          <t>measurement.c</t>
        </is>
      </c>
      <c r="E10" s="66" t="inlineStr">
        <is>
          <t>ناپایدار</t>
        </is>
      </c>
      <c r="F10" s="67" t="inlineStr">
        <is>
          <t>MS-005</t>
        </is>
      </c>
    </row>
    <row r="11" ht="14" customHeight="1">
      <c r="A11" s="66" t="inlineStr">
        <is>
          <t>Vin zero</t>
        </is>
      </c>
      <c r="B11" s="66" t="inlineStr">
        <is>
          <t>Vin 0V still valid</t>
        </is>
      </c>
      <c r="C11" s="66" t="inlineStr">
        <is>
          <t>invalid نشود</t>
        </is>
      </c>
      <c r="D11" s="67" t="inlineStr">
        <is>
          <t>measurement.c</t>
        </is>
      </c>
      <c r="E11" s="66" t="inlineStr">
        <is>
          <t>مستقل از Vin</t>
        </is>
      </c>
      <c r="F11" s="67" t="inlineStr">
        <is>
          <t>MS-007</t>
        </is>
      </c>
    </row>
    <row r="12" ht="14" customHeight="1">
      <c r="A12" s="66" t="inlineStr">
        <is>
          <t>NULL</t>
        </is>
      </c>
      <c r="B12" s="66" t="inlineStr">
        <is>
          <t>GetSnapshot NULL → false</t>
        </is>
      </c>
      <c r="C12" s="66" t="inlineStr">
        <is>
          <t>بدون کرش</t>
        </is>
      </c>
      <c r="D12" s="66" t="inlineStr">
        <is>
          <t>func__Measurement_GetSnapshot</t>
        </is>
      </c>
      <c r="E12" s="66" t="inlineStr">
        <is>
          <t>بررسی اشاره‌گر</t>
        </is>
      </c>
      <c r="F12" s="67" t="inlineStr">
        <is>
          <t>MS-015</t>
        </is>
      </c>
    </row>
    <row r="13" ht="14" customHeight="1">
      <c r="A13" s="66" t="inlineStr">
        <is>
          <t>Atomic</t>
        </is>
      </c>
      <c r="B13" s="66" t="inlineStr">
        <is>
          <t>osKernelLock</t>
        </is>
      </c>
      <c r="C13" s="66" t="inlineStr">
        <is>
          <t>بدون torn read</t>
        </is>
      </c>
      <c r="D13" s="67" t="inlineStr">
        <is>
          <t>measurement.c</t>
        </is>
      </c>
      <c r="E13" s="66" t="inlineStr">
        <is>
          <t>CMSIS-RTOS2</t>
        </is>
      </c>
      <c r="F13" s="67" t="inlineStr">
        <is>
          <t>MS-016</t>
        </is>
      </c>
    </row>
    <row r="14" ht="14" customHeight="1">
      <c r="A14" s="66" t="inlineStr">
        <is>
          <t>Period</t>
        </is>
      </c>
      <c r="B14" s="66" t="inlineStr">
        <is>
          <t>10ms</t>
        </is>
      </c>
      <c r="C14" s="66" t="inlineStr">
        <is>
          <t>هر 10ms یک Run</t>
        </is>
      </c>
      <c r="D14" s="66" t="inlineStr">
        <is>
          <t>MEASUREMENT_PERIOD_MS=10</t>
        </is>
      </c>
      <c r="E14" s="66" t="inlineStr">
        <is>
          <t>osDelayUntil</t>
        </is>
      </c>
      <c r="F14" s="67" t="inlineStr">
        <is>
          <t>MS-017</t>
        </is>
      </c>
    </row>
    <row r="15" ht="14" customHeight="1">
      <c r="A15" s="66" t="inlineStr">
        <is>
          <t>DMA</t>
        </is>
      </c>
      <c r="B15" s="66" t="inlineStr">
        <is>
          <t>2×5 halfword circular</t>
        </is>
      </c>
      <c r="C15" s="66" t="inlineStr">
        <is>
          <t>CNDTR stable</t>
        </is>
      </c>
      <c r="D15" s="67" t="inlineStr">
        <is>
          <t>bsp_adc.c</t>
        </is>
      </c>
      <c r="E15" s="66" t="inlineStr">
        <is>
          <t>2 فریم</t>
        </is>
      </c>
      <c r="F15" s="67" t="inlineStr">
        <is>
          <t>MS-018</t>
        </is>
      </c>
    </row>
  </sheetData>
  <mergeCells count="2">
    <mergeCell ref="A2:F2"/>
    <mergeCell ref="A1:F1"/>
  </mergeCells>
  <hyperlinks>
    <hyperlink ref="F4" location="'برنامه تست'!A20"/>
    <hyperlink ref="F5" location="'برنامه تست'!A12"/>
    <hyperlink ref="F6" location="'برنامه تست'!A12"/>
    <hyperlink ref="F7" location="'برنامه تست'!A14"/>
    <hyperlink ref="F8" location="'برنامه تست'!A15"/>
    <hyperlink ref="F9" location="'برنامه تست'!A6"/>
    <hyperlink xmlns:r="http://schemas.openxmlformats.org/officeDocument/2006/relationships" ref="D10" r:id="rId1"/>
    <hyperlink ref="F10" location="'برنامه تست'!A9"/>
    <hyperlink xmlns:r="http://schemas.openxmlformats.org/officeDocument/2006/relationships" ref="D11" r:id="rId2"/>
    <hyperlink ref="F11" location="'برنامه تست'!A11"/>
    <hyperlink ref="F12" location="'تست‌های برنامه‌نویسی'!A5"/>
    <hyperlink xmlns:r="http://schemas.openxmlformats.org/officeDocument/2006/relationships" ref="D13" r:id="rId3"/>
    <hyperlink ref="F13" location="'تست‌های برنامه‌نویسی'!A6"/>
    <hyperlink ref="F14" location="'برنامه تست'!A19"/>
    <hyperlink xmlns:r="http://schemas.openxmlformats.org/officeDocument/2006/relationships" ref="D15" r:id="rId4"/>
    <hyperlink ref="F15" location="'تست‌های برنامه‌نویسی'!A7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4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Measurement — ADC/ کالیبراسیون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Measurement — ADC/ کالیبراسیون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(1.0)</t>
        </is>
      </c>
      <c r="C5" s="70" t="inlineStr">
        <is>
          <t>نسخه فرم</t>
        </is>
      </c>
      <c r="D5" s="42" t="inlineStr">
        <is>
          <t>1.0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دامنه</t>
        </is>
      </c>
      <c r="B10" s="42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 warmup</t>
        </is>
      </c>
      <c r="B11" s="42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دوره</t>
        </is>
      </c>
      <c r="B12" s="42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کالیبراسیون</t>
        </is>
      </c>
      <c r="B13" s="42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40" t="inlineStr">
        <is>
          <t>خلاصه خودکار وضعیت تست‌ها (پس از تست برد پر شود)</t>
        </is>
      </c>
    </row>
    <row r="15">
      <c r="A15" s="41" t="inlineStr">
        <is>
          <t>شاخص</t>
        </is>
      </c>
      <c r="B15" s="41" t="inlineStr">
        <is>
          <t>مقدار</t>
        </is>
      </c>
      <c r="C15" s="41" t="inlineStr">
        <is>
          <t>توضیح</t>
        </is>
      </c>
      <c r="D15" s="41" t="inlineStr">
        <is>
          <t>فرمول پیشنهادی</t>
        </is>
      </c>
      <c r="E15" s="8" t="n"/>
      <c r="F15" s="9" t="n"/>
    </row>
    <row r="16" ht="13" customHeight="1">
      <c r="A16" s="42" t="inlineStr">
        <is>
          <t>تعداد کل تست‌ها</t>
        </is>
      </c>
      <c r="B16" s="71">
        <f>COUNTA('برنامه تست'!A5:A200)</f>
        <v/>
      </c>
      <c r="C16" s="42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42" t="inlineStr">
        <is>
          <t>تعداد قبول (PASS)</t>
        </is>
      </c>
      <c r="B17" s="71">
        <f>COUNTIF('برنامه تست'!K5:K200,"قبول")</f>
        <v/>
      </c>
      <c r="C17" s="42" t="inlineStr">
        <is>
          <t>تعداد ردیف با وضعیت = قبول</t>
        </is>
      </c>
      <c r="D17" s="42" t="inlineStr">
        <is>
          <t>COUNTIF('برنامه تست'!K5:K200,"قبول")</t>
        </is>
      </c>
      <c r="E17" s="8" t="n"/>
      <c r="F17" s="9" t="n"/>
    </row>
    <row r="18" ht="13" customHeight="1">
      <c r="A18" s="42" t="inlineStr">
        <is>
          <t>تعداد رد (FAIL)</t>
        </is>
      </c>
      <c r="B18" s="71">
        <f>COUNTIF('برنامه تست'!K5:K200,"رد")</f>
        <v/>
      </c>
      <c r="C18" s="42" t="inlineStr">
        <is>
          <t>تعداد ردیف با وضعیت = رد</t>
        </is>
      </c>
      <c r="D18" s="42" t="inlineStr">
        <is>
          <t>COUNTIF('برنامه تست'!K5:K200,"رد")</t>
        </is>
      </c>
      <c r="E18" s="8" t="n"/>
      <c r="F18" s="9" t="n"/>
    </row>
    <row r="19" ht="13" customHeight="1">
      <c r="A19" s="42" t="inlineStr">
        <is>
          <t>تعداد در انتظار</t>
        </is>
      </c>
      <c r="B19" s="71">
        <f>COUNTIF('برنامه تست'!K5:K200,"در انتظار")</f>
        <v/>
      </c>
      <c r="C19" s="42" t="inlineStr">
        <is>
          <t>تعداد ردیف با وضعیت = در انتظار</t>
        </is>
      </c>
      <c r="D19" s="42" t="inlineStr">
        <is>
          <t>COUNTIF('برنامه تست'!K5:K200,"در انتظار")</t>
        </is>
      </c>
      <c r="E19" s="8" t="n"/>
      <c r="F19" s="9" t="n"/>
    </row>
    <row r="20" ht="13" customHeight="1">
      <c r="A20" s="42" t="inlineStr">
        <is>
          <t>تعداد مسدود</t>
        </is>
      </c>
      <c r="B20" s="71">
        <f>COUNTIF('برنامه تست'!K5:K200,"مسدود")</f>
        <v/>
      </c>
      <c r="C20" s="42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42" t="inlineStr">
        <is>
          <t>نرخ قبولی</t>
        </is>
      </c>
      <c r="B21" s="71">
        <f>IF(B16=0,"",TEXT(B17/B16,"0%"))</f>
        <v/>
      </c>
      <c r="C21" s="42" t="inlineStr">
        <is>
          <t>PASS / TOTAL</t>
        </is>
      </c>
      <c r="D21" s="10" t="inlineStr"/>
      <c r="E21" s="8" t="n"/>
      <c r="F21" s="9" t="n"/>
    </row>
    <row r="22">
      <c r="A22" s="40" t="inlineStr">
        <is>
          <t>امضاها</t>
        </is>
      </c>
    </row>
    <row r="23" ht="18" customHeight="1">
      <c r="A23" s="41" t="inlineStr">
        <is>
          <t>نقش</t>
        </is>
      </c>
      <c r="B23" s="41" t="inlineStr">
        <is>
          <t>نام و نام خانوادگی</t>
        </is>
      </c>
      <c r="C23" s="41" t="inlineStr">
        <is>
          <t>تاریخ</t>
        </is>
      </c>
      <c r="D23" s="41" t="inlineStr">
        <is>
          <t>امضا</t>
        </is>
      </c>
      <c r="E23" s="41" t="inlineStr">
        <is>
          <t>توضیحات</t>
        </is>
      </c>
      <c r="F23" s="9" t="n"/>
    </row>
    <row r="24" ht="22" customHeight="1">
      <c r="A24" s="42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42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اندازه‌گیری (Measurement)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Measurement_State_Machine.xlsx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2026-10-16T16:35:00Z</dcterms:modified>
</cp:coreProperties>
</file>