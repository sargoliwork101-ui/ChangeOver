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تست'!$A$4:$Q$54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fault.c" TargetMode="External" Id="rId1" /><Relationship Type="http://schemas.openxmlformats.org/officeDocument/2006/relationships/hyperlink" Target="../../Config/Inc/app_types.h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Fault</t>
        </is>
      </c>
    </row>
    <row r="2">
      <c r="A2" s="13" t="inlineStr">
        <is>
          <t>Fault | مالک تشخیص متمرکز قطع باتری (FAULT_CHARGER_BAT_LOST، بیت ۶) + ماسک خطای قفل‌شده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13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13" t="inlineStr">
        <is>
          <t>بدون snapshot معتبر هیچ Set/Clear انجام نمی‌شود.</t>
        </is>
      </c>
    </row>
    <row r="8">
      <c r="A8" s="2" t="inlineStr"/>
    </row>
    <row r="9">
      <c r="A9" s="13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Fault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FL-001</t>
        </is>
      </c>
      <c r="B5" s="17" t="inlineStr">
        <is>
          <t>قاعدهٔ پمپ</t>
        </is>
      </c>
      <c r="C5" s="18" t="inlineStr">
        <is>
          <t>بالا</t>
        </is>
      </c>
      <c r="D5" s="17" t="inlineStr">
        <is>
          <t>شارژ فعال (BULK/ABSORB)</t>
        </is>
      </c>
      <c r="E5" s="17" t="inlineStr">
        <is>
          <t>گام ۱: شارژ را در حالت BULK یا ABSORB راه بینداز.
گام ۲: حین شارژ، سیم یکی از نیم‌باتری‌ها را قطع کن و ولتاژ گره خروجی را نگاه کن.
گام ۳: وقتی خروجی پمپ بالای 14800 میلی‌ولت رفت، حداکثر 150 میلی‌ثانیه صبر کن.
گام ۴: در پنل باید قفل FAULT_CHARGER_BAT_LOST ست شود، شارژر به وضعیت BAT_LOST برود (state=8) و PWM قطع شود.</t>
        </is>
      </c>
      <c r="F5" s="19" t="inlineStr">
        <is>
          <t>خروجی پمپ &gt;14800mV</t>
        </is>
      </c>
      <c r="G5" s="19" t="inlineStr">
        <is>
          <t>کمتر از یک ثانیه</t>
        </is>
      </c>
      <c r="H5" s="17" t="inlineStr">
        <is>
          <t>قفل FAULT_CHARGER_BAT_LOST؛ شارژر به BAT_LOST می‌رود و PWM قطع</t>
        </is>
      </c>
      <c r="I5" s="17" t="inlineStr">
        <is>
          <t>latch تا بازیابی</t>
        </is>
      </c>
      <c r="J5" s="17" t="inlineStr">
        <is>
          <t>FAULT_CHARGER_BAT_LOST=1 و state=8 در پنل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54" customHeight="1">
      <c r="A6" s="16" t="inlineStr">
        <is>
          <t>FL-002</t>
        </is>
      </c>
      <c r="B6" s="22" t="inlineStr">
        <is>
          <t>قاعدهٔ غیبت</t>
        </is>
      </c>
      <c r="C6" s="23" t="inlineStr">
        <is>
          <t>بالا</t>
        </is>
      </c>
      <c r="D6" s="22" t="inlineStr">
        <is>
          <t>ورودی سالم 21..28V</t>
        </is>
      </c>
      <c r="E6" s="22" t="inlineStr">
        <is>
          <t>گام ۱: ورودی را سالم در بازهٔ 21 تا 28 ولت نگه دار.
گام ۲: هر نیم‌باتری را جدا کن تا ولتاژش زیر 6 ولت (6000 میلی‌ولت) بماند.
گام ۳: 1000 میلی‌ثانیه صبر کن.
گام ۴: باید قفل FAULT_CHARGER_BAT_LOST ست شده باشد.</t>
        </is>
      </c>
      <c r="F6" s="24" t="inlineStr">
        <is>
          <t>هر نیم &lt;6000mV</t>
        </is>
      </c>
      <c r="G6" s="24" t="inlineStr">
        <is>
          <t>۱ ثانیه</t>
        </is>
      </c>
      <c r="H6" s="22" t="inlineStr">
        <is>
          <t>قفل FAULT_CHARGER_BAT_LOST</t>
        </is>
      </c>
      <c r="I6" s="22" t="inlineStr">
        <is>
          <t>latch تا بازیابی</t>
        </is>
      </c>
      <c r="J6" s="22" t="inlineStr">
        <is>
          <t>FAULT_CHARGER_BAT_LOST=1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FL-003</t>
        </is>
      </c>
      <c r="B7" s="17" t="inlineStr">
        <is>
          <t>بازیابی</t>
        </is>
      </c>
      <c r="C7" s="18" t="inlineStr">
        <is>
          <t>بالا</t>
        </is>
      </c>
      <c r="D7" s="17" t="inlineStr">
        <is>
          <t>بیت قفل‌شده</t>
        </is>
      </c>
      <c r="E7" s="26" t="inlineStr">
        <is>
          <t>گام ۱: اول بیت FAULT_CHARGER_BAT_LOST را قفل کن (مثل FL-001).
گام ۲: هر دو نیم‌باتری را وصل کن و هر دو را دست‌کم 7 ولت (7000 میلی‌ولت) نگه دار، بدون اینکه پمپ شارژ فعال باشد.
گام ۳: 1000 میلی‌ثانیه صبر کن.
گام ۴: بیت باید پاک شده باشد؛ شارژر از OFF می‌گذرد، گیت 15 ثانیه‌ای را رد می‌کند و با رمپ نرم وارد BULK می‌شود.</t>
        </is>
      </c>
      <c r="F7" s="19" t="inlineStr">
        <is>
          <t>هر دو نیم ≥7000mV</t>
        </is>
      </c>
      <c r="G7" s="19" t="inlineStr">
        <is>
          <t>۱ ثانیه</t>
        </is>
      </c>
      <c r="H7" s="17" t="inlineStr">
        <is>
          <t>پاک شدن بیت؛ شارژر OFF → گیت 15s → BULK نرم</t>
        </is>
      </c>
      <c r="I7" s="17" t="inlineStr">
        <is>
          <t>پاک‌شدن یک‌باره</t>
        </is>
      </c>
      <c r="J7" s="17" t="inlineStr">
        <is>
          <t>FAULT_CHARGER_BAT_LOST=0 و شارژ از نو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FL-004</t>
        </is>
      </c>
      <c r="B8" s="22" t="inlineStr">
        <is>
          <t>هیسترزیس 6/7V</t>
        </is>
      </c>
      <c r="C8" s="24" t="inlineStr">
        <is>
          <t>متوسط</t>
        </is>
      </c>
      <c r="D8" s="22" t="inlineStr">
        <is>
          <t>باتری واقعی وصل</t>
        </is>
      </c>
      <c r="E8" s="22" t="inlineStr">
        <is>
          <t>گام ۱: باتری واقعی را وصل کن.
گام ۲: ولتاژ یک نیم‌باتری را در ناحیهٔ مرده، یعنی بین 6000 تا 7000 میلی‌ولت، ثابت نگه دار.
گام ۳: 60 ثانیه وضعیت بیت را نگاه کن.
گام ۴: نباید نه تریپ تازه بیاید نه بیت به‌صورت نوسانی پاک و ست شود؛ بیت باید بی‌تغییر بماند.</t>
        </is>
      </c>
      <c r="F8" s="24" t="inlineStr">
        <is>
          <t>6000..7000mV</t>
        </is>
      </c>
      <c r="G8" s="24" t="inlineStr">
        <is>
          <t>60s</t>
        </is>
      </c>
      <c r="H8" s="22" t="inlineStr">
        <is>
          <t>نه تریپ تازه، نه پاک‌شدن نوسانی</t>
        </is>
      </c>
      <c r="I8" s="22" t="inlineStr">
        <is>
          <t>پایدار</t>
        </is>
      </c>
      <c r="J8" s="22" t="inlineStr">
        <is>
          <t>بدون تغییر بیت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FL-005</t>
        </is>
      </c>
      <c r="B9" s="17" t="inlineStr">
        <is>
          <t>آینه در شارژر</t>
        </is>
      </c>
      <c r="C9" s="18" t="inlineStr">
        <is>
          <t>بالا</t>
        </is>
      </c>
      <c r="D9" s="17" t="inlineStr">
        <is>
          <t>بیت قفل‌شده</t>
        </is>
      </c>
      <c r="E9" s="17" t="inlineStr">
        <is>
          <t>گام ۱: اول بیت FAULT_CHARGER_BAT_LOST را قفل کن.
گام ۲: در پنل وضعیت هر دو کانال را نگاه کن (2 ثانیه).
گام ۳: هر دو کانال باید وضعیت CHG_STATE_BAT_LOST (شماره 8) و PWM صفر نشان دهند.</t>
        </is>
      </c>
      <c r="F9" s="19" t="inlineStr">
        <is>
          <t>—</t>
        </is>
      </c>
      <c r="G9" s="19" t="inlineStr">
        <is>
          <t>2s</t>
        </is>
      </c>
      <c r="H9" s="17" t="inlineStr">
        <is>
          <t>کانال‌ها به CHG_STATE_BAT_LOST (8) و PWM صفر</t>
        </is>
      </c>
      <c r="I9" s="17" t="inlineStr">
        <is>
          <t>تا پاک شدن بیت</t>
        </is>
      </c>
      <c r="J9" s="17" t="inlineStr">
        <is>
          <t>state=8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FL-006</t>
        </is>
      </c>
      <c r="B10" s="22" t="inlineStr">
        <is>
          <t>snapshot نامعتبر</t>
        </is>
      </c>
      <c r="C10" s="23" t="inlineStr">
        <is>
          <t>بالا</t>
        </is>
      </c>
      <c r="D10" s="22" t="inlineStr">
        <is>
          <t>ADC در warm-up یا نامعتبر</t>
        </is>
      </c>
      <c r="E10" s="22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10" s="24" t="inlineStr">
        <is>
          <t>—</t>
        </is>
      </c>
      <c r="G10" s="24" t="inlineStr">
        <is>
          <t>—</t>
        </is>
      </c>
      <c r="H10" s="22" t="inlineStr">
        <is>
          <t>هیچ Set/Clear؛ وضعیت قبلی حفظ</t>
        </is>
      </c>
      <c r="I10" s="22" t="inlineStr">
        <is>
          <t>—</t>
        </is>
      </c>
      <c r="J10" s="22" t="inlineStr">
        <is>
          <t>بدون تغییر ماسک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FL-007</t>
        </is>
      </c>
      <c r="B11" s="17" t="inlineStr">
        <is>
          <t>فریز در مود دستی</t>
        </is>
      </c>
      <c r="C11" s="18" t="inlineStr">
        <is>
          <t>بالا</t>
        </is>
      </c>
      <c r="D11" s="17" t="inlineStr">
        <is>
          <t>مود تست دستی فعال (ID19=1)</t>
        </is>
      </c>
      <c r="E11" s="17" t="inlineStr">
        <is>
          <t>گام ۱: مود تست دستی را فعال کن (پارامتر 19 = 1).
گام ۲: با electronic load خروجی را عمداً بالای 14.8 ولت (14800 میلی‌ولت) پمپ کن.
گام ۳: 5 ثانیه نگاه کن: هیچ قفلی نباید بیاید و FAULT_CHARGER_BAT_LOST باید پاک بماند.
گام ۴: متغیرهای موقت دبانس (temp) باید صفر بمانند.</t>
        </is>
      </c>
      <c r="F11" s="19" t="inlineStr">
        <is>
          <t>خروجی &gt;14800mV در مود دستی</t>
        </is>
      </c>
      <c r="G11" s="19" t="inlineStr">
        <is>
          <t>5s</t>
        </is>
      </c>
      <c r="H11" s="17" t="inlineStr">
        <is>
          <t>هیچ قفلی؛ FAULT_CHARGER_BAT_LOST پاک می‌ماند؛ تمپ‌های دبانس صفر</t>
        </is>
      </c>
      <c r="I11" s="17" t="inlineStr">
        <is>
          <t>فریز کامل</t>
        </is>
      </c>
      <c r="J11" s="17" t="inlineStr">
        <is>
          <t>FAULT_CHARGER_BAT_LOST=0 حین مود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FL-008</t>
        </is>
      </c>
      <c r="B12" s="22" t="inlineStr">
        <is>
          <t>خروج از مود دستی</t>
        </is>
      </c>
      <c r="C12" s="24" t="inlineStr">
        <is>
          <t>متوسط</t>
        </is>
      </c>
      <c r="D12" s="27" t="inlineStr">
        <is>
          <t>بعد از FL-007</t>
        </is>
      </c>
      <c r="E12" s="27" t="inlineStr">
        <is>
          <t>گام ۱: تست FL-007 را انجام بده (مود دستی، بدون قفل).
گام ۲: مود دستی را خاموش کن.
گام ۳: شرایط قاعدهٔ ۱ FL-001 را دوباره بساز (قطع نیم‌باتری حین شارژ).
گام ۴: تشخیص باید از صفر شروع شده باشد و دقیقاً مثل FL-001 قفل کند.</t>
        </is>
      </c>
      <c r="F12" s="24" t="inlineStr">
        <is>
          <t>—</t>
        </is>
      </c>
      <c r="G12" s="24" t="inlineStr">
        <is>
          <t>2s</t>
        </is>
      </c>
      <c r="H12" s="22" t="inlineStr">
        <is>
          <t>تشخیص از نو شروع می‌شود (تمپ صفر) و قاعدهٔ ۱ کار می‌کند</t>
        </is>
      </c>
      <c r="I12" s="22" t="inlineStr">
        <is>
          <t>—</t>
        </is>
      </c>
      <c r="J12" s="27" t="inlineStr">
        <is>
          <t>قفل طبق FL-001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FL-010</t>
        </is>
      </c>
      <c r="B13" s="22" t="inlineStr">
        <is>
          <t>تله‌متری</t>
        </is>
      </c>
      <c r="C13" s="24" t="inlineStr">
        <is>
          <t>متوسط</t>
        </is>
      </c>
      <c r="D13" s="22" t="inlineStr">
        <is>
          <t>پنل ESP وصل</t>
        </is>
      </c>
      <c r="E13" s="22" t="inlineStr">
        <is>
          <t>گام ۱: پنل ESP را وصل کن.
گام ۲: یک خطای قطع باتری بساز تا فیلد fault پر شود.
گام ۳: مقدار fault را در پنل بخوان: باید برابر 64 باشد (روی صفحه به‌صورت 0x40 دیده می‌شود) و کنارش برچسب «باتری قطع» بیاید.
گام ۴: بقیهٔ بیت‌ها به‌صورت hex خام نمایش داده می‌شوند.</t>
        </is>
      </c>
      <c r="F13" s="24" t="inlineStr">
        <is>
          <t>—</t>
        </is>
      </c>
      <c r="G13" s="24" t="inlineStr">
        <is>
          <t>—</t>
        </is>
      </c>
      <c r="H13" s="22" t="inlineStr">
        <is>
          <t>FAULT_CHARGER_BAT_LOST → برچسب «باتری قطع»؛ بقیه hex خام</t>
        </is>
      </c>
      <c r="I13" s="22" t="inlineStr">
        <is>
          <t>—</t>
        </is>
      </c>
      <c r="J13" s="22" t="inlineStr">
        <is>
          <t>fault برابر 64 در پنل (روی صفحه به‌صورت 0x40 دیده می‌شود)</t>
        </is>
      </c>
      <c r="K13" s="22" t="inlineStr"/>
      <c r="L13" s="20" t="inlineStr">
        <is>
          <t>در انتظار</t>
        </is>
      </c>
      <c r="M13" s="22" t="inlineStr"/>
      <c r="N13" s="22" t="inlineStr"/>
      <c r="O13" s="24" t="inlineStr">
        <is>
          <t>TESTER: fill</t>
        </is>
      </c>
      <c r="P13" s="24" t="inlineStr"/>
      <c r="Q13" s="25" t="inlineStr">
        <is>
          <t>2026-09-23</t>
        </is>
      </c>
    </row>
    <row r="14" ht="54" customHeight="1">
      <c r="A14" s="16" t="inlineStr">
        <is>
          <t>FA-020</t>
        </is>
      </c>
      <c r="B14" s="17" t="inlineStr">
        <is>
          <t>snapshot zeroing</t>
        </is>
      </c>
      <c r="C14" s="18" t="inlineStr">
        <is>
          <t>بالا</t>
        </is>
      </c>
      <c r="D14" s="17" t="inlineStr">
        <is>
          <t>valid=false</t>
        </is>
      </c>
      <c r="E14" s="17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14" s="19" t="inlineStr">
        <is>
          <t>valid=false</t>
        </is>
      </c>
      <c r="G14" s="19" t="inlineStr">
        <is>
          <t>2s</t>
        </is>
      </c>
      <c r="H14" s="17" t="inlineStr">
        <is>
          <t>بدون Set/Clear کاذب؛ فقط valid چک شود؛ هر 9 فیلد صفر شده باشد</t>
        </is>
      </c>
      <c r="I14" s="17" t="inlineStr">
        <is>
          <t>—</t>
        </is>
      </c>
      <c r="J14" s="17" t="inlineStr">
        <is>
          <t>بدون fault کاذب</t>
        </is>
      </c>
      <c r="K14" s="17" t="n"/>
      <c r="L14" s="28" t="inlineStr">
        <is>
          <t>نیاز به تکرار</t>
        </is>
      </c>
      <c r="M14" s="17" t="n"/>
      <c r="N14" s="17" t="n"/>
      <c r="O14" s="19" t="inlineStr">
        <is>
          <t>62f3782</t>
        </is>
      </c>
      <c r="P14" s="19" t="n"/>
      <c r="Q14" s="21" t="inlineStr">
        <is>
          <t>2026-10-12</t>
        </is>
      </c>
    </row>
    <row r="15" ht="40.5" customHeight="1">
      <c r="Q15" s="29">
        <f>IF(OR(L16="",L16="در انتظار"),"",IF(Q16="",TODAY(),Q16))</f>
        <v/>
      </c>
    </row>
    <row r="16">
      <c r="Q16" s="29">
        <f>IF(OR(L17="",L17="در انتظار"),"",IF(Q17="",TODAY(),Q17))</f>
        <v/>
      </c>
    </row>
    <row r="17">
      <c r="Q17" s="29">
        <f>IF(OR(L18="",L18="در انتظار"),"",IF(Q18="",TODAY(),Q18))</f>
        <v/>
      </c>
    </row>
    <row r="18">
      <c r="Q18" s="29">
        <f>IF(OR(L19="",L19="در انتظار"),"",IF(Q19="",TODAY(),Q19))</f>
        <v/>
      </c>
    </row>
    <row r="19">
      <c r="Q19" s="29">
        <f>IF(OR(L20="",L20="در انتظار"),"",IF(Q20="",TODAY(),Q20))</f>
        <v/>
      </c>
    </row>
    <row r="20">
      <c r="Q20" s="29">
        <f>IF(OR(L21="",L21="در انتظار"),"",IF(Q21="",TODAY(),Q21))</f>
        <v/>
      </c>
    </row>
    <row r="21">
      <c r="Q21" s="29">
        <f>IF(OR(L22="",L22="در انتظار"),"",IF(Q22="",TODAY(),Q22))</f>
        <v/>
      </c>
    </row>
    <row r="22">
      <c r="Q22" s="29">
        <f>IF(OR(L23="",L23="در انتظار"),"",IF(Q23="",TODAY(),Q23))</f>
        <v/>
      </c>
    </row>
    <row r="23">
      <c r="Q23" s="29">
        <f>IF(OR(L24="",L24="در انتظار"),"",IF(Q24="",TODAY(),Q24))</f>
        <v/>
      </c>
    </row>
    <row r="24">
      <c r="Q24" s="29">
        <f>IF(OR(L25="",L25="در انتظار"),"",IF(Q25="",TODAY(),Q25))</f>
        <v/>
      </c>
    </row>
    <row r="25">
      <c r="Q25" s="29">
        <f>IF(OR(L26="",L26="در انتظار"),"",IF(Q26="",TODAY(),Q26))</f>
        <v/>
      </c>
    </row>
    <row r="26">
      <c r="Q26" s="29">
        <f>IF(OR(L27="",L27="در انتظار"),"",IF(Q27="",TODAY(),Q27))</f>
        <v/>
      </c>
    </row>
    <row r="27">
      <c r="Q27" s="29">
        <f>IF(OR(L28="",L28="در انتظار"),"",IF(Q28="",TODAY(),Q28))</f>
        <v/>
      </c>
    </row>
    <row r="28">
      <c r="Q28" s="29">
        <f>IF(OR(L29="",L29="در انتظار"),"",IF(Q29="",TODAY(),Q29))</f>
        <v/>
      </c>
    </row>
    <row r="29">
      <c r="Q29" s="29">
        <f>IF(OR(L30="",L30="در انتظار"),"",IF(Q30="",TODAY(),Q30))</f>
        <v/>
      </c>
    </row>
    <row r="30">
      <c r="Q30" s="29">
        <f>IF(OR(L31="",L31="در انتظار"),"",IF(Q31="",TODAY(),Q31))</f>
        <v/>
      </c>
    </row>
    <row r="31">
      <c r="Q31" s="29">
        <f>IF(OR(L32="",L32="در انتظار"),"",IF(Q32="",TODAY(),Q32))</f>
        <v/>
      </c>
    </row>
    <row r="32">
      <c r="Q32" s="29">
        <f>IF(OR(L33="",L33="در انتظار"),"",IF(Q33="",TODAY(),Q33))</f>
        <v/>
      </c>
    </row>
    <row r="33">
      <c r="Q33" s="29">
        <f>IF(OR(L34="",L34="در انتظار"),"",IF(Q34="",TODAY(),Q34))</f>
        <v/>
      </c>
    </row>
    <row r="34">
      <c r="Q34" s="29">
        <f>IF(OR(L35="",L35="در انتظار"),"",IF(Q35="",TODAY(),Q35))</f>
        <v/>
      </c>
    </row>
    <row r="35">
      <c r="Q35" s="29">
        <f>IF(OR(L36="",L36="در انتظار"),"",IF(Q36="",TODAY(),Q36))</f>
        <v/>
      </c>
    </row>
    <row r="36">
      <c r="Q36" s="29">
        <f>IF(OR(L37="",L37="در انتظار"),"",IF(Q37="",TODAY(),Q37))</f>
        <v/>
      </c>
    </row>
    <row r="37">
      <c r="Q37" s="29">
        <f>IF(OR(L38="",L38="در انتظار"),"",IF(Q38="",TODAY(),Q38))</f>
        <v/>
      </c>
    </row>
    <row r="38">
      <c r="Q38" s="29">
        <f>IF(OR(L39="",L39="در انتظار"),"",IF(Q39="",TODAY(),Q39))</f>
        <v/>
      </c>
    </row>
    <row r="39">
      <c r="Q39" s="29">
        <f>IF(OR(L40="",L40="در انتظار"),"",IF(Q40="",TODAY(),Q40))</f>
        <v/>
      </c>
    </row>
    <row r="40">
      <c r="Q40" s="29">
        <f>IF(OR(L41="",L41="در انتظار"),"",IF(Q41="",TODAY(),Q41))</f>
        <v/>
      </c>
    </row>
    <row r="41">
      <c r="Q41" s="29">
        <f>IF(OR(L42="",L42="در انتظار"),"",IF(Q42="",TODAY(),Q42))</f>
        <v/>
      </c>
    </row>
    <row r="42">
      <c r="Q42" s="29">
        <f>IF(OR(L43="",L43="در انتظار"),"",IF(Q43="",TODAY(),Q43))</f>
        <v/>
      </c>
    </row>
    <row r="43">
      <c r="Q43" s="29">
        <f>IF(OR(L44="",L44="در انتظار"),"",IF(Q44="",TODAY(),Q44))</f>
        <v/>
      </c>
    </row>
    <row r="44">
      <c r="Q44" s="29">
        <f>IF(OR(L45="",L45="در انتظار"),"",IF(Q45="",TODAY(),Q45))</f>
        <v/>
      </c>
    </row>
    <row r="45">
      <c r="Q45" s="29">
        <f>IF(OR(L46="",L46="در انتظار"),"",IF(Q46="",TODAY(),Q46))</f>
        <v/>
      </c>
    </row>
    <row r="46">
      <c r="Q46" s="29">
        <f>IF(OR(L47="",L47="در انتظار"),"",IF(Q47="",TODAY(),Q47))</f>
        <v/>
      </c>
    </row>
    <row r="47">
      <c r="Q47" s="29">
        <f>IF(OR(L48="",L48="در انتظار"),"",IF(Q48="",TODAY(),Q48))</f>
        <v/>
      </c>
    </row>
    <row r="48">
      <c r="Q48" s="29">
        <f>IF(OR(L49="",L49="در انتظار"),"",IF(Q49="",TODAY(),Q49))</f>
        <v/>
      </c>
    </row>
    <row r="49">
      <c r="Q49" s="29">
        <f>IF(OR(L50="",L50="در انتظار"),"",IF(Q50="",TODAY(),Q50))</f>
        <v/>
      </c>
    </row>
    <row r="50">
      <c r="Q50" s="29">
        <f>IF(OR(L51="",L51="در انتظار"),"",IF(Q51="",TODAY(),Q51))</f>
        <v/>
      </c>
    </row>
    <row r="51">
      <c r="Q51" s="29">
        <f>IF(OR(L52="",L52="در انتظار"),"",IF(Q52="",TODAY(),Q52))</f>
        <v/>
      </c>
    </row>
    <row r="52">
      <c r="Q52" s="29">
        <f>IF(OR(L53="",L53="در انتظار"),"",IF(Q53="",TODAY(),Q53))</f>
        <v/>
      </c>
    </row>
    <row r="53">
      <c r="Q53" s="29">
        <f>IF(OR(L54="",L54="در انتظار"),"",IF(Q54="",TODAY(),Q54))</f>
        <v/>
      </c>
    </row>
    <row r="54">
      <c r="Q54" s="29">
        <f>IF(OR(L55="",L55="در انتظار"),"",IF(Q55="",TODAY(),Q55))</f>
        <v/>
      </c>
    </row>
  </sheetData>
  <autoFilter ref="A4:Q54"/>
  <mergeCells count="3">
    <mergeCell ref="A3:Q3"/>
    <mergeCell ref="A2:Q2"/>
    <mergeCell ref="A1:Q1"/>
  </mergeCells>
  <dataValidations count="2">
    <dataValidation sqref="C5:C95" showDropDown="0" showInputMessage="0" showErrorMessage="0" allowBlank="1" type="list">
      <formula1>='فهرست‌ها'!$B$9:$B$11</formula1>
    </dataValidation>
    <dataValidation sqref="L5:L95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7" location="'برنامه تست'!A5"/>
    <hyperlink ref="D12" location="'برنامه تست'!A11"/>
    <hyperlink ref="E12" location="'برنامه تست'!A11"/>
    <hyperlink ref="J12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3" t="inlineStr">
        <is>
          <t>تست‌های برنامه‌نویسی و هاست (جدا از ولیدیشن عملی برد)</t>
        </is>
      </c>
    </row>
    <row r="2" ht="42" customHeight="1">
      <c r="B2" s="44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FL-009</t>
        </is>
      </c>
      <c r="B5" s="17" t="inlineStr">
        <is>
          <t>تزریق دستی</t>
        </is>
      </c>
      <c r="C5" s="19" t="inlineStr">
        <is>
          <t>پایین</t>
        </is>
      </c>
      <c r="D5" s="17" t="inlineStr">
        <is>
          <t>دیباگر وصل</t>
        </is>
      </c>
      <c r="E5" s="17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5" s="19" t="inlineStr">
        <is>
          <t>بیت‌های دلخواه</t>
        </is>
      </c>
      <c r="G5" s="19" t="inlineStr">
        <is>
          <t>—</t>
        </is>
      </c>
      <c r="H5" s="17" t="inlineStr">
        <is>
          <t>ماسک دقیقاً Set/Clear می‌شود</t>
        </is>
      </c>
      <c r="I5" s="17" t="inlineStr">
        <is>
          <t>—</t>
        </is>
      </c>
      <c r="J5" s="17" t="inlineStr">
        <is>
          <t>Get/Any مطابق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>
      <c r="Q6" s="29">
        <f>IF(OR(L6="",L6="در انتظار"),"",IF(Q6="",TODAY(),Q6))</f>
        <v/>
      </c>
    </row>
    <row r="7">
      <c r="Q7" s="29">
        <f>IF(OR(L7="",L7="در انتظار"),"",IF(Q7="",TODAY(),Q7))</f>
        <v/>
      </c>
    </row>
    <row r="8">
      <c r="Q8" s="29">
        <f>IF(OR(L8="",L8="در انتظار"),"",IF(Q8="",TODAY(),Q8))</f>
        <v/>
      </c>
    </row>
    <row r="9">
      <c r="Q9" s="29">
        <f>IF(OR(L9="",L9="در انتظار"),"",IF(Q9="",TODAY(),Q9))</f>
        <v/>
      </c>
    </row>
    <row r="10">
      <c r="Q10" s="29">
        <f>IF(OR(L10="",L10="در انتظار"),"",IF(Q10="",TODAY(),Q10))</f>
        <v/>
      </c>
    </row>
    <row r="11">
      <c r="Q11" s="29">
        <f>IF(OR(L11="",L11="در انتظار"),"",IF(Q11="",TODAY(),Q11))</f>
        <v/>
      </c>
    </row>
    <row r="12">
      <c r="Q12" s="29">
        <f>IF(OR(L12="",L12="در انتظار"),"",IF(Q12="",TODAY(),Q12))</f>
        <v/>
      </c>
    </row>
    <row r="13">
      <c r="Q13" s="29">
        <f>IF(OR(L13="",L13="در انتظار"),"",IF(Q13="",TODAY(),Q13))</f>
        <v/>
      </c>
    </row>
    <row r="14">
      <c r="Q14" s="29">
        <f>IF(OR(L14="",L14="در انتظار"),"",IF(Q14="",TODAY(),Q14))</f>
        <v/>
      </c>
    </row>
    <row r="15">
      <c r="Q15" s="29">
        <f>IF(OR(L15="",L15="در انتظار"),"",IF(Q15="",TODAY(),Q15))</f>
        <v/>
      </c>
    </row>
    <row r="16">
      <c r="Q16" s="29">
        <f>IF(OR(L16="",L16="در انتظار"),"",IF(Q16="",TODAY(),Q16))</f>
        <v/>
      </c>
    </row>
    <row r="17">
      <c r="Q17" s="29">
        <f>IF(OR(L17="",L17="در انتظار"),"",IF(Q17="",TODAY(),Q17))</f>
        <v/>
      </c>
    </row>
    <row r="18">
      <c r="Q18" s="29">
        <f>IF(OR(L18="",L18="در انتظار"),"",IF(Q18="",TODAY(),Q18))</f>
        <v/>
      </c>
    </row>
    <row r="19">
      <c r="Q19" s="29">
        <f>IF(OR(L19="",L19="در انتظار"),"",IF(Q19="",TODAY(),Q19))</f>
        <v/>
      </c>
    </row>
    <row r="20">
      <c r="Q20" s="29">
        <f>IF(OR(L20="",L20="در انتظار"),"",IF(Q20="",TODAY(),Q20))</f>
        <v/>
      </c>
    </row>
    <row r="21">
      <c r="Q21" s="29">
        <f>IF(OR(L21="",L21="در انتظار"),"",IF(Q21="",TODAY(),Q21))</f>
        <v/>
      </c>
    </row>
    <row r="22">
      <c r="Q22" s="29">
        <f>IF(OR(L22="",L22="در انتظار"),"",IF(Q22="",TODAY(),Q22))</f>
        <v/>
      </c>
    </row>
    <row r="23">
      <c r="Q23" s="29">
        <f>IF(OR(L23="",L23="در انتظار"),"",IF(Q23="",TODAY(),Q23))</f>
        <v/>
      </c>
    </row>
    <row r="24">
      <c r="Q24" s="29">
        <f>IF(OR(L24="",L24="در انتظار"),"",IF(Q24="",TODAY(),Q24))</f>
        <v/>
      </c>
    </row>
    <row r="25">
      <c r="Q25" s="29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Fault</t>
        </is>
      </c>
      <c r="B1" s="40" t="n"/>
      <c r="C1" s="40" t="n"/>
      <c r="D1" s="40" t="n"/>
      <c r="E1" s="41" t="n"/>
    </row>
    <row r="2"/>
    <row r="3">
      <c r="A3" s="30" t="inlineStr">
        <is>
          <t>موضوع</t>
        </is>
      </c>
      <c r="B3" s="30" t="inlineStr">
        <is>
          <t>شرط / مقدار</t>
        </is>
      </c>
      <c r="C3" s="30" t="inlineStr">
        <is>
          <t>رفتار مورد انتظار</t>
        </is>
      </c>
      <c r="D3" s="30" t="inlineStr">
        <is>
          <t>ثابت / محل کد</t>
        </is>
      </c>
      <c r="E3" s="30" t="inlineStr">
        <is>
          <t>توضیح</t>
        </is>
      </c>
    </row>
    <row r="4">
      <c r="A4" s="31" t="inlineStr">
        <is>
          <t>قاعدهٔ پمپ</t>
        </is>
      </c>
      <c r="B4" s="31" t="inlineStr">
        <is>
          <t>&gt;14.8V حین BULK/ABSORB، 150ms</t>
        </is>
      </c>
      <c r="C4" s="31" t="inlineStr">
        <is>
          <t>قفل FAULT_CHARGER_BAT_LOST</t>
        </is>
      </c>
      <c r="D4" s="31" t="inlineStr">
        <is>
          <t>FAULT_BAT_DISCONNECT_MV / FAULT_BAT_DISCONNECT_DEBOUNCE_MS</t>
        </is>
      </c>
      <c r="E4" s="31" t="inlineStr">
        <is>
          <t>فقط کانال فعال</t>
        </is>
      </c>
    </row>
    <row r="5">
      <c r="A5" s="31" t="inlineStr">
        <is>
          <t>قاعدهٔ غیبت</t>
        </is>
      </c>
      <c r="B5" s="31" t="inlineStr">
        <is>
          <t>هر نیم &lt;6V با ورودی سالم، 1s</t>
        </is>
      </c>
      <c r="C5" s="31" t="inlineStr">
        <is>
          <t>قفل FAULT_CHARGER_BAT_LOST</t>
        </is>
      </c>
      <c r="D5" s="31" t="inlineStr">
        <is>
          <t>FAULT_BAT_ABSENT_MV / FAULT_BAT_ABSENT_DEBOUNCE_MS</t>
        </is>
      </c>
      <c r="E5" s="31" t="inlineStr">
        <is>
          <t>هرکدام، نه هر دو</t>
        </is>
      </c>
    </row>
    <row r="6">
      <c r="A6" s="31" t="inlineStr">
        <is>
          <t>بازیابی</t>
        </is>
      </c>
      <c r="B6" s="31" t="inlineStr">
        <is>
          <t>هر دو نیم ≥7V بدون پمپ، 1s</t>
        </is>
      </c>
      <c r="C6" s="31" t="inlineStr">
        <is>
          <t>پاک شدن بیت</t>
        </is>
      </c>
      <c r="D6" s="31" t="inlineStr">
        <is>
          <t>FAULT_BATTERY_BACK_MV / FAULT_BAT_RECOVER_MS</t>
        </is>
      </c>
      <c r="E6" s="31" t="inlineStr">
        <is>
          <t>هیسترزیس 1V</t>
        </is>
      </c>
    </row>
    <row r="7">
      <c r="A7" s="31" t="inlineStr">
        <is>
          <t>فریز مود دستی</t>
        </is>
      </c>
      <c r="B7" s="31" t="inlineStr">
        <is>
          <t>IsManualTestModeActive</t>
        </is>
      </c>
      <c r="C7" s="31" t="inlineStr">
        <is>
          <t>بدون Set/Clear، تمپ صفر</t>
        </is>
      </c>
      <c r="D7" s="42" t="inlineStr">
        <is>
          <t>fault.c (v1.2)</t>
        </is>
      </c>
      <c r="E7" s="31" t="inlineStr">
        <is>
          <t>پمپ عمدی عادی‌سازی شد</t>
        </is>
      </c>
    </row>
    <row r="8">
      <c r="A8" s="31" t="inlineStr">
        <is>
          <t>بیت‌های ماسک</t>
        </is>
      </c>
      <c r="B8" s="42" t="inlineStr">
        <is>
          <t>0..6 در app_types.h</t>
        </is>
      </c>
      <c r="C8" s="31" t="inlineStr">
        <is>
          <t>FAULT_CHARGER_BAT_LOST (بیت ۶)</t>
        </is>
      </c>
      <c r="D8" s="31" t="inlineStr">
        <is>
          <t>FAULT_*</t>
        </is>
      </c>
      <c r="E8" s="31" t="inlineStr">
        <is>
          <t>0x40 در تله‌متری</t>
        </is>
      </c>
    </row>
  </sheetData>
  <mergeCells count="1">
    <mergeCell ref="A1:E1"/>
  </mergeCells>
  <hyperlinks>
    <hyperlink xmlns:r="http://schemas.openxmlformats.org/officeDocument/2006/relationships" ref="D7" r:id="rId1"/>
    <hyperlink xmlns:r="http://schemas.openxmlformats.org/officeDocument/2006/relationships" ref="B8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Fault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1" t="n"/>
    </row>
    <row r="3">
      <c r="A3" s="30" t="inlineStr">
        <is>
          <t>شماره ایراد</t>
        </is>
      </c>
      <c r="B3" s="30" t="inlineStr">
        <is>
          <t>شناسه تست</t>
        </is>
      </c>
      <c r="C3" s="30" t="inlineStr">
        <is>
          <t>تاریخ کشف</t>
        </is>
      </c>
      <c r="D3" s="30" t="inlineStr">
        <is>
          <t>شدت</t>
        </is>
      </c>
      <c r="E3" s="30" t="inlineStr">
        <is>
          <t>شرح کوتاه ایراد</t>
        </is>
      </c>
      <c r="F3" s="30" t="inlineStr">
        <is>
          <t>مراحل بازتولید</t>
        </is>
      </c>
      <c r="G3" s="30" t="inlineStr">
        <is>
          <t>انتظار</t>
        </is>
      </c>
      <c r="H3" s="30" t="inlineStr">
        <is>
          <t>واقعیت</t>
        </is>
      </c>
      <c r="I3" s="30" t="inlineStr">
        <is>
          <t>مدرک/مسیر عکس یا scope</t>
        </is>
      </c>
      <c r="J3" s="30" t="inlineStr">
        <is>
          <t>commit firmware</t>
        </is>
      </c>
      <c r="K3" s="30" t="inlineStr">
        <is>
          <t>محل احتمالی</t>
        </is>
      </c>
      <c r="L3" s="30" t="inlineStr">
        <is>
          <t>وضعیت ایراد</t>
        </is>
      </c>
      <c r="M3" s="30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Fault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Fault — تشخیص متمرکز قطع باتری</t>
        </is>
      </c>
    </row>
    <row r="6">
      <c r="A6" s="13" t="inlineStr">
        <is>
          <t>تاریخ ساخت فرم</t>
        </is>
      </c>
      <c r="B6" s="13" t="inlineStr">
        <is>
          <t>2026-09-23 (1.0 — شامل فریز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مولتی‌متر + سیم‌کشی تست</t>
        </is>
      </c>
    </row>
    <row r="10"/>
    <row r="11">
      <c r="A11" s="32" t="inlineStr">
        <is>
          <t>خلاصهٔ خودکار وضعیت تست‌ها</t>
        </is>
      </c>
    </row>
    <row r="12">
      <c r="A12" s="30" t="inlineStr">
        <is>
          <t>شاخص</t>
        </is>
      </c>
      <c r="B12" s="30" t="inlineStr">
        <is>
          <t>مقدار</t>
        </is>
      </c>
      <c r="C12" s="30" t="inlineStr">
        <is>
          <t>توضیح</t>
        </is>
      </c>
    </row>
    <row r="13">
      <c r="A13" s="33" t="inlineStr">
        <is>
          <t>کل تست‌ها</t>
        </is>
      </c>
      <c r="B13" s="33" t="n">
        <v>10</v>
      </c>
      <c r="C13" s="33" t="inlineStr">
        <is>
          <t>همهٔ ردیف‌های برنامه تست</t>
        </is>
      </c>
    </row>
    <row r="14">
      <c r="A14" s="33" t="inlineStr">
        <is>
          <t>قبول</t>
        </is>
      </c>
      <c r="B14" s="33">
        <f>COUNTIF('برنامه تست'!L:L,"قبول")</f>
        <v/>
      </c>
      <c r="C14" s="33" t="inlineStr">
        <is>
          <t>COUNTIF برنامه تست</t>
        </is>
      </c>
    </row>
    <row r="15">
      <c r="A15" s="33" t="inlineStr">
        <is>
          <t>رد</t>
        </is>
      </c>
      <c r="B15" s="33">
        <f>COUNTIF('برنامه تست'!L:L,"رد")</f>
        <v/>
      </c>
      <c r="C15" s="33" t="inlineStr">
        <is>
          <t>COUNTIF رد</t>
        </is>
      </c>
    </row>
    <row r="16">
      <c r="A16" s="33" t="inlineStr">
        <is>
          <t>در انتظار</t>
        </is>
      </c>
      <c r="B16" s="33">
        <f>COUNTIF('برنامه تست'!L:L,"در انتظار")</f>
        <v/>
      </c>
      <c r="C16" s="33" t="inlineStr">
        <is>
          <t>پیش از تست برد</t>
        </is>
      </c>
    </row>
    <row r="17">
      <c r="A17" s="33" t="inlineStr">
        <is>
          <t>نرخ قبولی</t>
        </is>
      </c>
      <c r="B17" s="33">
        <f>IF(10=0,0,COUNTIF('برنامه تست'!L:L,"قبول")/10)</f>
        <v/>
      </c>
      <c r="C17" s="33" t="inlineStr">
        <is>
          <t>قبول/کل</t>
        </is>
      </c>
    </row>
    <row r="18"/>
    <row r="19">
      <c r="A19" s="32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4" t="inlineStr">
        <is>
          <t>وضعیت</t>
        </is>
      </c>
    </row>
    <row r="2">
      <c r="A2" s="35" t="inlineStr">
        <is>
          <t>در انتظار</t>
        </is>
      </c>
    </row>
    <row r="3">
      <c r="A3" s="35" t="inlineStr">
        <is>
          <t>انجام شد</t>
        </is>
      </c>
    </row>
    <row r="4">
      <c r="A4" s="35" t="inlineStr">
        <is>
          <t>قبول</t>
        </is>
      </c>
    </row>
    <row r="5">
      <c r="A5" s="35" t="inlineStr">
        <is>
          <t>رد</t>
        </is>
      </c>
    </row>
    <row r="6">
      <c r="A6" s="35" t="inlineStr">
        <is>
          <t>مسدود</t>
        </is>
      </c>
    </row>
    <row r="7">
      <c r="A7" t="inlineStr">
        <is>
          <t>نیاز به تکرار</t>
        </is>
      </c>
    </row>
    <row r="8">
      <c r="A8" s="34" t="inlineStr">
        <is>
          <t>اولویت</t>
        </is>
      </c>
    </row>
    <row r="9">
      <c r="B9" s="35" t="inlineStr">
        <is>
          <t>بالا</t>
        </is>
      </c>
    </row>
    <row r="10">
      <c r="B10" s="35" t="inlineStr">
        <is>
          <t>متوسط</t>
        </is>
      </c>
    </row>
    <row r="11">
      <c r="B11" s="35" t="inlineStr">
        <is>
          <t>پایین</t>
        </is>
      </c>
    </row>
    <row r="12"/>
    <row r="13">
      <c r="A13" s="34" t="inlineStr">
        <is>
          <t>شدت</t>
        </is>
      </c>
    </row>
    <row r="14">
      <c r="A14" s="35" t="inlineStr">
        <is>
          <t>بحرانی</t>
        </is>
      </c>
    </row>
    <row r="15">
      <c r="A15" s="35" t="inlineStr">
        <is>
          <t>بالا</t>
        </is>
      </c>
    </row>
    <row r="16">
      <c r="A16" s="35" t="inlineStr">
        <is>
          <t>متوسط</t>
        </is>
      </c>
    </row>
    <row r="17">
      <c r="A17" s="35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6" t="inlineStr">
        <is>
          <t>ماشین حالت ماژول خطا (Fault)</t>
        </is>
      </c>
    </row>
    <row r="2"/>
    <row r="3" ht="24" customHeight="1">
      <c r="A3" s="37" t="inlineStr">
        <is>
          <t>حالت‌ها و گذارهای همین ماژول</t>
        </is>
      </c>
      <c r="B3" s="38" t="inlineStr">
        <is>
          <t>Fault_State_Machine.xlsx</t>
        </is>
      </c>
    </row>
    <row r="4" ht="24" customHeight="1">
      <c r="A4" s="37" t="inlineStr">
        <is>
          <t>ماشین حالت کل برنامه (نمای سیستمی)</t>
        </is>
      </c>
      <c r="B4" s="38" t="inlineStr">
        <is>
          <t>../../../Documentation/System_State_Machine.xlsx</t>
        </is>
      </c>
    </row>
    <row r="5" ht="24" customHeight="1">
      <c r="A5" s="37" t="inlineStr">
        <is>
          <t>راهنمای رنگ‌ها</t>
        </is>
      </c>
      <c r="B5" s="39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7" t="inlineStr">
        <is>
          <t>بازتولید</t>
        </is>
      </c>
      <c r="B6" s="38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2026-10-16T16:44:55Z</dcterms:modified>
</cp:coreProperties>
</file>