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برنامه تست" sheetId="2" state="visible" r:id="rId2"/>
    <sheet name="مراجع سناریو" sheetId="3" state="visible" r:id="rId3"/>
    <sheet name="ثبت ایراد" sheetId="4" state="visible" r:id="rId4"/>
    <sheet name="تأیید نهایی" sheetId="5" state="visible" r:id="rId5"/>
    <sheet name="فهرست‌ها" sheetId="6" state="hidden" r:id="rId6"/>
    <sheet name="ماشین حالت" sheetId="7" state="visible" r:id="rId7"/>
  </sheets>
  <definedNames>
    <definedName name="_xlnm._FilterDatabase" localSheetId="1" hidden="1">'برنامه تست'!$A$4:$P$25</definedName>
    <definedName name="_xlnm.Print_Titles" localSheetId="1">'برنامه تست'!$1:$4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203764"/>
      <sz val="13"/>
    </font>
    <font>
      <name val="Calibri"/>
      <i val="1"/>
      <color rgb="00404040"/>
      <sz val="9"/>
    </font>
    <font>
      <name val="Calibri"/>
      <b val="1"/>
      <color rgb="00FFFFFF"/>
      <sz val="10"/>
    </font>
    <font>
      <name val="Calibri"/>
      <sz val="8"/>
    </font>
    <font>
      <name val="Calibri"/>
      <b val="1"/>
      <color rgb="00FFFFFF"/>
      <sz val="9"/>
    </font>
    <font>
      <name val="Calibri"/>
      <b val="1"/>
      <color rgb="00203764"/>
      <sz val="12"/>
    </font>
    <font>
      <name val="Calibri"/>
      <i val="1"/>
      <color rgb="00404040"/>
      <sz val="8"/>
    </font>
    <font>
      <name val="Calibri"/>
      <color rgb="00C00000"/>
      <sz val="7"/>
    </font>
    <font>
      <name val="Calibri"/>
      <sz val="7"/>
    </font>
    <font>
      <name val="Calibri"/>
      <color rgb="00808080"/>
      <sz val="7"/>
    </font>
    <font>
      <name val="Calibri"/>
      <b val="1"/>
      <color rgb="00203764"/>
      <sz val="11"/>
    </font>
    <font>
      <name val="Calibri"/>
      <i val="1"/>
      <sz val="7"/>
    </font>
    <font>
      <name val="Calibri"/>
      <i val="1"/>
      <color rgb="00C00000"/>
      <sz val="7"/>
    </font>
    <font>
      <name val="Calibri"/>
      <b val="1"/>
      <sz val="8"/>
    </font>
    <font>
      <b val="1"/>
      <color rgb="00FFFFFF"/>
    </font>
    <font>
      <sz val="8"/>
    </font>
    <font>
      <name val="Vazirmatn"/>
      <b val="1"/>
      <color rgb="00FFFFFF"/>
      <sz val="14"/>
    </font>
    <font>
      <name val="Vazirmatn"/>
      <b val="1"/>
      <sz val="10"/>
    </font>
    <font>
      <name val="Vazirmatn"/>
      <color rgb="000563C1"/>
      <sz val="10"/>
      <u val="single"/>
    </font>
    <font>
      <name val="Vazirmatn"/>
      <sz val="10"/>
    </font>
  </fonts>
  <fills count="9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F8FAFF"/>
        <bgColor rgb="00F8FAFF"/>
      </patternFill>
    </fill>
    <fill>
      <patternFill patternType="solid">
        <fgColor rgb="00E9EDF4"/>
        <bgColor rgb="00E9EDF4"/>
      </patternFill>
    </fill>
    <fill>
      <patternFill patternType="solid">
        <fgColor rgb="001F3864"/>
      </patternFill>
    </fill>
  </fills>
  <borders count="7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  <border>
      <left style="thin">
        <color rgb="009DB7E8"/>
      </left>
      <right style="thin">
        <color rgb="009DB7E8"/>
      </right>
      <top style="thin">
        <color rgb="009DB7E8"/>
      </top>
      <bottom style="thin">
        <color rgb="009DB7E8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 vertical="center" wrapText="1" readingOrder="2"/>
    </xf>
    <xf numFmtId="0" fontId="3" fillId="3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 readingOrder="2"/>
    </xf>
    <xf numFmtId="0" fontId="10" fillId="5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 readingOrder="2"/>
    </xf>
    <xf numFmtId="0" fontId="10" fillId="6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7" fillId="8" borderId="0" applyAlignment="1" pivotButton="0" quotePrefix="0" xfId="0">
      <alignment horizontal="center" vertical="center"/>
    </xf>
    <xf numFmtId="0" fontId="18" fillId="0" borderId="6" applyAlignment="1" pivotButton="0" quotePrefix="0" xfId="0">
      <alignment horizontal="right" vertical="center" wrapText="1"/>
    </xf>
    <xf numFmtId="0" fontId="19" fillId="0" borderId="6" applyAlignment="1" pivotButton="0" quotePrefix="0" xfId="0">
      <alignment horizontal="right" vertical="center" wrapText="1"/>
    </xf>
    <xf numFmtId="0" fontId="20" fillId="0" borderId="6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Measurement_State_Machine.xlsx" TargetMode="External" Id="rId1" /><Relationship Type="http://schemas.openxmlformats.org/officeDocument/2006/relationships/hyperlink" Target="../../../Documentation/System_State_Machine.xlsx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8" customHeight="1">
      <c r="A1" s="1" t="inlineStr">
        <is>
          <t>برگه تست و اعتبارسنجی عملی ماژول Measurement — ADC و کالیبراسیون</t>
        </is>
      </c>
    </row>
    <row r="2" ht="40" customHeight="1">
      <c r="A2" s="2" t="inlineStr">
        <is>
          <t>ChangeOver | ADC1 5ch + DMA + bsp_measurement | نسخه 1.0 — دوره 10ms، warmup 3 فریم، فرمول‌های BSP واقعی</t>
        </is>
      </c>
    </row>
    <row r="3" ht="18" customHeight="1">
      <c r="A3" s="3" t="inlineStr">
        <is>
          <t>هدف فایل</t>
        </is>
      </c>
    </row>
    <row r="4" ht="13" customHeight="1">
      <c r="A4" s="4" t="inlineStr">
        <is>
          <t>این فایل مستقل فقط Measurement را اعتبارسنجی می‌کند؛ هر تست valid، فریم ADC، فرمول mV/mA، ورودی‌ها و snapshot اتمیک را چک می‌کند.</t>
        </is>
      </c>
    </row>
    <row r="5" ht="13" customHeight="1">
      <c r="A5" s="4" t="inlineStr">
        <is>
          <t>هیچ ردیفی بدون «روش اجرا» و «نتیجه مورد انتظار» نیست؛ هر PASS/FAIL با مقدار عددی و tolerance از کالیبراسیون BSP تعریف شده است.</t>
        </is>
      </c>
    </row>
    <row r="6" ht="13" customHeight="1">
      <c r="A6" s="4" t="inlineStr">
        <is>
          <t>قبل از تست برد، «نتیجه واقعی» خالی و «وضعیت» = در انتظار بماند؛ ادعای PASS برای تست انجام‌نشده ممنوع است.</t>
        </is>
      </c>
    </row>
    <row r="7" ht="18" customHeight="1">
      <c r="A7" s="3" t="inlineStr">
        <is>
          <t>دامنه</t>
        </is>
      </c>
    </row>
    <row r="8" ht="13" customHeight="1">
      <c r="A8" s="4" t="inlineStr">
        <is>
          <t>پس از Init، valid=false؛ تا 3 فریم کامل و پایدار، valid همچنان false؛ پس از فریم سوم، valid=true و همه mV/mA/input_present به‌روز می‌شوند.</t>
        </is>
      </c>
    </row>
    <row r="9" ht="13" customHeight="1">
      <c r="A9" s="4" t="inlineStr">
        <is>
          <t>فریم ناقص/ناپایدار → valid=false و warmup از نو (counter reset). قطع ورودی 24V نباید به تنهایی ADC را invalid کند.</t>
        </is>
      </c>
    </row>
    <row r="10" ht="13" customHeight="1">
      <c r="A10" s="4" t="inlineStr">
        <is>
          <t>کالیبراسیون از bsp_measurement.c: Vref=3300mV، ADC=4095، Div24 69200+6800/6800 (≈11.176)، Div12 34200+6800/6800 (≈6.029)، شانت 10mΩ و گین 101.</t>
        </is>
      </c>
    </row>
    <row r="11" ht="13" customHeight="1">
      <c r="A11" s="4" t="inlineStr">
        <is>
          <t>فرمول‌ها: CountsToMv = counts*3300/4095؛ V24 = adcPinMv*(76000)/6800؛ V12 = adcPinMv*(41000)/6800؛ Current = counts*3300*1000/(4095*101*10).</t>
        </is>
      </c>
    </row>
    <row r="12" ht="13" customHeight="1">
      <c r="A12" s="4" t="inlineStr">
        <is>
          <t>زمان واقعی از کد: MEASUREMENT_PERIOD_MS=10ms، MEASUREMENT_WARMUP_FRAME_COUNT=3، DMA دو فریمی 2×5، CNDTR بررسی قبل/بعد، osKernelLock برای snapshot اتمیک.</t>
        </is>
      </c>
    </row>
    <row r="13" ht="18" customHeight="1">
      <c r="A13" s="3" t="inlineStr">
        <is>
          <t>روش اجرای تست</t>
        </is>
      </c>
    </row>
    <row r="14" ht="13" customHeight="1">
      <c r="A14" s="4" t="inlineStr">
        <is>
          <t>۱) برد را با منبع آزمایشگاهی تغذیه کن، هر 5 کانال ADC (PA1/2/3/5/7) را با ولتاژ دقیق و منبع جریان کالیبره اعمال کن؛ PB4 را برای input_present کنترل کن.</t>
        </is>
      </c>
    </row>
    <row r="15" ht="13" customHeight="1">
      <c r="A15" s="4" t="inlineStr">
        <is>
          <t>۲) firmware commit c6b084f را پروگرام کن، در «تأیید نهایی» commit/برد/ابزار (DMM، اسکوپ، منبع دقیق) را ثبت کن.</t>
        </is>
      </c>
    </row>
    <row r="16" ht="13" customHeight="1">
      <c r="A16" s="4" t="inlineStr">
        <is>
          <t>۳) تست warmup: پس از Init، فریم‌ها را با func__BspAdc_GetRaw یا Live Watch بشمار؛ valid را چک کن.</t>
        </is>
      </c>
    </row>
    <row r="17" ht="13" customHeight="1">
      <c r="A17" s="4" t="inlineStr">
        <is>
          <t>۴) تست ولتاژ/جریان: هر کانال را با counts معلوم اعمال کن، مقدار mV/mA را با فرمول BSP محاسبه و با خوانش globals/snapshot مقایسه کن (tolerance ±1 LSB ≈ ±0.8mV pin، برای V24 ≈±9mV، برای V12 ≈±4.8mV، برای جریان ≈±0.8mA).</t>
        </is>
      </c>
    </row>
    <row r="18" ht="13" customHeight="1">
      <c r="A18" s="4" t="inlineStr">
        <is>
          <t>۵) تست DMA: دو فریم متوالی را چک کن که CNDTR پایدار باشد و frame 5 نمونه بدون پارگی کپی شود (irq disable و counter قبل/بعد).</t>
        </is>
      </c>
    </row>
    <row r="19" ht="13" customHeight="1">
      <c r="A19" s="4" t="inlineStr">
        <is>
          <t>۶) تست snapshot اتمیک: حین Run، از دو تسک snapshot را هم‌زمان بخوان و چک کن نیمه‌به‌روزشده نباشد (osKernelLock).</t>
        </is>
      </c>
    </row>
    <row r="20">
      <c r="A20" s="5" t="inlineStr">
        <is>
          <t>تاریخچه نسخه</t>
        </is>
      </c>
    </row>
    <row r="21">
      <c r="A21" s="6" t="inlineStr">
        <is>
          <t>تاریخ</t>
        </is>
      </c>
      <c r="B21" s="6" t="inlineStr">
        <is>
          <t>نسخه</t>
        </is>
      </c>
      <c r="C21" s="6" t="inlineStr">
        <is>
          <t>شرح تغییر</t>
        </is>
      </c>
      <c r="D21" s="6" t="inlineStr">
        <is>
          <t>commit</t>
        </is>
      </c>
      <c r="E21" s="7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9" t="n"/>
    </row>
    <row r="22" ht="14" customHeight="1">
      <c r="A22" s="10" t="inlineStr">
        <is>
          <t>2026-09-16</t>
        </is>
      </c>
      <c r="B22" s="10" t="inlineStr">
        <is>
          <t>1.0</t>
        </is>
      </c>
      <c r="C22" s="10" t="inlineStr">
        <is>
          <t>ایجاد مستقل Measurement_Board_Validation با ۲۱ تست، فرمول‌ها و tolerance از bsp_measurement.c، دوره 10ms و warmup 3</t>
        </is>
      </c>
      <c r="D22" s="10" t="inlineStr">
        <is>
          <t>c6b084f28f2c507cfd342e5dbd0dbd8e45686772</t>
        </is>
      </c>
      <c r="E22" s="11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9" t="n"/>
    </row>
  </sheetData>
  <mergeCells count="22">
    <mergeCell ref="A5:P5"/>
    <mergeCell ref="A14:P14"/>
    <mergeCell ref="A17:P17"/>
    <mergeCell ref="A8:P8"/>
    <mergeCell ref="A4:P4"/>
    <mergeCell ref="A20:P20"/>
    <mergeCell ref="A19:P19"/>
    <mergeCell ref="A10:P10"/>
    <mergeCell ref="A13:P13"/>
    <mergeCell ref="A9:P9"/>
    <mergeCell ref="A15:P15"/>
    <mergeCell ref="A11:P11"/>
    <mergeCell ref="A1:P1"/>
    <mergeCell ref="A6:P6"/>
    <mergeCell ref="E22:P22"/>
    <mergeCell ref="A16:P16"/>
    <mergeCell ref="A7:P7"/>
    <mergeCell ref="E21:P21"/>
    <mergeCell ref="A18:P18"/>
    <mergeCell ref="A12:P12"/>
    <mergeCell ref="A3:P3"/>
    <mergeCell ref="A2:P2"/>
  </mergeCells>
  <printOptions horizontalCentered="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8" customWidth="1" min="3" max="3"/>
    <col width="14" customWidth="1" min="4" max="4"/>
    <col width="28" customWidth="1" min="5" max="5"/>
    <col width="18" customWidth="1" min="6" max="6"/>
    <col width="10" customWidth="1" min="7" max="7"/>
    <col width="28" customWidth="1" min="8" max="8"/>
    <col width="24" customWidth="1" min="9" max="9"/>
    <col width="14" customWidth="1" min="10" max="10"/>
    <col width="9" customWidth="1" min="11" max="11"/>
    <col width="14" customWidth="1" min="12" max="12"/>
    <col width="12" customWidth="1" min="13" max="13"/>
    <col width="9" customWidth="1" min="14" max="14"/>
    <col width="12" customWidth="1" min="15" max="15"/>
    <col width="10" customWidth="1" min="16" max="16"/>
  </cols>
  <sheetData>
    <row r="1" ht="22" customHeight="1">
      <c r="A1" s="12" t="inlineStr">
        <is>
          <t>برنامه تست عملی — ماژول Measurement</t>
        </is>
      </c>
    </row>
    <row r="2" ht="30" customHeight="1">
      <c r="A2" s="13" t="inlineStr">
        <is>
          <t>هر ردیف را با DMM/اسکوپ و محاسبه از فرمول BSP اندازه بگیر؛ مقدار حدسی ننویس. valid باید دقیقاً پس از ۳ فریم true شود.</t>
        </is>
      </c>
    </row>
    <row r="3" ht="32" customHeight="1">
      <c r="A3" s="14" t="inlineStr">
        <is>
          <t>فرمول‌ها و tolerance از bsp_measurement.c واقعی است؛ PASS/FAIL با tolerance ±1 LSB + 1% مقاومت تعریف شده است.</t>
        </is>
      </c>
    </row>
    <row r="4" ht="28" customHeight="1">
      <c r="A4" s="6" t="inlineStr">
        <is>
          <t>شناسه تست</t>
        </is>
      </c>
      <c r="B4" s="6" t="inlineStr">
        <is>
          <t>دسته</t>
        </is>
      </c>
      <c r="C4" s="6" t="inlineStr">
        <is>
          <t>اولویت</t>
        </is>
      </c>
      <c r="D4" s="6" t="inlineStr">
        <is>
          <t>پیش‌شرط</t>
        </is>
      </c>
      <c r="E4" s="6" t="inlineStr">
        <is>
          <t>روش اجرای دقیق</t>
        </is>
      </c>
      <c r="F4" s="6" t="inlineStr">
        <is>
          <t>ورودی‌ها</t>
        </is>
      </c>
      <c r="G4" s="6" t="inlineStr">
        <is>
          <t>مدت مشاهده</t>
        </is>
      </c>
      <c r="H4" s="6" t="inlineStr">
        <is>
          <t>نتیجه مورد انتظار</t>
        </is>
      </c>
      <c r="I4" s="6" t="inlineStr">
        <is>
          <t>معیار قبولی</t>
        </is>
      </c>
      <c r="J4" s="6" t="inlineStr">
        <is>
          <t>نتیجه واقعی</t>
        </is>
      </c>
      <c r="K4" s="6" t="inlineStr">
        <is>
          <t>وضعیت</t>
        </is>
      </c>
      <c r="L4" s="6" t="inlineStr">
        <is>
          <t>شرح ایراد</t>
        </is>
      </c>
      <c r="M4" s="6" t="inlineStr">
        <is>
          <t>مدرک تست</t>
        </is>
      </c>
      <c r="N4" s="6" t="inlineStr">
        <is>
          <t>commit</t>
        </is>
      </c>
      <c r="O4" s="6" t="inlineStr">
        <is>
          <t>نام تست‌کننده</t>
        </is>
      </c>
      <c r="P4" s="6" t="inlineStr">
        <is>
          <t>تاریخ</t>
        </is>
      </c>
    </row>
    <row r="5" ht="38" customHeight="1">
      <c r="A5" s="15" t="inlineStr">
        <is>
          <t>MS-001</t>
        </is>
      </c>
      <c r="B5" s="15" t="inlineStr">
        <is>
          <t>Init</t>
        </is>
      </c>
      <c r="C5" s="15" t="inlineStr">
        <is>
          <t>بالا</t>
        </is>
      </c>
      <c r="D5" s="15" t="inlineStr">
        <is>
          <t>پس از Reset، قبل از Start</t>
        </is>
      </c>
      <c r="E5" s="15" t="inlineStr">
        <is>
          <t>func__Measurement_Init را صدا بزن یا برد را Reset کن، سپس globals و snapshot را بخوان</t>
        </is>
      </c>
      <c r="F5" s="15" t="inlineStr">
        <is>
          <t>—</t>
        </is>
      </c>
      <c r="G5" s="15" t="inlineStr">
        <is>
          <t>100ms</t>
        </is>
      </c>
      <c r="H5" s="15" t="inlineStr">
        <is>
          <t>valid=false، همه mV/mA=0، input_present=false. PASS: valid false و صفر. FAIL: هر mV غیرصفر یا valid true.</t>
        </is>
      </c>
      <c r="I5" s="15" t="inlineStr">
        <is>
          <t>PASS: Init صفر و invalid. FAIL: otherwise.</t>
        </is>
      </c>
      <c r="J5" s="16" t="inlineStr"/>
      <c r="K5" s="17" t="inlineStr">
        <is>
          <t>در انتظار</t>
        </is>
      </c>
      <c r="L5" s="18" t="inlineStr"/>
      <c r="M5" s="18" t="inlineStr"/>
      <c r="N5" s="18" t="inlineStr">
        <is>
          <t>c6b084f28f2c507cfd342e5dbd0dbd8e45686772</t>
        </is>
      </c>
      <c r="O5" s="18" t="inlineStr"/>
      <c r="P5" s="18" t="inlineStr"/>
    </row>
    <row r="6" ht="38" customHeight="1">
      <c r="A6" s="19" t="inlineStr">
        <is>
          <t>MS-002</t>
        </is>
      </c>
      <c r="B6" s="19" t="inlineStr">
        <is>
          <t>Warmup / فریم اول</t>
        </is>
      </c>
      <c r="C6" s="19" t="inlineStr">
        <is>
          <t>بالا</t>
        </is>
      </c>
      <c r="D6" s="19" t="inlineStr">
        <is>
          <t>پس از Init و Start موفق</t>
        </is>
      </c>
      <c r="E6" s="19" t="inlineStr">
        <is>
          <t>یک فریم ADC معتبر (5 کانال) را اعمال کن (مثلاً 2V روی همه)، یک Run صدا بزن، valid را بخوان</t>
        </is>
      </c>
      <c r="F6" s="19" t="inlineStr">
        <is>
          <t>فریم 1 کامل و پایدار, counts≈2482 (2V)</t>
        </is>
      </c>
      <c r="G6" s="19" t="inlineStr">
        <is>
          <t>10ms</t>
        </is>
      </c>
      <c r="H6" s="19" t="inlineStr">
        <is>
          <t>valid همچنان false، warmupCounter=1، globals هنوز 0 یا قدیمی اما valid=false. PASS: هنوز invalid. FAIL: valid true زودهنگام.</t>
        </is>
      </c>
      <c r="I6" s="19" t="inlineStr">
        <is>
          <t>PASS: فریم1 → still false. FAIL: valid true.</t>
        </is>
      </c>
      <c r="J6" s="16" t="inlineStr"/>
      <c r="K6" s="17" t="inlineStr">
        <is>
          <t>در انتظار</t>
        </is>
      </c>
      <c r="L6" s="20" t="inlineStr"/>
      <c r="M6" s="20" t="inlineStr"/>
      <c r="N6" s="20" t="inlineStr">
        <is>
          <t>c6b084f28f2c507cfd342e5dbd0dbd8e45686772</t>
        </is>
      </c>
      <c r="O6" s="20" t="inlineStr"/>
      <c r="P6" s="20" t="inlineStr"/>
    </row>
    <row r="7" ht="38" customHeight="1">
      <c r="A7" s="15" t="inlineStr">
        <is>
          <t>MS-003</t>
        </is>
      </c>
      <c r="B7" s="15" t="inlineStr">
        <is>
          <t>Warmup / فریم دوم</t>
        </is>
      </c>
      <c r="C7" s="15" t="inlineStr">
        <is>
          <t>بالا</t>
        </is>
      </c>
      <c r="D7" s="15" t="inlineStr">
        <is>
          <t>پس از MS-002</t>
        </is>
      </c>
      <c r="E7" s="15" t="inlineStr">
        <is>
          <t>فریم دوم معتبر را اعمال و یک Run دیگر</t>
        </is>
      </c>
      <c r="F7" s="15" t="inlineStr">
        <is>
          <t>فریم 2 کامل, counts 2482</t>
        </is>
      </c>
      <c r="G7" s="15" t="inlineStr">
        <is>
          <t>10ms</t>
        </is>
      </c>
      <c r="H7" s="15" t="inlineStr">
        <is>
          <t>valid همچنان false، counter=2. PASS: still false. FAIL: true.</t>
        </is>
      </c>
      <c r="I7" s="15" t="inlineStr">
        <is>
          <t>PASS: فریم2 still false. FAIL: true.</t>
        </is>
      </c>
      <c r="J7" s="16" t="inlineStr"/>
      <c r="K7" s="17" t="inlineStr">
        <is>
          <t>در انتظار</t>
        </is>
      </c>
      <c r="L7" s="18" t="inlineStr"/>
      <c r="M7" s="18" t="inlineStr"/>
      <c r="N7" s="18" t="inlineStr">
        <is>
          <t>c6b084f28f2c507cfd342e5dbd0dbd8e45686772</t>
        </is>
      </c>
      <c r="O7" s="18" t="inlineStr"/>
      <c r="P7" s="18" t="inlineStr"/>
    </row>
    <row r="8" ht="38" customHeight="1">
      <c r="A8" s="19" t="inlineStr">
        <is>
          <t>MS-004</t>
        </is>
      </c>
      <c r="B8" s="19" t="inlineStr">
        <is>
          <t>Warmup / فریم سوم</t>
        </is>
      </c>
      <c r="C8" s="19" t="inlineStr">
        <is>
          <t>بالا</t>
        </is>
      </c>
      <c r="D8" s="19" t="inlineStr">
        <is>
          <t>پس از MS-003</t>
        </is>
      </c>
      <c r="E8" s="19" t="inlineStr">
        <is>
          <t>فریم سوم معتبر را اعمال و Run</t>
        </is>
      </c>
      <c r="F8" s="19" t="inlineStr">
        <is>
          <t>فریم 3 کامل, counts: V channels 2482 (2V pin), I channels 610 (0.49V)</t>
        </is>
      </c>
      <c r="G8" s="19" t="inlineStr">
        <is>
          <t>10ms</t>
        </is>
      </c>
      <c r="H8" s="19" t="inlineStr">
        <is>
          <t>valid=true، همه globals به‌روز: 2V pin → V24≈22352mV, V12≈12058mV, Current≈486mA با I counts 610, input_present per PB4. PASS: valid true و مقادیر محاسبه شده ±tolerance. FAIL: همچنان false.</t>
        </is>
      </c>
      <c r="I8" s="19" t="inlineStr">
        <is>
          <t>PASS: فریم3 → valid true با V24≈22352 و I≈486mA. FAIL: still false.</t>
        </is>
      </c>
      <c r="J8" s="16" t="inlineStr"/>
      <c r="K8" s="17" t="inlineStr">
        <is>
          <t>در انتظار</t>
        </is>
      </c>
      <c r="L8" s="20" t="inlineStr"/>
      <c r="M8" s="20" t="inlineStr"/>
      <c r="N8" s="20" t="inlineStr">
        <is>
          <t>c6b084f28f2c507cfd342e5dbd0dbd8e45686772</t>
        </is>
      </c>
      <c r="O8" s="20" t="inlineStr"/>
      <c r="P8" s="20" t="inlineStr"/>
    </row>
    <row r="9" ht="38" customHeight="1">
      <c r="A9" s="15" t="inlineStr">
        <is>
          <t>MS-005</t>
        </is>
      </c>
      <c r="B9" s="15" t="inlineStr">
        <is>
          <t>Warmup / فریم ناقص</t>
        </is>
      </c>
      <c r="C9" s="15" t="inlineStr">
        <is>
          <t>بالا</t>
        </is>
      </c>
      <c r="D9" s="15" t="inlineStr">
        <is>
          <t>پس از valid=true</t>
        </is>
      </c>
      <c r="E9" s="15" t="inlineStr">
        <is>
          <t>یک فریم ناپایدار (simulate GetRaw false: مثلاً CNDTR در وسط) را اعمال و Run</t>
        </is>
      </c>
      <c r="F9" s="15" t="inlineStr">
        <is>
          <t>فریم ناقص/ناپایدار (GetRaw false)</t>
        </is>
      </c>
      <c r="G9" s="15" t="inlineStr">
        <is>
          <t>10ms</t>
        </is>
      </c>
      <c r="H9" s="15" t="inlineStr">
        <is>
          <t>valid=false فوری، warmupCounter reset به 0، snapshot.valid false. PASS: invalid و reset. FAIL: همچنان true.</t>
        </is>
      </c>
      <c r="I9" s="15" t="inlineStr">
        <is>
          <t>PASS: unstable → invalid+reset. FAIL: remains true.</t>
        </is>
      </c>
      <c r="J9" s="16" t="inlineStr"/>
      <c r="K9" s="17" t="inlineStr">
        <is>
          <t>در انتظار</t>
        </is>
      </c>
      <c r="L9" s="18" t="inlineStr"/>
      <c r="M9" s="18" t="inlineStr"/>
      <c r="N9" s="18" t="inlineStr">
        <is>
          <t>c6b084f28f2c507cfd342e5dbd0dbd8e45686772</t>
        </is>
      </c>
      <c r="O9" s="18" t="inlineStr"/>
      <c r="P9" s="18" t="inlineStr"/>
    </row>
    <row r="10" ht="38" customHeight="1">
      <c r="A10" s="19" t="inlineStr">
        <is>
          <t>MS-006</t>
        </is>
      </c>
      <c r="B10" s="19" t="inlineStr">
        <is>
          <t>Warmup / شروع دوباره</t>
        </is>
      </c>
      <c r="C10" s="19" t="inlineStr">
        <is>
          <t>بالا</t>
        </is>
      </c>
      <c r="D10" s="19" t="inlineStr">
        <is>
          <t>پس از MS-005</t>
        </is>
      </c>
      <c r="E10" s="19" t="inlineStr">
        <is>
          <t>سه فریم معتبر پی‌درپی دوباره اعمال کن</t>
        </is>
      </c>
      <c r="F10" s="19" t="inlineStr">
        <is>
          <t>3 فریم کامل</t>
        </is>
      </c>
      <c r="G10" s="19" t="inlineStr">
        <is>
          <t>30ms</t>
        </is>
      </c>
      <c r="H10" s="19" t="inlineStr">
        <is>
          <t>پس از فریم سوم دوباره valid=true. PASS: warmup دوباره 3 فریم. FAIL: valid زودتر یا دیرتر.</t>
        </is>
      </c>
      <c r="I10" s="19" t="inlineStr">
        <is>
          <t>PASS: 3 فریم دوباره → true. FAIL: otherwise.</t>
        </is>
      </c>
      <c r="J10" s="16" t="inlineStr"/>
      <c r="K10" s="17" t="inlineStr">
        <is>
          <t>در انتظار</t>
        </is>
      </c>
      <c r="L10" s="20" t="inlineStr"/>
      <c r="M10" s="20" t="inlineStr"/>
      <c r="N10" s="20" t="inlineStr">
        <is>
          <t>c6b084f28f2c507cfd342e5dbd0dbd8e45686772</t>
        </is>
      </c>
      <c r="O10" s="20" t="inlineStr"/>
      <c r="P10" s="20" t="inlineStr"/>
    </row>
    <row r="11" ht="38" customHeight="1">
      <c r="A11" s="15" t="inlineStr">
        <is>
          <t>MS-007</t>
        </is>
      </c>
      <c r="B11" s="15" t="inlineStr">
        <is>
          <t>ورودی 24V قطع</t>
        </is>
      </c>
      <c r="C11" s="15" t="inlineStr">
        <is>
          <t>متوسط</t>
        </is>
      </c>
      <c r="D11" s="15" t="inlineStr">
        <is>
          <t>valid=true با Vin=0</t>
        </is>
      </c>
      <c r="E11" s="15" t="inlineStr">
        <is>
          <t>Vin=0V (counts 0) را اعمال کن اما سایر کانال‌ها معتبر، یک Run</t>
        </is>
      </c>
      <c r="F11" s="15" t="inlineStr">
        <is>
          <t>v_in 0V (counts 0), سایر 2V</t>
        </is>
      </c>
      <c r="G11" s="15" t="inlineStr">
        <is>
          <t>10ms</t>
        </is>
      </c>
      <c r="H11" s="15" t="inlineStr">
        <is>
          <t>valid همچنان true (قطع ورودی ADC را invalid نمی‌کند)، v_in_mv≈0، سایر مقادیر به‌روز. PASS: valid true با Vin صفر. FAIL: valid false.</t>
        </is>
      </c>
      <c r="I11" s="15" t="inlineStr">
        <is>
          <t>PASS: Vin zero still valid. FAIL: invalid.</t>
        </is>
      </c>
      <c r="J11" s="16" t="inlineStr"/>
      <c r="K11" s="17" t="inlineStr">
        <is>
          <t>در انتظار</t>
        </is>
      </c>
      <c r="L11" s="18" t="inlineStr"/>
      <c r="M11" s="18" t="inlineStr"/>
      <c r="N11" s="18" t="inlineStr">
        <is>
          <t>c6b084f28f2c507cfd342e5dbd0dbd8e45686772</t>
        </is>
      </c>
      <c r="O11" s="18" t="inlineStr"/>
      <c r="P11" s="18" t="inlineStr"/>
    </row>
    <row r="12" ht="38" customHeight="1">
      <c r="A12" s="19" t="inlineStr">
        <is>
          <t>MS-008</t>
        </is>
      </c>
      <c r="B12" s="19" t="inlineStr">
        <is>
          <t>بررسی v_in_mv</t>
        </is>
      </c>
      <c r="C12" s="19" t="inlineStr">
        <is>
          <t>بالا</t>
        </is>
      </c>
      <c r="D12" s="19" t="inlineStr">
        <is>
          <t>valid=true</t>
        </is>
      </c>
      <c r="E12" s="19" t="inlineStr">
        <is>
          <t>counts=1241 (≈1V pin) → V24≈11176mV را محاسبه و مقایسه کن (1V*76000/6800)</t>
        </is>
      </c>
      <c r="F12" s="19" t="inlineStr">
        <is>
          <t>counts 1241 (1V)</t>
        </is>
      </c>
      <c r="G12" s="19" t="inlineStr">
        <is>
          <t>10ms</t>
        </is>
      </c>
      <c r="H12" s="19" t="inlineStr">
        <is>
          <t>v_in_mv = 1241*3300/4095≈1000mV pin → *76000/6800≈11176mV. tolerance ±9mV. PASS: خوانش در tolerance. FAIL: &gt;20mV خطا.</t>
        </is>
      </c>
      <c r="I12" s="19" t="inlineStr">
        <is>
          <t>PASS: مطابق فرمول V24. FAIL: خطا.</t>
        </is>
      </c>
      <c r="J12" s="16" t="inlineStr"/>
      <c r="K12" s="17" t="inlineStr">
        <is>
          <t>در انتظار</t>
        </is>
      </c>
      <c r="L12" s="20" t="inlineStr"/>
      <c r="M12" s="20" t="inlineStr"/>
      <c r="N12" s="20" t="inlineStr">
        <is>
          <t>c6b084f28f2c507cfd342e5dbd0dbd8e45686772</t>
        </is>
      </c>
      <c r="O12" s="20" t="inlineStr"/>
      <c r="P12" s="20" t="inlineStr"/>
    </row>
    <row r="13" ht="38" customHeight="1">
      <c r="A13" s="15" t="inlineStr">
        <is>
          <t>MS-009</t>
        </is>
      </c>
      <c r="B13" s="15" t="inlineStr">
        <is>
          <t>بررسی v_bat24_mv</t>
        </is>
      </c>
      <c r="C13" s="15" t="inlineStr">
        <is>
          <t>بالا</t>
        </is>
      </c>
      <c r="D13" s="15" t="inlineStr">
        <is>
          <t>valid=true</t>
        </is>
      </c>
      <c r="E13" s="15" t="inlineStr">
        <is>
          <t>counts 2482 (2V pin) → V24≈22352mV</t>
        </is>
      </c>
      <c r="F13" s="15" t="inlineStr">
        <is>
          <t>counts 2482</t>
        </is>
      </c>
      <c r="G13" s="15" t="inlineStr">
        <is>
          <t>10ms</t>
        </is>
      </c>
      <c r="H13" s="15" t="inlineStr">
        <is>
          <t>v_bat24_mv≈22352mV ±9mV. PASS. FAIL: خطا.</t>
        </is>
      </c>
      <c r="I13" s="15" t="inlineStr">
        <is>
          <t>PASS: مطابق فرمول V24. FAIL: خطا.</t>
        </is>
      </c>
      <c r="J13" s="16" t="inlineStr"/>
      <c r="K13" s="17" t="inlineStr">
        <is>
          <t>در انتظار</t>
        </is>
      </c>
      <c r="L13" s="18" t="inlineStr"/>
      <c r="M13" s="18" t="inlineStr"/>
      <c r="N13" s="18" t="inlineStr">
        <is>
          <t>c6b084f28f2c507cfd342e5dbd0dbd8e45686772</t>
        </is>
      </c>
      <c r="O13" s="18" t="inlineStr"/>
      <c r="P13" s="18" t="inlineStr"/>
    </row>
    <row r="14" ht="38" customHeight="1">
      <c r="A14" s="19" t="inlineStr">
        <is>
          <t>MS-010</t>
        </is>
      </c>
      <c r="B14" s="19" t="inlineStr">
        <is>
          <t>بررسی v_bat12_mv</t>
        </is>
      </c>
      <c r="C14" s="19" t="inlineStr">
        <is>
          <t>بالا</t>
        </is>
      </c>
      <c r="D14" s="19" t="inlineStr">
        <is>
          <t>valid=true</t>
        </is>
      </c>
      <c r="E14" s="19" t="inlineStr">
        <is>
          <t>counts 2482 (2V pin) → V12≈12058mV (2V*41000/6800)</t>
        </is>
      </c>
      <c r="F14" s="19" t="inlineStr">
        <is>
          <t>counts 2482</t>
        </is>
      </c>
      <c r="G14" s="19" t="inlineStr">
        <is>
          <t>10ms</t>
        </is>
      </c>
      <c r="H14" s="19" t="inlineStr">
        <is>
          <t>v_bat12_mv≈12058mV ±5mV. PASS. FAIL: خطا.</t>
        </is>
      </c>
      <c r="I14" s="19" t="inlineStr">
        <is>
          <t>PASS: مطابق فرمول V12. FAIL: خطا.</t>
        </is>
      </c>
      <c r="J14" s="16" t="inlineStr"/>
      <c r="K14" s="17" t="inlineStr">
        <is>
          <t>در انتظار</t>
        </is>
      </c>
      <c r="L14" s="20" t="inlineStr"/>
      <c r="M14" s="20" t="inlineStr"/>
      <c r="N14" s="20" t="inlineStr">
        <is>
          <t>c6b084f28f2c507cfd342e5dbd0dbd8e45686772</t>
        </is>
      </c>
      <c r="O14" s="20" t="inlineStr"/>
      <c r="P14" s="20" t="inlineStr"/>
    </row>
    <row r="15" ht="38" customHeight="1">
      <c r="A15" s="15" t="inlineStr">
        <is>
          <t>MS-011</t>
        </is>
      </c>
      <c r="B15" s="15" t="inlineStr">
        <is>
          <t>بررسی current1</t>
        </is>
      </c>
      <c r="C15" s="15" t="inlineStr">
        <is>
          <t>بالا</t>
        </is>
      </c>
      <c r="D15" s="15" t="inlineStr">
        <is>
          <t>valid=true</t>
        </is>
      </c>
      <c r="E15" s="15" t="inlineStr">
        <is>
          <t>counts 610 (≈0.49V pin, 0.485A) → Current≈485mA</t>
        </is>
      </c>
      <c r="F15" s="15" t="inlineStr">
        <is>
          <t>counts 610 (0.49V)</t>
        </is>
      </c>
      <c r="G15" s="15" t="inlineStr">
        <is>
          <t>10ms</t>
        </is>
      </c>
      <c r="H15" s="15" t="inlineStr">
        <is>
          <t>i_ch1≈ counts*3300*1000/(4095*101*10) ≈ 486mA ±1mA. PASS. FAIL: خطا.</t>
        </is>
      </c>
      <c r="I15" s="15" t="inlineStr">
        <is>
          <t>PASS: مطابق فرمول جریان. FAIL: خطا.</t>
        </is>
      </c>
      <c r="J15" s="16" t="inlineStr"/>
      <c r="K15" s="17" t="inlineStr">
        <is>
          <t>در انتظار</t>
        </is>
      </c>
      <c r="L15" s="18" t="inlineStr"/>
      <c r="M15" s="18" t="inlineStr"/>
      <c r="N15" s="18" t="inlineStr">
        <is>
          <t>c6b084f28f2c507cfd342e5dbd0dbd8e45686772</t>
        </is>
      </c>
      <c r="O15" s="18" t="inlineStr"/>
      <c r="P15" s="18" t="inlineStr"/>
    </row>
    <row r="16" ht="38" customHeight="1">
      <c r="A16" s="19" t="inlineStr">
        <is>
          <t>MS-012</t>
        </is>
      </c>
      <c r="B16" s="19" t="inlineStr">
        <is>
          <t>بررسی current2</t>
        </is>
      </c>
      <c r="C16" s="19" t="inlineStr">
        <is>
          <t>بالا</t>
        </is>
      </c>
      <c r="D16" s="19" t="inlineStr">
        <is>
          <t>valid=true</t>
        </is>
      </c>
      <c r="E16" s="19" t="inlineStr">
        <is>
          <t>counts 1220 (≈0.98V pin, ≈0.97A)</t>
        </is>
      </c>
      <c r="F16" s="19" t="inlineStr">
        <is>
          <t>counts 1220</t>
        </is>
      </c>
      <c r="G16" s="19" t="inlineStr">
        <is>
          <t>10ms</t>
        </is>
      </c>
      <c r="H16" s="19" t="inlineStr">
        <is>
          <t>i_ch2≈ 973mA ±1mA. PASS. FAIL: خطا.</t>
        </is>
      </c>
      <c r="I16" s="19" t="inlineStr">
        <is>
          <t>PASS: مطابق فرمول. FAIL: خطا.</t>
        </is>
      </c>
      <c r="J16" s="16" t="inlineStr"/>
      <c r="K16" s="17" t="inlineStr">
        <is>
          <t>در انتظار</t>
        </is>
      </c>
      <c r="L16" s="20" t="inlineStr"/>
      <c r="M16" s="20" t="inlineStr"/>
      <c r="N16" s="20" t="inlineStr">
        <is>
          <t>c6b084f28f2c507cfd342e5dbd0dbd8e45686772</t>
        </is>
      </c>
      <c r="O16" s="20" t="inlineStr"/>
      <c r="P16" s="20" t="inlineStr"/>
    </row>
    <row r="17" ht="38" customHeight="1">
      <c r="A17" s="15" t="inlineStr">
        <is>
          <t>MS-013</t>
        </is>
      </c>
      <c r="B17" s="15" t="inlineStr">
        <is>
          <t>بررسی input_present / High</t>
        </is>
      </c>
      <c r="C17" s="15" t="inlineStr">
        <is>
          <t>بالا</t>
        </is>
      </c>
      <c r="D17" s="15" t="inlineStr">
        <is>
          <t>valid=true</t>
        </is>
      </c>
      <c r="E17" s="15" t="inlineStr">
        <is>
          <t>PB4=High (ورودی 24V حاضر) اعمال، snapshot بخوان</t>
        </is>
      </c>
      <c r="F17" s="15" t="inlineStr">
        <is>
          <t>PB4 High</t>
        </is>
      </c>
      <c r="G17" s="15" t="inlineStr">
        <is>
          <t>10ms</t>
        </is>
      </c>
      <c r="H17" s="15" t="inlineStr">
        <is>
          <t>input_present=true. PASS: true. FAIL: false.</t>
        </is>
      </c>
      <c r="I17" s="15" t="inlineStr">
        <is>
          <t>PASS: true. FAIL: false.</t>
        </is>
      </c>
      <c r="J17" s="16" t="inlineStr"/>
      <c r="K17" s="17" t="inlineStr">
        <is>
          <t>در انتظار</t>
        </is>
      </c>
      <c r="L17" s="18" t="inlineStr"/>
      <c r="M17" s="18" t="inlineStr"/>
      <c r="N17" s="18" t="inlineStr">
        <is>
          <t>c6b084f28f2c507cfd342e5dbd0dbd8e45686772</t>
        </is>
      </c>
      <c r="O17" s="18" t="inlineStr"/>
      <c r="P17" s="18" t="inlineStr"/>
    </row>
    <row r="18" ht="38" customHeight="1">
      <c r="A18" s="19" t="inlineStr">
        <is>
          <t>MS-014</t>
        </is>
      </c>
      <c r="B18" s="19" t="inlineStr">
        <is>
          <t>بررسی input_present / Low</t>
        </is>
      </c>
      <c r="C18" s="19" t="inlineStr">
        <is>
          <t>بالا</t>
        </is>
      </c>
      <c r="D18" s="19" t="inlineStr">
        <is>
          <t>valid=true</t>
        </is>
      </c>
      <c r="E18" s="19" t="inlineStr">
        <is>
          <t>PB4=Low (ورودی قطع) اعمال</t>
        </is>
      </c>
      <c r="F18" s="19" t="inlineStr">
        <is>
          <t>PB4 Low</t>
        </is>
      </c>
      <c r="G18" s="19" t="inlineStr">
        <is>
          <t>10ms</t>
        </is>
      </c>
      <c r="H18" s="19" t="inlineStr">
        <is>
          <t>input_present=false. PASS. FAIL: true.</t>
        </is>
      </c>
      <c r="I18" s="19" t="inlineStr">
        <is>
          <t>PASS: false. FAIL: true.</t>
        </is>
      </c>
      <c r="J18" s="16" t="inlineStr"/>
      <c r="K18" s="17" t="inlineStr">
        <is>
          <t>در انتظار</t>
        </is>
      </c>
      <c r="L18" s="20" t="inlineStr"/>
      <c r="M18" s="20" t="inlineStr"/>
      <c r="N18" s="20" t="inlineStr">
        <is>
          <t>c6b084f28f2c507cfd342e5dbd0dbd8e45686772</t>
        </is>
      </c>
      <c r="O18" s="20" t="inlineStr"/>
      <c r="P18" s="20" t="inlineStr"/>
    </row>
    <row r="19" ht="38" customHeight="1">
      <c r="A19" s="15" t="inlineStr">
        <is>
          <t>MS-015</t>
        </is>
      </c>
      <c r="B19" s="15" t="inlineStr">
        <is>
          <t>NULL در GetSnapshot</t>
        </is>
      </c>
      <c r="C19" s="15" t="inlineStr">
        <is>
          <t>بالا</t>
        </is>
      </c>
      <c r="D19" s="15" t="inlineStr">
        <is>
          <t>هر زمان</t>
        </is>
      </c>
      <c r="E19" s="15" t="inlineStr">
        <is>
          <t>func__Measurement_GetSnapshot(NULL) صدا بزن</t>
        </is>
      </c>
      <c r="F19" s="15" t="inlineStr">
        <is>
          <t>NULL pointer</t>
        </is>
      </c>
      <c r="G19" s="15" t="inlineStr">
        <is>
          <t>100ms</t>
        </is>
      </c>
      <c r="H19" s="15" t="inlineStr">
        <is>
          <t>return false، بدون کرش، snapshot تغییر نکند. PASS: false. FAIL: کرش یا true.</t>
        </is>
      </c>
      <c r="I19" s="15" t="inlineStr">
        <is>
          <t>PASS: NULL → false. FAIL: true/crash.</t>
        </is>
      </c>
      <c r="J19" s="16" t="inlineStr"/>
      <c r="K19" s="17" t="inlineStr">
        <is>
          <t>در انتظار</t>
        </is>
      </c>
      <c r="L19" s="18" t="inlineStr"/>
      <c r="M19" s="18" t="inlineStr"/>
      <c r="N19" s="18" t="inlineStr">
        <is>
          <t>c6b084f28f2c507cfd342e5dbd0dbd8e45686772</t>
        </is>
      </c>
      <c r="O19" s="18" t="inlineStr"/>
      <c r="P19" s="18" t="inlineStr"/>
    </row>
    <row r="20" ht="38" customHeight="1">
      <c r="A20" s="19" t="inlineStr">
        <is>
          <t>MS-016</t>
        </is>
      </c>
      <c r="B20" s="19" t="inlineStr">
        <is>
          <t>Snapshot چندفیلدی اتمیک</t>
        </is>
      </c>
      <c r="C20" s="19" t="inlineStr">
        <is>
          <t>بالا</t>
        </is>
      </c>
      <c r="D20" s="19" t="inlineStr">
        <is>
          <t>valid=true</t>
        </is>
      </c>
      <c r="E20" s="19" t="inlineStr">
        <is>
          <t>حین func__Measurement_Run، از دو تسک هم‌زمان GetSnapshot بخوان و چک کن هیچ فیلدی نیمه‌به‌روزشده نباشد</t>
        </is>
      </c>
      <c r="F20" s="19" t="inlineStr">
        <is>
          <t>concurrent read</t>
        </is>
      </c>
      <c r="G20" s="19" t="inlineStr">
        <is>
          <t>20ms</t>
        </is>
      </c>
      <c r="H20" s="19" t="inlineStr">
        <is>
          <t>هر دو snapshot کپی‌شده باید یا کامل قدیمی یا کامل جدید باشد، نه ترکیبی. با osKernelLock تضمین. PASS: atomic. FAIL: torn read.</t>
        </is>
      </c>
      <c r="I20" s="19" t="inlineStr">
        <is>
          <t>PASS: no torn data. FAIL: partial.</t>
        </is>
      </c>
      <c r="J20" s="16" t="inlineStr"/>
      <c r="K20" s="17" t="inlineStr">
        <is>
          <t>در انتظار</t>
        </is>
      </c>
      <c r="L20" s="20" t="inlineStr"/>
      <c r="M20" s="20" t="inlineStr"/>
      <c r="N20" s="20" t="inlineStr">
        <is>
          <t>c6b084f28f2c507cfd342e5dbd0dbd8e45686772</t>
        </is>
      </c>
      <c r="O20" s="20" t="inlineStr"/>
      <c r="P20" s="20" t="inlineStr"/>
    </row>
    <row r="21" ht="38" customHeight="1">
      <c r="A21" s="15" t="inlineStr">
        <is>
          <t>MS-017</t>
        </is>
      </c>
      <c r="B21" s="15" t="inlineStr">
        <is>
          <t>دوره 10ms تسک Measurement</t>
        </is>
      </c>
      <c r="C21" s="15" t="inlineStr">
        <is>
          <t>بالا</t>
        </is>
      </c>
      <c r="D21" s="15" t="inlineStr">
        <is>
          <t>valid=true</t>
        </is>
      </c>
      <c r="E21" s="15" t="inlineStr">
        <is>
          <t>اسکوپ روی یک GPIO toggle در ابتدای هر Run (یا Live Watch) 1s ضبط کن</t>
        </is>
      </c>
      <c r="F21" s="15" t="inlineStr">
        <is>
          <t>—</t>
        </is>
      </c>
      <c r="G21" s="15" t="inlineStr">
        <is>
          <t>1s</t>
        </is>
      </c>
      <c r="H21" s="15" t="inlineStr">
        <is>
          <t>فاصله بین Runها باید 10ms ±1ms (MEASUREMENT_PERIOD_MS) با osDelayUntil. PASS: 10ms period. FAIL: 5ms یا 20ms.</t>
        </is>
      </c>
      <c r="I21" s="15" t="inlineStr">
        <is>
          <t>PASS: 10ms period. FAIL: otherwise.</t>
        </is>
      </c>
      <c r="J21" s="16" t="inlineStr"/>
      <c r="K21" s="17" t="inlineStr">
        <is>
          <t>در انتظار</t>
        </is>
      </c>
      <c r="L21" s="18" t="inlineStr"/>
      <c r="M21" s="18" t="inlineStr"/>
      <c r="N21" s="18" t="inlineStr">
        <is>
          <t>c6b084f28f2c507cfd342e5dbd0dbd8e45686772</t>
        </is>
      </c>
      <c r="O21" s="18" t="inlineStr"/>
      <c r="P21" s="18" t="inlineStr"/>
    </row>
    <row r="22" ht="38" customHeight="1">
      <c r="A22" s="19" t="inlineStr">
        <is>
          <t>MS-018</t>
        </is>
      </c>
      <c r="B22" s="19" t="inlineStr">
        <is>
          <t>DMA frame کامل</t>
        </is>
      </c>
      <c r="C22" s="19" t="inlineStr">
        <is>
          <t>بالا</t>
        </is>
      </c>
      <c r="D22" s="19" t="inlineStr">
        <is>
          <t>valid=true</t>
        </is>
      </c>
      <c r="E22" s="19" t="inlineStr">
        <is>
          <t>DMA دو فریمی 2×5 را با CNDTR چک کن: قبل/بعد کپی شمارنده هم‌طرف باشد و frame 5 نمونه کامل کپی شود</t>
        </is>
      </c>
      <c r="F22" s="19" t="inlineStr">
        <is>
          <t>DMA CNDTR</t>
        </is>
      </c>
      <c r="G22" s="19" t="inlineStr">
        <is>
          <t>10ms</t>
        </is>
      </c>
      <c r="H22" s="19" t="inlineStr">
        <is>
          <t>GetRaw باید stable window true بدهد و 5 نمونه valid. PASS: stable copy. FAIL: torn یا retry exceed.</t>
        </is>
      </c>
      <c r="I22" s="19" t="inlineStr">
        <is>
          <t>PASS: stable frame. FAIL: unstable.</t>
        </is>
      </c>
      <c r="J22" s="16" t="inlineStr"/>
      <c r="K22" s="17" t="inlineStr">
        <is>
          <t>در انتظار</t>
        </is>
      </c>
      <c r="L22" s="20" t="inlineStr"/>
      <c r="M22" s="20" t="inlineStr"/>
      <c r="N22" s="20" t="inlineStr">
        <is>
          <t>c6b084f28f2c507cfd342e5dbd0dbd8e45686772</t>
        </is>
      </c>
      <c r="O22" s="20" t="inlineStr"/>
      <c r="P22" s="20" t="inlineStr"/>
    </row>
    <row r="23" ht="38" customHeight="1">
      <c r="A23" s="15" t="inlineStr">
        <is>
          <t>MS-019</t>
        </is>
      </c>
      <c r="B23" s="15" t="inlineStr">
        <is>
          <t>تطبیق فرمول و کالیبراسیون / صفر</t>
        </is>
      </c>
      <c r="C23" s="15" t="inlineStr">
        <is>
          <t>بالا</t>
        </is>
      </c>
      <c r="D23" s="15" t="inlineStr">
        <is>
          <t>valid=true</t>
        </is>
      </c>
      <c r="E23" s="15" t="inlineStr">
        <is>
          <t>counts 0 → CountsToMv 0، V24 0، V12 0، Current 0</t>
        </is>
      </c>
      <c r="F23" s="15" t="inlineStr">
        <is>
          <t>counts 0</t>
        </is>
      </c>
      <c r="G23" s="15" t="inlineStr">
        <is>
          <t>10ms</t>
        </is>
      </c>
      <c r="H23" s="15" t="inlineStr">
        <is>
          <t>همه 0mV/mA. PASS: 0. FAIL: non-zero.</t>
        </is>
      </c>
      <c r="I23" s="15" t="inlineStr">
        <is>
          <t>PASS: zero. FAIL: non-zero.</t>
        </is>
      </c>
      <c r="J23" s="16" t="inlineStr"/>
      <c r="K23" s="17" t="inlineStr">
        <is>
          <t>در انتظار</t>
        </is>
      </c>
      <c r="L23" s="18" t="inlineStr"/>
      <c r="M23" s="18" t="inlineStr"/>
      <c r="N23" s="18" t="inlineStr">
        <is>
          <t>c6b084f28f2c507cfd342e5dbd0dbd8e45686772</t>
        </is>
      </c>
      <c r="O23" s="18" t="inlineStr"/>
      <c r="P23" s="18" t="inlineStr"/>
    </row>
    <row r="24" ht="38" customHeight="1">
      <c r="A24" s="19" t="inlineStr">
        <is>
          <t>MS-020</t>
        </is>
      </c>
      <c r="B24" s="19" t="inlineStr">
        <is>
          <t>تطبیق فرمول / فول</t>
        </is>
      </c>
      <c r="C24" s="19" t="inlineStr">
        <is>
          <t>بالا</t>
        </is>
      </c>
      <c r="D24" s="19" t="inlineStr">
        <is>
          <t>valid=true</t>
        </is>
      </c>
      <c r="E24" s="19" t="inlineStr">
        <is>
          <t>counts 4095 → CountsToMv 3300، V24≈36882mV (3300*76000/6800)، V12≈19897mV، Current≈3267mA (3300*1000/(101*10)=3267)</t>
        </is>
      </c>
      <c r="F24" s="19" t="inlineStr">
        <is>
          <t>counts 4095 (فول)</t>
        </is>
      </c>
      <c r="G24" s="19" t="inlineStr">
        <is>
          <t>10ms</t>
        </is>
      </c>
      <c r="H24" s="19" t="inlineStr">
        <is>
          <t>V24≈36882mV، V12≈19897mV، Current≈3267mA ±tolerance (V12 با 41000/6800). PASS: فول مطابق فرمول. FAIL: خطا.</t>
        </is>
      </c>
      <c r="I24" s="19" t="inlineStr">
        <is>
          <t>PASS: فول 36882/19897/3267. FAIL: خطا.</t>
        </is>
      </c>
      <c r="J24" s="16" t="inlineStr"/>
      <c r="K24" s="17" t="inlineStr">
        <is>
          <t>در انتظار</t>
        </is>
      </c>
      <c r="L24" s="20" t="inlineStr"/>
      <c r="M24" s="20" t="inlineStr"/>
      <c r="N24" s="20" t="inlineStr">
        <is>
          <t>c6b084f28f2c507cfd342e5dbd0dbd8e45686772</t>
        </is>
      </c>
      <c r="O24" s="20" t="inlineStr"/>
      <c r="P24" s="20" t="inlineStr"/>
    </row>
    <row r="25" ht="38" customHeight="1">
      <c r="A25" s="15" t="inlineStr">
        <is>
          <t>MS-021</t>
        </is>
      </c>
      <c r="B25" s="15" t="inlineStr">
        <is>
          <t>کالیبراسیون برد / tolerance</t>
        </is>
      </c>
      <c r="C25" s="15" t="inlineStr">
        <is>
          <t>متوسط</t>
        </is>
      </c>
      <c r="D25" s="15" t="inlineStr">
        <is>
          <t>valid=true</t>
        </is>
      </c>
      <c r="E25" s="15" t="inlineStr">
        <is>
          <t>برای V24=24V واقعی، ADC pin≈2147mV → counts≈2665 → V24≈24000mV را محاسبه و با DMM روی PA2 مقایسه کن</t>
        </is>
      </c>
      <c r="F25" s="15" t="inlineStr">
        <is>
          <t>V24=24V (pin≈2147mV, counts≈2665)</t>
        </is>
      </c>
      <c r="G25" s="15" t="inlineStr">
        <is>
          <t>10ms</t>
        </is>
      </c>
      <c r="H25" s="15" t="inlineStr">
        <is>
          <t>ADC pin≈2147mV، counts≈2665، V24≈24000mV ±tolerance (1% مقاومت + 1LSB). PASS: خطا &lt;1% + LSB. FAIL: &gt;2%.</t>
        </is>
      </c>
      <c r="I25" s="15" t="inlineStr">
        <is>
          <t>PASS: 2665→24000 within 1%. FAIL: &gt;2%.</t>
        </is>
      </c>
      <c r="J25" s="16" t="inlineStr"/>
      <c r="K25" s="17" t="inlineStr">
        <is>
          <t>در انتظار</t>
        </is>
      </c>
      <c r="L25" s="18" t="inlineStr"/>
      <c r="M25" s="18" t="inlineStr"/>
      <c r="N25" s="18" t="inlineStr">
        <is>
          <t>c6b084f28f2c507cfd342e5dbd0dbd8e45686772</t>
        </is>
      </c>
      <c r="O25" s="18" t="inlineStr"/>
      <c r="P25" s="18" t="inlineStr"/>
    </row>
  </sheetData>
  <autoFilter ref="A4:P25"/>
  <mergeCells count="3">
    <mergeCell ref="A1:P1"/>
    <mergeCell ref="A3:P3"/>
    <mergeCell ref="A2:P2"/>
  </mergeCells>
  <printOptions horizontalCentered="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30" customWidth="1" min="3" max="3"/>
    <col width="22" customWidth="1" min="4" max="4"/>
    <col width="22" customWidth="1" min="5" max="5"/>
    <col width="18" customWidth="1" min="6" max="6"/>
  </cols>
  <sheetData>
    <row r="1" ht="20" customHeight="1">
      <c r="A1" s="21" t="inlineStr">
        <is>
          <t>مرجع Measurement — فرمول‌ها و کالیبراسیون</t>
        </is>
      </c>
    </row>
    <row r="2" ht="18" customHeight="1">
      <c r="A2" s="22" t="inlineStr">
        <is>
          <t>این صفحه مرجع انتظار است؛ نتیجه واقعی فقط در «برنامه تست» ثبت شود. مقادیر از کد واقعی استخراج شده؛ مقدار حدسی وجود ندارد.</t>
        </is>
      </c>
    </row>
    <row r="3" ht="18" customHeight="1">
      <c r="A3" s="6" t="inlineStr">
        <is>
          <t>موضوع</t>
        </is>
      </c>
      <c r="B3" s="6" t="inlineStr">
        <is>
          <t>شرط / مقدار (از کد)</t>
        </is>
      </c>
      <c r="C3" s="6" t="inlineStr">
        <is>
          <t>رفتار مورد انتظار</t>
        </is>
      </c>
      <c r="D3" s="6" t="inlineStr">
        <is>
          <t>ثابت / محل کد</t>
        </is>
      </c>
      <c r="E3" s="6" t="inlineStr">
        <is>
          <t>توضیح تکمیلی</t>
        </is>
      </c>
      <c r="F3" s="6" t="inlineStr">
        <is>
          <t>وابستگی</t>
        </is>
      </c>
    </row>
    <row r="4" ht="14" customHeight="1">
      <c r="A4" s="15" t="inlineStr">
        <is>
          <t>Vref و ADC</t>
        </is>
      </c>
      <c r="B4" s="15" t="inlineStr">
        <is>
          <t>Vref 3300mV، 12bit 4095</t>
        </is>
      </c>
      <c r="C4" s="15" t="inlineStr">
        <is>
          <t>پایه</t>
        </is>
      </c>
      <c r="D4" s="15" t="inlineStr">
        <is>
          <t>BSP_MEASUREMENT_VREF_MV/ADC_FULL_SCALE</t>
        </is>
      </c>
      <c r="E4" s="15" t="inlineStr">
        <is>
          <t>مرجع STM32F1</t>
        </is>
      </c>
      <c r="F4" s="15" t="inlineStr">
        <is>
          <t>MS-019,020</t>
        </is>
      </c>
    </row>
    <row r="5" ht="14" customHeight="1">
      <c r="A5" s="15" t="inlineStr">
        <is>
          <t>CountsToMv</t>
        </is>
      </c>
      <c r="B5" s="15" t="inlineStr">
        <is>
          <t>counts*3300/4095</t>
        </is>
      </c>
      <c r="C5" s="15" t="inlineStr">
        <is>
          <t>ولتاژ پایه ADC</t>
        </is>
      </c>
      <c r="D5" s="15" t="inlineStr">
        <is>
          <t>func__BspMeasurement_CountsToMv</t>
        </is>
      </c>
      <c r="E5" s="15" t="inlineStr">
        <is>
          <t>±0.8mV/LSB</t>
        </is>
      </c>
      <c r="F5" s="15" t="inlineStr">
        <is>
          <t>MS-008..012</t>
        </is>
      </c>
    </row>
    <row r="6" ht="14" customHeight="1">
      <c r="A6" s="15" t="inlineStr">
        <is>
          <t>V24</t>
        </is>
      </c>
      <c r="B6" s="15" t="inlineStr">
        <is>
          <t>adcPinMv*(69200+6800)/6800</t>
        </is>
      </c>
      <c r="C6" s="15" t="inlineStr">
        <is>
          <t>منبع 24V</t>
        </is>
      </c>
      <c r="D6" s="15" t="inlineStr">
        <is>
          <t>DIV24_TOP/BOTTOM</t>
        </is>
      </c>
      <c r="E6" s="15" t="inlineStr">
        <is>
          <t>±9mV/LSB</t>
        </is>
      </c>
      <c r="F6" s="15" t="inlineStr">
        <is>
          <t>MS-008,009</t>
        </is>
      </c>
    </row>
    <row r="7" ht="14" customHeight="1">
      <c r="A7" s="15" t="inlineStr">
        <is>
          <t>V12</t>
        </is>
      </c>
      <c r="B7" s="15" t="inlineStr">
        <is>
          <t>adcPinMv*(34200+6800)/6800</t>
        </is>
      </c>
      <c r="C7" s="15" t="inlineStr">
        <is>
          <t>منبع 12V</t>
        </is>
      </c>
      <c r="D7" s="15" t="inlineStr">
        <is>
          <t>DIV12_TOP/BOTTOM</t>
        </is>
      </c>
      <c r="E7" s="15" t="inlineStr">
        <is>
          <t>±4.8mV/LSB</t>
        </is>
      </c>
      <c r="F7" s="15" t="inlineStr">
        <is>
          <t>MS-010</t>
        </is>
      </c>
    </row>
    <row r="8" ht="14" customHeight="1">
      <c r="A8" s="15" t="inlineStr">
        <is>
          <t>Current</t>
        </is>
      </c>
      <c r="B8" s="15" t="inlineStr">
        <is>
          <t>counts*3300*1000/(4095*101*10)</t>
        </is>
      </c>
      <c r="C8" s="15" t="inlineStr">
        <is>
          <t>mA</t>
        </is>
      </c>
      <c r="D8" s="15" t="inlineStr">
        <is>
          <t>SHUNT 10mΩ GAIN101</t>
        </is>
      </c>
      <c r="E8" s="15" t="inlineStr">
        <is>
          <t>±0.8mA/LSB</t>
        </is>
      </c>
      <c r="F8" s="15" t="inlineStr">
        <is>
          <t>MS-011,012</t>
        </is>
      </c>
    </row>
    <row r="9" ht="14" customHeight="1">
      <c r="A9" s="15" t="inlineStr">
        <is>
          <t>Warmup</t>
        </is>
      </c>
      <c r="B9" s="15" t="inlineStr">
        <is>
          <t>3 فریم</t>
        </is>
      </c>
      <c r="C9" s="15" t="inlineStr">
        <is>
          <t>valid پس از 3</t>
        </is>
      </c>
      <c r="D9" s="15" t="inlineStr">
        <is>
          <t>MEASUREMENT_WARMUP_FRAME_COUNT=3</t>
        </is>
      </c>
      <c r="E9" s="15" t="inlineStr">
        <is>
          <t>واحد: فریم کامل</t>
        </is>
      </c>
      <c r="F9" s="15" t="inlineStr">
        <is>
          <t>MS-002..006</t>
        </is>
      </c>
    </row>
    <row r="10" ht="14" customHeight="1">
      <c r="A10" s="15" t="inlineStr">
        <is>
          <t>Invalid</t>
        </is>
      </c>
      <c r="B10" s="15" t="inlineStr">
        <is>
          <t>GetRaw false → valid false + reset</t>
        </is>
      </c>
      <c r="C10" s="15" t="inlineStr">
        <is>
          <t xml:space="preserve"> warmup reset</t>
        </is>
      </c>
      <c r="D10" s="15" t="inlineStr">
        <is>
          <t>measurement.c</t>
        </is>
      </c>
      <c r="E10" s="15" t="inlineStr">
        <is>
          <t>ناپایدار</t>
        </is>
      </c>
      <c r="F10" s="15" t="inlineStr">
        <is>
          <t>MS-005</t>
        </is>
      </c>
    </row>
    <row r="11" ht="14" customHeight="1">
      <c r="A11" s="15" t="inlineStr">
        <is>
          <t>Vin zero</t>
        </is>
      </c>
      <c r="B11" s="15" t="inlineStr">
        <is>
          <t>Vin 0V still valid</t>
        </is>
      </c>
      <c r="C11" s="15" t="inlineStr">
        <is>
          <t>invalid نشود</t>
        </is>
      </c>
      <c r="D11" s="15" t="inlineStr">
        <is>
          <t>measurement.c</t>
        </is>
      </c>
      <c r="E11" s="15" t="inlineStr">
        <is>
          <t>مستقل از Vin</t>
        </is>
      </c>
      <c r="F11" s="15" t="inlineStr">
        <is>
          <t>MS-007</t>
        </is>
      </c>
    </row>
    <row r="12" ht="14" customHeight="1">
      <c r="A12" s="15" t="inlineStr">
        <is>
          <t>NULL</t>
        </is>
      </c>
      <c r="B12" s="15" t="inlineStr">
        <is>
          <t>GetSnapshot NULL → false</t>
        </is>
      </c>
      <c r="C12" s="15" t="inlineStr">
        <is>
          <t>بدون کرش</t>
        </is>
      </c>
      <c r="D12" s="15" t="inlineStr">
        <is>
          <t>func__Measurement_GetSnapshot</t>
        </is>
      </c>
      <c r="E12" s="15" t="inlineStr">
        <is>
          <t>بررسی اشاره‌گر</t>
        </is>
      </c>
      <c r="F12" s="15" t="inlineStr">
        <is>
          <t>MS-015</t>
        </is>
      </c>
    </row>
    <row r="13" ht="14" customHeight="1">
      <c r="A13" s="15" t="inlineStr">
        <is>
          <t>Atomic</t>
        </is>
      </c>
      <c r="B13" s="15" t="inlineStr">
        <is>
          <t>osKernelLock</t>
        </is>
      </c>
      <c r="C13" s="15" t="inlineStr">
        <is>
          <t>بدون torn read</t>
        </is>
      </c>
      <c r="D13" s="15" t="inlineStr">
        <is>
          <t>measurement.c</t>
        </is>
      </c>
      <c r="E13" s="15" t="inlineStr">
        <is>
          <t>CMSIS-RTOS2</t>
        </is>
      </c>
      <c r="F13" s="15" t="inlineStr">
        <is>
          <t>MS-016</t>
        </is>
      </c>
    </row>
    <row r="14" ht="14" customHeight="1">
      <c r="A14" s="15" t="inlineStr">
        <is>
          <t>Period</t>
        </is>
      </c>
      <c r="B14" s="15" t="inlineStr">
        <is>
          <t>10ms</t>
        </is>
      </c>
      <c r="C14" s="15" t="inlineStr">
        <is>
          <t>هر 10ms یک Run</t>
        </is>
      </c>
      <c r="D14" s="15" t="inlineStr">
        <is>
          <t>MEASUREMENT_PERIOD_MS=10</t>
        </is>
      </c>
      <c r="E14" s="15" t="inlineStr">
        <is>
          <t>osDelayUntil</t>
        </is>
      </c>
      <c r="F14" s="15" t="inlineStr">
        <is>
          <t>MS-017</t>
        </is>
      </c>
    </row>
    <row r="15" ht="14" customHeight="1">
      <c r="A15" s="15" t="inlineStr">
        <is>
          <t>DMA</t>
        </is>
      </c>
      <c r="B15" s="15" t="inlineStr">
        <is>
          <t>2×5 halfword circular</t>
        </is>
      </c>
      <c r="C15" s="15" t="inlineStr">
        <is>
          <t>CNDTR stable</t>
        </is>
      </c>
      <c r="D15" s="15" t="inlineStr">
        <is>
          <t>bsp_adc.c</t>
        </is>
      </c>
      <c r="E15" s="15" t="inlineStr">
        <is>
          <t>2 فریم</t>
        </is>
      </c>
      <c r="F15" s="15" t="inlineStr">
        <is>
          <t>MS-018</t>
        </is>
      </c>
    </row>
  </sheetData>
  <mergeCells count="2">
    <mergeCell ref="A2:F2"/>
    <mergeCell ref="A1:F1"/>
  </mergeCells>
  <printOptions horizontalCentered="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9" customWidth="1" min="4" max="4"/>
    <col width="20" customWidth="1" min="5" max="5"/>
    <col width="20" customWidth="1" min="6" max="6"/>
    <col width="14" customWidth="1" min="7" max="7"/>
    <col width="14" customWidth="1" min="8" max="8"/>
    <col width="18" customWidth="1" min="9" max="9"/>
    <col width="12" customWidth="1" min="10" max="10"/>
    <col width="14" customWidth="1" min="11" max="11"/>
    <col width="11" customWidth="1" min="12" max="12"/>
    <col width="18" customWidth="1" min="13" max="13"/>
  </cols>
  <sheetData>
    <row r="1" ht="20" customHeight="1">
      <c r="A1" s="21" t="inlineStr">
        <is>
          <t>ثبت ایرادهای مشاهده‌شده روی برد</t>
        </is>
      </c>
    </row>
    <row r="2">
      <c r="A2" s="22" t="inlineStr">
        <is>
          <t>برای هر وضعیت «رد» یا تفاوت مهم، یک ردیف با شناسه یکتا ثبت کن؛ پس از رفع، تست مربوطه را تکرار و در «برنامه تست» وضعیت را به‌روز کن.</t>
        </is>
      </c>
    </row>
    <row r="3" ht="22" customHeight="1">
      <c r="A3" s="6" t="inlineStr">
        <is>
          <t>شماره ایراد</t>
        </is>
      </c>
      <c r="B3" s="6" t="inlineStr">
        <is>
          <t>شناسه تست</t>
        </is>
      </c>
      <c r="C3" s="6" t="inlineStr">
        <is>
          <t>تاریخ کشف</t>
        </is>
      </c>
      <c r="D3" s="6" t="inlineStr">
        <is>
          <t>شدت</t>
        </is>
      </c>
      <c r="E3" s="6" t="inlineStr">
        <is>
          <t>شرح کوتاه ایراد</t>
        </is>
      </c>
      <c r="F3" s="6" t="inlineStr">
        <is>
          <t>مراحل بازتولید</t>
        </is>
      </c>
      <c r="G3" s="6" t="inlineStr">
        <is>
          <t>انتظار</t>
        </is>
      </c>
      <c r="H3" s="6" t="inlineStr">
        <is>
          <t>واقعیت</t>
        </is>
      </c>
      <c r="I3" s="6" t="inlineStr">
        <is>
          <t>مدرک / مسیر عکس یا scope</t>
        </is>
      </c>
      <c r="J3" s="6" t="inlineStr">
        <is>
          <t>commit firmware</t>
        </is>
      </c>
      <c r="K3" s="6" t="inlineStr">
        <is>
          <t>محل احتمالی</t>
        </is>
      </c>
      <c r="L3" s="6" t="inlineStr">
        <is>
          <t>وضعیت ایراد</t>
        </is>
      </c>
      <c r="M3" s="6" t="inlineStr">
        <is>
          <t>تأیید رفع / توضیحات</t>
        </is>
      </c>
    </row>
    <row r="4" ht="14" customHeight="1">
      <c r="A4" s="23" t="inlineStr"/>
      <c r="B4" s="23" t="inlineStr"/>
      <c r="C4" s="23" t="inlineStr"/>
      <c r="D4" s="23" t="inlineStr"/>
      <c r="E4" s="23" t="inlineStr"/>
      <c r="F4" s="23" t="inlineStr"/>
      <c r="G4" s="23" t="inlineStr"/>
      <c r="H4" s="23" t="inlineStr"/>
      <c r="I4" s="23" t="inlineStr"/>
      <c r="J4" s="23" t="inlineStr"/>
      <c r="K4" s="23" t="inlineStr"/>
      <c r="L4" s="23" t="inlineStr"/>
      <c r="M4" s="23" t="inlineStr"/>
    </row>
    <row r="5" ht="14" customHeight="1">
      <c r="A5" s="24" t="inlineStr"/>
      <c r="B5" s="24" t="inlineStr"/>
      <c r="C5" s="24" t="inlineStr"/>
      <c r="D5" s="24" t="inlineStr"/>
      <c r="E5" s="24" t="inlineStr"/>
      <c r="F5" s="24" t="inlineStr"/>
      <c r="G5" s="24" t="inlineStr"/>
      <c r="H5" s="24" t="inlineStr"/>
      <c r="I5" s="24" t="inlineStr"/>
      <c r="J5" s="24" t="inlineStr"/>
      <c r="K5" s="24" t="inlineStr"/>
      <c r="L5" s="24" t="inlineStr"/>
      <c r="M5" s="24" t="inlineStr"/>
    </row>
    <row r="6" ht="14" customHeight="1">
      <c r="A6" s="23" t="inlineStr"/>
      <c r="B6" s="23" t="inlineStr"/>
      <c r="C6" s="23" t="inlineStr"/>
      <c r="D6" s="23" t="inlineStr"/>
      <c r="E6" s="23" t="inlineStr"/>
      <c r="F6" s="23" t="inlineStr"/>
      <c r="G6" s="23" t="inlineStr"/>
      <c r="H6" s="23" t="inlineStr"/>
      <c r="I6" s="23" t="inlineStr"/>
      <c r="J6" s="23" t="inlineStr"/>
      <c r="K6" s="23" t="inlineStr"/>
      <c r="L6" s="23" t="inlineStr"/>
      <c r="M6" s="23" t="inlineStr"/>
    </row>
    <row r="7" ht="14" customHeight="1">
      <c r="A7" s="24" t="inlineStr"/>
      <c r="B7" s="24" t="inlineStr"/>
      <c r="C7" s="24" t="inlineStr"/>
      <c r="D7" s="24" t="inlineStr"/>
      <c r="E7" s="24" t="inlineStr"/>
      <c r="F7" s="24" t="inlineStr"/>
      <c r="G7" s="24" t="inlineStr"/>
      <c r="H7" s="24" t="inlineStr"/>
      <c r="I7" s="24" t="inlineStr"/>
      <c r="J7" s="24" t="inlineStr"/>
      <c r="K7" s="24" t="inlineStr"/>
      <c r="L7" s="24" t="inlineStr"/>
      <c r="M7" s="24" t="inlineStr"/>
    </row>
    <row r="8" ht="14" customHeight="1">
      <c r="A8" s="23" t="inlineStr"/>
      <c r="B8" s="23" t="inlineStr"/>
      <c r="C8" s="23" t="inlineStr"/>
      <c r="D8" s="23" t="inlineStr"/>
      <c r="E8" s="23" t="inlineStr"/>
      <c r="F8" s="23" t="inlineStr"/>
      <c r="G8" s="23" t="inlineStr"/>
      <c r="H8" s="23" t="inlineStr"/>
      <c r="I8" s="23" t="inlineStr"/>
      <c r="J8" s="23" t="inlineStr"/>
      <c r="K8" s="23" t="inlineStr"/>
      <c r="L8" s="23" t="inlineStr"/>
      <c r="M8" s="23" t="inlineStr"/>
    </row>
    <row r="9" ht="14" customHeight="1">
      <c r="A9" s="24" t="inlineStr"/>
      <c r="B9" s="24" t="inlineStr"/>
      <c r="C9" s="24" t="inlineStr"/>
      <c r="D9" s="24" t="inlineStr"/>
      <c r="E9" s="24" t="inlineStr"/>
      <c r="F9" s="24" t="inlineStr"/>
      <c r="G9" s="24" t="inlineStr"/>
      <c r="H9" s="24" t="inlineStr"/>
      <c r="I9" s="24" t="inlineStr"/>
      <c r="J9" s="24" t="inlineStr"/>
      <c r="K9" s="24" t="inlineStr"/>
      <c r="L9" s="24" t="inlineStr"/>
      <c r="M9" s="24" t="inlineStr"/>
    </row>
    <row r="10" ht="14" customHeight="1">
      <c r="A10" s="23" t="inlineStr"/>
      <c r="B10" s="23" t="inlineStr"/>
      <c r="C10" s="23" t="inlineStr"/>
      <c r="D10" s="23" t="inlineStr"/>
      <c r="E10" s="23" t="inlineStr"/>
      <c r="F10" s="23" t="inlineStr"/>
      <c r="G10" s="23" t="inlineStr"/>
      <c r="H10" s="23" t="inlineStr"/>
      <c r="I10" s="23" t="inlineStr"/>
      <c r="J10" s="23" t="inlineStr"/>
      <c r="K10" s="23" t="inlineStr"/>
      <c r="L10" s="23" t="inlineStr"/>
      <c r="M10" s="23" t="inlineStr"/>
    </row>
    <row r="11" ht="14" customHeight="1">
      <c r="A11" s="24" t="inlineStr"/>
      <c r="B11" s="24" t="inlineStr"/>
      <c r="C11" s="24" t="inlineStr"/>
      <c r="D11" s="24" t="inlineStr"/>
      <c r="E11" s="24" t="inlineStr"/>
      <c r="F11" s="24" t="inlineStr"/>
      <c r="G11" s="24" t="inlineStr"/>
      <c r="H11" s="24" t="inlineStr"/>
      <c r="I11" s="24" t="inlineStr"/>
      <c r="J11" s="24" t="inlineStr"/>
      <c r="K11" s="24" t="inlineStr"/>
      <c r="L11" s="24" t="inlineStr"/>
      <c r="M11" s="24" t="inlineStr"/>
    </row>
    <row r="12" ht="14" customHeight="1">
      <c r="A12" s="23" t="inlineStr"/>
      <c r="B12" s="23" t="inlineStr"/>
      <c r="C12" s="23" t="inlineStr"/>
      <c r="D12" s="23" t="inlineStr"/>
      <c r="E12" s="23" t="inlineStr"/>
      <c r="F12" s="23" t="inlineStr"/>
      <c r="G12" s="23" t="inlineStr"/>
      <c r="H12" s="23" t="inlineStr"/>
      <c r="I12" s="23" t="inlineStr"/>
      <c r="J12" s="23" t="inlineStr"/>
      <c r="K12" s="23" t="inlineStr"/>
      <c r="L12" s="23" t="inlineStr"/>
      <c r="M12" s="23" t="inlineStr"/>
    </row>
    <row r="13" ht="14" customHeight="1">
      <c r="A13" s="24" t="inlineStr"/>
      <c r="B13" s="24" t="inlineStr"/>
      <c r="C13" s="24" t="inlineStr"/>
      <c r="D13" s="24" t="inlineStr"/>
      <c r="E13" s="24" t="inlineStr"/>
      <c r="F13" s="24" t="inlineStr"/>
      <c r="G13" s="24" t="inlineStr"/>
      <c r="H13" s="24" t="inlineStr"/>
      <c r="I13" s="24" t="inlineStr"/>
      <c r="J13" s="24" t="inlineStr"/>
      <c r="K13" s="24" t="inlineStr"/>
      <c r="L13" s="24" t="inlineStr"/>
      <c r="M13" s="24" t="inlineStr"/>
    </row>
  </sheetData>
  <mergeCells count="2">
    <mergeCell ref="A2:M2"/>
    <mergeCell ref="A1:M1"/>
  </mergeCells>
  <printOptions horizontalCentered="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</cols>
  <sheetData>
    <row r="1" ht="22" customHeight="1">
      <c r="A1" s="12" t="inlineStr">
        <is>
          <t>تأیید نهایی اعتبارسنجی روی برد — Measurement — ADC/ کالیبراسیون</t>
        </is>
      </c>
    </row>
    <row r="2" ht="18" customHeight="1">
      <c r="A2" s="25" t="inlineStr">
        <is>
          <t>این صفحه فقط پس از تکمیل تست‌ها و بستن ایرادهای باز امضا شود. بدون تکمیل این صفحه، اعتبارسنجی ناقص است.</t>
        </is>
      </c>
    </row>
    <row r="3">
      <c r="A3" s="5" t="inlineStr">
        <is>
          <t>مشخصات تست</t>
        </is>
      </c>
    </row>
    <row r="4" ht="14" customHeight="1">
      <c r="A4" s="26" t="inlineStr">
        <is>
          <t>پروژه</t>
        </is>
      </c>
      <c r="B4" s="10" t="inlineStr">
        <is>
          <t>ChangeOver</t>
        </is>
      </c>
      <c r="C4" s="26" t="inlineStr">
        <is>
          <t>ماژول</t>
        </is>
      </c>
      <c r="D4" s="10" t="inlineStr">
        <is>
          <t>Measurement — ADC/ کالیبراسیون</t>
        </is>
      </c>
      <c r="E4" s="11" t="n"/>
      <c r="F4" s="9" t="n"/>
    </row>
    <row r="5" ht="14" customHeight="1">
      <c r="A5" s="26" t="inlineStr">
        <is>
          <t>تاریخ ساخت فرم</t>
        </is>
      </c>
      <c r="B5" s="10" t="inlineStr">
        <is>
          <t>2026-09-16 (1.0)</t>
        </is>
      </c>
      <c r="C5" s="26" t="inlineStr">
        <is>
          <t>نسخه فرم</t>
        </is>
      </c>
      <c r="D5" s="10" t="inlineStr">
        <is>
          <t>1.0</t>
        </is>
      </c>
      <c r="E5" s="11" t="n"/>
      <c r="F5" s="9" t="n"/>
    </row>
    <row r="6" ht="14" customHeight="1">
      <c r="A6" s="26" t="inlineStr">
        <is>
          <t>commit firmware</t>
        </is>
      </c>
      <c r="B6" s="10" t="inlineStr">
        <is>
          <t>TESTER: fill flashed firmware commit</t>
        </is>
      </c>
      <c r="C6" s="26" t="inlineStr">
        <is>
          <t>شناسه برد</t>
        </is>
      </c>
      <c r="D6" s="27" t="inlineStr"/>
      <c r="E6" s="11" t="n"/>
      <c r="F6" s="9" t="n"/>
    </row>
    <row r="7" ht="14" customHeight="1">
      <c r="A7" s="26" t="inlineStr">
        <is>
          <t>تست‌کننده اصلی</t>
        </is>
      </c>
      <c r="B7" s="27" t="inlineStr"/>
      <c r="C7" s="26" t="inlineStr">
        <is>
          <t>تاریخ شروع</t>
        </is>
      </c>
      <c r="D7" s="27" t="inlineStr"/>
      <c r="E7" s="11" t="n"/>
      <c r="F7" s="9" t="n"/>
    </row>
    <row r="8" ht="14" customHeight="1">
      <c r="A8" s="26" t="inlineStr">
        <is>
          <t>تاریخ پایان</t>
        </is>
      </c>
      <c r="B8" s="27" t="inlineStr"/>
      <c r="C8" s="26" t="inlineStr">
        <is>
          <t>ابزار اندازه‌گیری</t>
        </is>
      </c>
      <c r="D8" s="10" t="inlineStr">
        <is>
          <t>منبع آزمایشگاهی + DMM + اسیلوسکوپ + تایمر RTOS</t>
        </is>
      </c>
      <c r="E8" s="11" t="n"/>
      <c r="F8" s="9" t="n"/>
    </row>
    <row r="9" ht="14" customHeight="1">
      <c r="A9" s="26" t="inlineStr">
        <is>
          <t>فرکانس تیک</t>
        </is>
      </c>
      <c r="B9" s="10" t="inlineStr">
        <is>
          <t>از osKernelGetTickFreq (قابل‌حمل)</t>
        </is>
      </c>
      <c r="C9" s="26" t="inlineStr"/>
      <c r="D9" s="27" t="inlineStr"/>
      <c r="E9" s="11" t="n"/>
      <c r="F9" s="9" t="n"/>
    </row>
    <row r="10" ht="14" customHeight="1">
      <c r="A10" s="26" t="inlineStr">
        <is>
          <t>دامنه</t>
        </is>
      </c>
      <c r="B10" s="10" t="inlineStr">
        <is>
          <t>ADC 5ch + DMA + کالیبراسیون</t>
        </is>
      </c>
      <c r="C10" s="26" t="inlineStr"/>
      <c r="D10" s="27" t="inlineStr"/>
      <c r="E10" s="11" t="n"/>
      <c r="F10" s="11" t="n"/>
    </row>
    <row r="11" ht="14" customHeight="1">
      <c r="A11" s="26" t="inlineStr">
        <is>
          <t>آستانه warmup</t>
        </is>
      </c>
      <c r="B11" s="10" t="inlineStr">
        <is>
          <t>3 فریم</t>
        </is>
      </c>
      <c r="C11" s="26" t="inlineStr"/>
      <c r="D11" s="27" t="inlineStr"/>
      <c r="E11" s="11" t="n"/>
      <c r="F11" s="11" t="n"/>
    </row>
    <row r="12" ht="14" customHeight="1">
      <c r="A12" s="26" t="inlineStr">
        <is>
          <t>دوره</t>
        </is>
      </c>
      <c r="B12" s="10" t="inlineStr">
        <is>
          <t>10ms</t>
        </is>
      </c>
      <c r="C12" s="26" t="inlineStr"/>
      <c r="D12" s="27" t="inlineStr"/>
      <c r="E12" s="11" t="n"/>
      <c r="F12" s="11" t="n"/>
    </row>
    <row r="13" ht="14" customHeight="1">
      <c r="A13" s="26" t="inlineStr">
        <is>
          <t>کالیبراسیون</t>
        </is>
      </c>
      <c r="B13" s="10" t="inlineStr">
        <is>
          <t>Vref3300/4095 Div24/Div12 Shunt10 Gain101</t>
        </is>
      </c>
      <c r="C13" s="26" t="inlineStr"/>
      <c r="D13" s="27" t="inlineStr"/>
      <c r="E13" s="11" t="n"/>
      <c r="F13" s="11" t="n"/>
    </row>
    <row r="14">
      <c r="A14" s="5" t="inlineStr">
        <is>
          <t>خلاصه خودکار وضعیت تست‌ها (پس از تست برد پر شود)</t>
        </is>
      </c>
    </row>
    <row r="15">
      <c r="A15" s="6" t="inlineStr">
        <is>
          <t>شاخص</t>
        </is>
      </c>
      <c r="B15" s="6" t="inlineStr">
        <is>
          <t>مقدار</t>
        </is>
      </c>
      <c r="C15" s="6" t="inlineStr">
        <is>
          <t>توضیح</t>
        </is>
      </c>
      <c r="D15" s="6" t="inlineStr">
        <is>
          <t>فرمول پیشنهادی</t>
        </is>
      </c>
      <c r="E15" s="8" t="n"/>
      <c r="F15" s="9" t="n"/>
    </row>
    <row r="16" ht="13" customHeight="1">
      <c r="A16" s="10" t="inlineStr">
        <is>
          <t>تعداد کل تست‌ها</t>
        </is>
      </c>
      <c r="B16" s="28">
        <f>COUNTA('برنامه تست'!A5:A200)</f>
        <v/>
      </c>
      <c r="C16" s="10" t="inlineStr">
        <is>
          <t>کل ردیف‌های برنامه تست</t>
        </is>
      </c>
      <c r="D16" s="10" t="inlineStr"/>
      <c r="E16" s="8" t="n"/>
      <c r="F16" s="9" t="n"/>
    </row>
    <row r="17" ht="13" customHeight="1">
      <c r="A17" s="10" t="inlineStr">
        <is>
          <t>تعداد قبول (PASS)</t>
        </is>
      </c>
      <c r="B17" s="28">
        <f>COUNTIF('برنامه تست'!K5:K200,"قبول")</f>
        <v/>
      </c>
      <c r="C17" s="10" t="inlineStr">
        <is>
          <t>تعداد ردیف با وضعیت = قبول</t>
        </is>
      </c>
      <c r="D17" s="10" t="inlineStr">
        <is>
          <t>COUNTIF('برنامه تست'!K5:K200,"قبول")</t>
        </is>
      </c>
      <c r="E17" s="8" t="n"/>
      <c r="F17" s="9" t="n"/>
    </row>
    <row r="18" ht="13" customHeight="1">
      <c r="A18" s="10" t="inlineStr">
        <is>
          <t>تعداد رد (FAIL)</t>
        </is>
      </c>
      <c r="B18" s="28">
        <f>COUNTIF('برنامه تست'!K5:K200,"رد")</f>
        <v/>
      </c>
      <c r="C18" s="10" t="inlineStr">
        <is>
          <t>تعداد ردیف با وضعیت = رد</t>
        </is>
      </c>
      <c r="D18" s="10" t="inlineStr">
        <is>
          <t>COUNTIF('برنامه تست'!K5:K200,"رد")</t>
        </is>
      </c>
      <c r="E18" s="8" t="n"/>
      <c r="F18" s="9" t="n"/>
    </row>
    <row r="19" ht="13" customHeight="1">
      <c r="A19" s="10" t="inlineStr">
        <is>
          <t>تعداد در انتظار</t>
        </is>
      </c>
      <c r="B19" s="28">
        <f>COUNTIF('برنامه تست'!K5:K200,"در انتظار")</f>
        <v/>
      </c>
      <c r="C19" s="10" t="inlineStr">
        <is>
          <t>تعداد ردیف با وضعیت = در انتظار</t>
        </is>
      </c>
      <c r="D19" s="10" t="inlineStr">
        <is>
          <t>COUNTIF('برنامه تست'!K5:K200,"در انتظار")</t>
        </is>
      </c>
      <c r="E19" s="8" t="n"/>
      <c r="F19" s="9" t="n"/>
    </row>
    <row r="20" ht="13" customHeight="1">
      <c r="A20" s="10" t="inlineStr">
        <is>
          <t>تعداد مسدود</t>
        </is>
      </c>
      <c r="B20" s="28">
        <f>COUNTIF('برنامه تست'!K5:K200,"مسدود")</f>
        <v/>
      </c>
      <c r="C20" s="10" t="inlineStr">
        <is>
          <t>تعداد ردیف با وضعیت = مسدود</t>
        </is>
      </c>
      <c r="D20" s="10" t="inlineStr"/>
      <c r="E20" s="8" t="n"/>
      <c r="F20" s="9" t="n"/>
    </row>
    <row r="21" ht="13" customHeight="1">
      <c r="A21" s="10" t="inlineStr">
        <is>
          <t>نرخ قبولی</t>
        </is>
      </c>
      <c r="B21" s="28">
        <f>IF(B16=0,"",TEXT(B17/B16,"0%"))</f>
        <v/>
      </c>
      <c r="C21" s="10" t="inlineStr">
        <is>
          <t>PASS / TOTAL</t>
        </is>
      </c>
      <c r="D21" s="10" t="inlineStr"/>
      <c r="E21" s="8" t="n"/>
      <c r="F21" s="9" t="n"/>
    </row>
    <row r="22">
      <c r="A22" s="5" t="inlineStr">
        <is>
          <t>امضاها</t>
        </is>
      </c>
    </row>
    <row r="23" ht="18" customHeight="1">
      <c r="A23" s="6" t="inlineStr">
        <is>
          <t>نقش</t>
        </is>
      </c>
      <c r="B23" s="6" t="inlineStr">
        <is>
          <t>نام و نام خانوادگی</t>
        </is>
      </c>
      <c r="C23" s="6" t="inlineStr">
        <is>
          <t>تاریخ</t>
        </is>
      </c>
      <c r="D23" s="6" t="inlineStr">
        <is>
          <t>امضا</t>
        </is>
      </c>
      <c r="E23" s="6" t="inlineStr">
        <is>
          <t>توضیحات</t>
        </is>
      </c>
      <c r="F23" s="9" t="n"/>
    </row>
    <row r="24" ht="22" customHeight="1">
      <c r="A24" s="10" t="inlineStr">
        <is>
          <t>تست‌کننده</t>
        </is>
      </c>
      <c r="B24" s="10" t="inlineStr"/>
      <c r="C24" s="10" t="inlineStr"/>
      <c r="D24" s="10" t="inlineStr"/>
      <c r="E24" s="10" t="inlineStr"/>
      <c r="F24" s="9" t="n"/>
    </row>
    <row r="25" ht="22" customHeight="1">
      <c r="A25" s="10" t="inlineStr">
        <is>
          <t>بازبین فنی</t>
        </is>
      </c>
      <c r="B25" s="10" t="inlineStr"/>
      <c r="C25" s="10" t="inlineStr"/>
      <c r="D25" s="10" t="inlineStr"/>
      <c r="E25" s="10" t="inlineStr"/>
      <c r="F25" s="9" t="n"/>
    </row>
    <row r="26" ht="22" customHeight="1">
      <c r="A26" s="10" t="inlineStr">
        <is>
          <t>تأیید نهایی</t>
        </is>
      </c>
      <c r="B26" s="10" t="inlineStr"/>
      <c r="C26" s="10" t="inlineStr"/>
      <c r="D26" s="10" t="inlineStr"/>
      <c r="E26" s="10" t="inlineStr"/>
      <c r="F26" s="9" t="n"/>
    </row>
    <row r="27">
      <c r="A27" s="25" t="inlineStr">
        <is>
          <t>یادداشت: بدون ثبت commit، شناسه برد، نام تست‌کننده، تاریخ و ابزار اندازه‌گیری، این فرم ناقص است. برای هر ردیف «رد»، یک ردیف در «ثبت ایراد» الزامی است.</t>
        </is>
      </c>
    </row>
  </sheetData>
  <mergeCells count="23">
    <mergeCell ref="E24:F24"/>
    <mergeCell ref="A27:F27"/>
    <mergeCell ref="E5:F5"/>
    <mergeCell ref="E23:F23"/>
    <mergeCell ref="D17:F17"/>
    <mergeCell ref="A3:F3"/>
    <mergeCell ref="D16:F16"/>
    <mergeCell ref="E8:F8"/>
    <mergeCell ref="A2:F2"/>
    <mergeCell ref="E4:F4"/>
    <mergeCell ref="A14:F14"/>
    <mergeCell ref="D18:F18"/>
    <mergeCell ref="A22:F22"/>
    <mergeCell ref="E9:F9"/>
    <mergeCell ref="D15:F15"/>
    <mergeCell ref="E6:F6"/>
    <mergeCell ref="E26:F26"/>
    <mergeCell ref="D20:F20"/>
    <mergeCell ref="D19:F19"/>
    <mergeCell ref="E7:F7"/>
    <mergeCell ref="E25:F25"/>
    <mergeCell ref="A1:F1"/>
    <mergeCell ref="D21:F21"/>
  </mergeCells>
  <printOptions horizontalCentered="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14" customHeight="1">
      <c r="A1" s="29" t="inlineStr">
        <is>
          <t>وضعیت</t>
        </is>
      </c>
    </row>
    <row r="2">
      <c r="A2" s="30" t="inlineStr">
        <is>
          <t>در انتظار</t>
        </is>
      </c>
    </row>
    <row r="3">
      <c r="A3" s="30" t="inlineStr">
        <is>
          <t>قبول</t>
        </is>
      </c>
    </row>
    <row r="4">
      <c r="A4" s="30" t="inlineStr">
        <is>
          <t>رد</t>
        </is>
      </c>
    </row>
    <row r="5">
      <c r="A5" s="30" t="inlineStr">
        <is>
          <t>مسدود</t>
        </is>
      </c>
    </row>
    <row r="6">
      <c r="A6" s="30" t="inlineStr">
        <is>
          <t>نیاز به تکرار</t>
        </is>
      </c>
    </row>
    <row r="8" ht="14" customHeight="1">
      <c r="A8" s="29" t="inlineStr">
        <is>
          <t>اولویت</t>
        </is>
      </c>
    </row>
    <row r="9">
      <c r="A9" s="30" t="inlineStr">
        <is>
          <t>بالا</t>
        </is>
      </c>
    </row>
    <row r="10">
      <c r="A10" s="30" t="inlineStr">
        <is>
          <t>متوسط</t>
        </is>
      </c>
    </row>
    <row r="11">
      <c r="A11" s="30" t="inlineStr">
        <is>
          <t>پایین</t>
        </is>
      </c>
    </row>
    <row r="12">
      <c r="A12" s="30" t="inlineStr">
        <is>
          <t>بحرانی</t>
        </is>
      </c>
    </row>
    <row r="14" ht="14" customHeight="1">
      <c r="A14" s="29" t="inlineStr">
        <is>
          <t>دسته</t>
        </is>
      </c>
    </row>
    <row r="15">
      <c r="A15" s="30" t="inlineStr">
        <is>
          <t>BoardTest</t>
        </is>
      </c>
    </row>
    <row r="16">
      <c r="A16" s="30" t="inlineStr">
        <is>
          <t>InputOk</t>
        </is>
      </c>
    </row>
    <row r="17">
      <c r="A17" s="30" t="inlineStr">
        <is>
          <t>Charging</t>
        </is>
      </c>
    </row>
    <row r="18">
      <c r="A18" s="30" t="inlineStr">
        <is>
          <t>BatteryRun</t>
        </is>
      </c>
    </row>
    <row r="19">
      <c r="A19" s="30" t="inlineStr">
        <is>
          <t>هیسترزیس</t>
        </is>
      </c>
    </row>
    <row r="20">
      <c r="A20" s="30" t="inlineStr">
        <is>
          <t>InputOverVoltage</t>
        </is>
      </c>
    </row>
    <row r="21">
      <c r="A21" s="30" t="inlineStr">
        <is>
          <t>Snapshot</t>
        </is>
      </c>
    </row>
    <row r="22">
      <c r="A22" s="30" t="inlineStr">
        <is>
          <t>Buzzer</t>
        </is>
      </c>
    </row>
    <row r="23">
      <c r="A23" s="30" t="inlineStr">
        <is>
          <t>Measurement</t>
        </is>
      </c>
    </row>
    <row r="24">
      <c r="A24" s="30" t="inlineStr">
        <is>
          <t>Changeover</t>
        </is>
      </c>
    </row>
    <row r="26" ht="14" customHeight="1">
      <c r="A26" s="29" t="inlineStr">
        <is>
          <t>نتیجه ایراد</t>
        </is>
      </c>
    </row>
    <row r="27">
      <c r="A27" s="30" t="inlineStr">
        <is>
          <t>باز</t>
        </is>
      </c>
    </row>
    <row r="28">
      <c r="A28" s="30" t="inlineStr">
        <is>
          <t>در حال بررسی</t>
        </is>
      </c>
    </row>
    <row r="29">
      <c r="A29" s="30" t="inlineStr">
        <is>
          <t>رفع شد</t>
        </is>
      </c>
    </row>
    <row r="30">
      <c r="A30" s="30" t="inlineStr">
        <is>
          <t>بسته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F5597"/>
    <outlinePr summaryBelow="1" summaryRight="1"/>
    <pageSetUpPr/>
  </sheetPr>
  <dimension ref="A1:C6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78" customWidth="1" min="2" max="2"/>
  </cols>
  <sheetData>
    <row r="1" ht="30" customHeight="1">
      <c r="A1" s="31" t="inlineStr">
        <is>
          <t>ماشین حالت ماژول اندازه‌گیری (Measurement)</t>
        </is>
      </c>
    </row>
    <row r="3" ht="24" customHeight="1">
      <c r="A3" s="32" t="inlineStr">
        <is>
          <t>حالت‌ها و گذارهای همین ماژول</t>
        </is>
      </c>
      <c r="B3" s="33" t="inlineStr">
        <is>
          <t>Measurement_State_Machine.xlsx</t>
        </is>
      </c>
    </row>
    <row r="4" ht="24" customHeight="1">
      <c r="A4" s="32" t="inlineStr">
        <is>
          <t>ماشین حالت کل برنامه (نمای سیستمی)</t>
        </is>
      </c>
      <c r="B4" s="33" t="inlineStr">
        <is>
          <t>../../../Documentation/System_State_Machine.xlsx</t>
        </is>
      </c>
    </row>
    <row r="5" ht="24" customHeight="1">
      <c r="A5" s="32" t="inlineStr">
        <is>
          <t>راهنمای رنگ‌ها</t>
        </is>
      </c>
      <c r="B5" s="34" t="inlineStr">
        <is>
          <t>سبز = عادی/سالم · زرد = هشدار یا انتظار · قرمز = خطا یا قفل · نارنجی = در حال کار · خاکستری = بی‌کار · آبی = اطلاعاتی</t>
        </is>
      </c>
    </row>
    <row r="6" ht="24" customHeight="1">
      <c r="A6" s="32" t="inlineStr">
        <is>
          <t>بازتولید</t>
        </is>
      </c>
      <c r="B6" s="34" t="inlineStr">
        <is>
          <t>python3 tools/make_module_state_machines.py</t>
        </is>
      </c>
    </row>
  </sheetData>
  <mergeCells count="1">
    <mergeCell ref="A1:C1"/>
  </mergeCells>
  <hyperlinks>
    <hyperlink xmlns:r="http://schemas.openxmlformats.org/officeDocument/2006/relationships" ref="B3" r:id="rId1"/>
    <hyperlink xmlns:r="http://schemas.openxmlformats.org/officeDocument/2006/relationships" ref="B4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2026-09-16T16:35:38Z</dcterms:created>
  <dcterms:modified xsi:type="dcterms:W3CDTF">2026-10-11T12:56:43Z</dcterms:modified>
</cp:coreProperties>
</file>