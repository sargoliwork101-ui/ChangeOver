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برنامه تست" sheetId="2" state="visible" r:id="rId2"/>
    <sheet name="مراجع سناریو" sheetId="3" state="visible" r:id="rId3"/>
    <sheet name="ثبت ایراد" sheetId="4" state="visible" r:id="rId4"/>
    <sheet name="تأیید نهایی" sheetId="5" state="visible" r:id="rId5"/>
    <sheet name="فهرست‌ها" sheetId="6" state="hidden" r:id="rId6"/>
    <sheet name="ماشین حالت" sheetId="7" state="visible" r:id="rId7"/>
  </sheets>
  <definedNames>
    <definedName name="_xlnm._FilterDatabase" localSheetId="1" hidden="1">'برنامه تست'!$A$4:$P$26</definedName>
    <definedName name="_xlnm.Print_Titles" localSheetId="1">'برنامه تست'!$1:$4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203764"/>
      <sz val="13"/>
    </font>
    <font>
      <name val="Calibri"/>
      <i val="1"/>
      <color rgb="00404040"/>
      <sz val="9"/>
    </font>
    <font>
      <name val="Calibri"/>
      <b val="1"/>
      <color rgb="00FFFFFF"/>
      <sz val="10"/>
    </font>
    <font>
      <name val="Calibri"/>
      <sz val="8"/>
    </font>
    <font>
      <name val="Calibri"/>
      <b val="1"/>
      <color rgb="00FFFFFF"/>
      <sz val="9"/>
    </font>
    <font>
      <name val="Calibri"/>
      <b val="1"/>
      <color rgb="00203764"/>
      <sz val="12"/>
    </font>
    <font>
      <name val="Calibri"/>
      <i val="1"/>
      <color rgb="00404040"/>
      <sz val="8"/>
    </font>
    <font>
      <name val="Calibri"/>
      <color rgb="00C00000"/>
      <sz val="7"/>
    </font>
    <font>
      <name val="Calibri"/>
      <sz val="7"/>
    </font>
    <font>
      <name val="Calibri"/>
      <color rgb="00808080"/>
      <sz val="7"/>
    </font>
    <font>
      <name val="Calibri"/>
      <b val="1"/>
      <color rgb="00203764"/>
      <sz val="11"/>
    </font>
    <font>
      <name val="Calibri"/>
      <i val="1"/>
      <sz val="7"/>
    </font>
    <font>
      <name val="Calibri"/>
      <i val="1"/>
      <color rgb="00C00000"/>
      <sz val="7"/>
    </font>
    <font>
      <name val="Calibri"/>
      <b val="1"/>
      <sz val="8"/>
    </font>
    <font>
      <b val="1"/>
      <color rgb="00FFFFFF"/>
    </font>
    <font>
      <sz val="8"/>
    </font>
    <font>
      <name val="Vazirmatn"/>
      <b val="1"/>
      <color rgb="00FFFFFF"/>
      <sz val="14"/>
    </font>
    <font>
      <name val="Vazirmatn"/>
      <b val="1"/>
      <sz val="10"/>
    </font>
    <font>
      <name val="Vazirmatn"/>
      <color rgb="000563C1"/>
      <sz val="10"/>
      <u val="single"/>
    </font>
    <font>
      <name val="Vazirmatn"/>
      <sz val="10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F8FAFF"/>
        <bgColor rgb="00F8FAFF"/>
      </patternFill>
    </fill>
    <fill>
      <patternFill patternType="solid">
        <fgColor rgb="00E9EDF4"/>
        <bgColor rgb="00E9EDF4"/>
      </patternFill>
    </fill>
    <fill>
      <patternFill patternType="solid">
        <fgColor rgb="001F3864"/>
      </patternFill>
    </fill>
  </fills>
  <borders count="7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 style="thin">
        <color rgb="009DB7E8"/>
      </left>
      <right style="thin">
        <color rgb="009DB7E8"/>
      </right>
      <top style="thin">
        <color rgb="009DB7E8"/>
      </top>
      <bottom style="thin">
        <color rgb="009DB7E8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 readingOrder="2"/>
    </xf>
    <xf numFmtId="0" fontId="3" fillId="3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 readingOrder="2"/>
    </xf>
    <xf numFmtId="0" fontId="10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 readingOrder="2"/>
    </xf>
    <xf numFmtId="0" fontId="10" fillId="6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7" fillId="8" borderId="0" applyAlignment="1" pivotButton="0" quotePrefix="0" xfId="0">
      <alignment horizontal="center" vertical="center"/>
    </xf>
    <xf numFmtId="0" fontId="18" fillId="0" borderId="6" applyAlignment="1" pivotButton="0" quotePrefix="0" xfId="0">
      <alignment horizontal="right" vertical="center" wrapText="1"/>
    </xf>
    <xf numFmtId="0" fontId="19" fillId="0" borderId="6" applyAlignment="1" pivotButton="0" quotePrefix="0" xfId="0">
      <alignment horizontal="right" vertical="center" wrapText="1"/>
    </xf>
    <xf numFmtId="0" fontId="20" fillId="0" borderId="6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Changeover_State_Machine.xlsx" TargetMode="External" Id="rId1" /><Relationship Type="http://schemas.openxmlformats.org/officeDocument/2006/relationships/hyperlink" Target="../../../Documentation/System_State_Machine.xlsx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1" t="inlineStr">
        <is>
          <t>برگه تست و اعتبارسنجی عملی ماژول Changeover — منطق قطع/وصل باتری</t>
        </is>
      </c>
    </row>
    <row r="2" ht="40" customHeight="1">
      <c r="A2" s="2" t="inlineStr">
        <is>
          <t>ChangeOver | PB11 (BSP_GPIO_PROTECT_BATTERY) | آستانه‌ها: 21000/20800/21200 و فیلتر 3000ms | نسخه 2.1 — فقط PB11، زمان rtos_time</t>
        </is>
      </c>
    </row>
    <row r="3" ht="18" customHeight="1">
      <c r="A3" s="3" t="inlineStr">
        <is>
          <t>هدف فایل</t>
        </is>
      </c>
    </row>
    <row r="4" ht="13" customHeight="1">
      <c r="A4" s="4" t="inlineStr">
        <is>
          <t>این فایل برای اعتبارسنجی منطق Changeover تهیه شده است: بررسی snapshot.valid، fault_mask، input_present، v_bat24_mv، قفل داخلی باتری کم و تایمر 3000ms.</t>
        </is>
      </c>
    </row>
    <row r="5" ht="13" customHeight="1">
      <c r="A5" s="4" t="inlineStr">
        <is>
          <t>هیچ ردیفی بدون «روش اجرا» و «نتیجه مورد انتظار» نیست؛ هر PASS/FAIL با مقدار mV و ms و state/PB11 قابل اندازه‌گیری تعریف شده است.</t>
        </is>
      </c>
    </row>
    <row r="6" ht="13" customHeight="1">
      <c r="A6" s="4" t="inlineStr">
        <is>
          <t>قبل از تست برد، «نتیجه واقعی» خالی و «وضعیت» = در انتظار بماند؛ ادعای PASS برای تست انجام‌نشده ممنوع است. فقط یک Workbook برای Changeover باقی بماند.</t>
        </is>
      </c>
    </row>
    <row r="7" ht="18" customHeight="1">
      <c r="A7" s="3" t="inlineStr">
        <is>
          <t>دامنه: فقط Changeover؛ Measurement برای snapshot، Fault برای fault_mask و UI برای فلگ</t>
        </is>
      </c>
    </row>
    <row r="8" ht="13" customHeight="1">
      <c r="A8" s="4" t="inlineStr">
        <is>
          <t>منطق (snapshot-first): اگر snapshot==NULL یا valid==false → هیچ تصمیمی، state حفظ، PB11 حفظ، تایمر reset، fault هم state را تغییر نمی‌دهد، زمان نامعتبر شمرده نشود.</t>
        </is>
      </c>
    </row>
    <row r="9" ht="13" customHeight="1">
      <c r="A9" s="4" t="inlineStr">
        <is>
          <t>فقط وقتی snapshot معتبر و fault!=0 → state=FAULT بدون تغییر هیچ pin (PB11/PB5/PB7).</t>
        </is>
      </c>
    </row>
    <row r="10" ht="13" customHeight="1">
      <c r="A10" s="4" t="inlineStr">
        <is>
          <t>قطع با گیت: v_bat&lt;21000 و flag true به‌مدت پیوسته 3000ms → قطع (PB11 Low) → SAFE. قطع مستقل: v_bat&lt;20800 مستقل از فلگ 3000ms → SAFE.</t>
        </is>
      </c>
    </row>
    <row r="11" ht="13" customHeight="1">
      <c r="A11" s="4" t="inlineStr">
        <is>
          <t>وصل مجدد: input_present==true و v_bat≥21200 به‌مدت پیوسته 3000ms → وصل (PB11 High) → INPUT (هرگز IDLE).</t>
        </is>
      </c>
    </row>
    <row r="12" ht="13" customHeight="1">
      <c r="A12" s="4" t="inlineStr">
        <is>
          <t>زمان فقط با func__Rtos_MillisecondsToTicks و osKernelGetTickCount؛ فرض tick=1ms ممنوع؛ durationTicks==0 → هیچ قطع/وصل فوری.</t>
        </is>
      </c>
    </row>
    <row r="13" ht="18" customHeight="1">
      <c r="A13" s="3" t="inlineStr">
        <is>
          <t>روش اجرای تست</t>
        </is>
      </c>
    </row>
    <row r="14" ht="13" customHeight="1">
      <c r="A14" s="4" t="inlineStr">
        <is>
          <t>۱) برد را با منبع آزمایشگاهی و رعایت ایمنی تغذیه کن؛ PB11 را با DMM/اسکوپ نسبت به GND اندازه بگیر (فعال Low). PB5/PB7 را هم هم‌زمان اسکوپ کن و مطمئن شو تغییری ندارند.</t>
        </is>
      </c>
    </row>
    <row r="15" ht="13" customHeight="1">
      <c r="A15" s="4" t="inlineStr">
        <is>
          <t>۲) firmware موردنظر را پروگرام کن؛ commit و شناسه برد را در «تأیید نهایی» ثبت کن.</t>
        </is>
      </c>
    </row>
    <row r="16" ht="13" customHeight="1">
      <c r="A16" s="4" t="inlineStr">
        <is>
          <t>۳) snapshot را تزریق کن: valid، v_bat24_mv، input_present را ست کن؛ قفل داخلی باتری کم فقط با ولتاژ زیر ۲۱۰۰۰ میلی‌ولت بسته می‌شود (مستقیم ست نمی‌شود)؛ fault_mask را از Fault اعمال کن.</t>
        </is>
      </c>
    </row>
    <row r="17" ht="13" customHeight="1">
      <c r="A17" s="4" t="inlineStr">
        <is>
          <t>۴) برای تست 3000ms: شرط را حداقل 3500ms پایدار نگه دار و سپس PB11 و state را بخوان؛ برای تست &lt;3000ms: پس از 2500ms بخوان و مطمئن شو هنوز تغییر نکرده.</t>
        </is>
      </c>
    </row>
    <row r="18" ht="13" customHeight="1">
      <c r="A18" s="4" t="inlineStr">
        <is>
          <t>۵) برای snapshot نامعتبر: valid=false یا NULL تزریق کن و ببین state و PB11 حفظ می‌ماند (باید «state فعلی حفظ شود» نه IDLE ثابت).</t>
        </is>
      </c>
    </row>
    <row r="19" ht="13" customHeight="1">
      <c r="A19" s="4" t="inlineStr">
        <is>
          <t>۶) نتیجه واقعی را بنویس و در صورت رد، در «ثبت ایراد» ردیف بساز.</t>
        </is>
      </c>
    </row>
    <row r="20">
      <c r="A20" s="5" t="inlineStr">
        <is>
          <t>تاریخچه نسخه</t>
        </is>
      </c>
    </row>
    <row r="21">
      <c r="A21" s="6" t="inlineStr">
        <is>
          <t>تاریخ</t>
        </is>
      </c>
      <c r="B21" s="6" t="inlineStr">
        <is>
          <t>نسخه</t>
        </is>
      </c>
      <c r="C21" s="6" t="inlineStr">
        <is>
          <t>شرح تغییر</t>
        </is>
      </c>
      <c r="D21" s="6" t="inlineStr">
        <is>
          <t>commit</t>
        </is>
      </c>
      <c r="E21" s="7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9" t="n"/>
    </row>
    <row r="22" ht="14" customHeight="1">
      <c r="A22" s="10" t="inlineStr">
        <is>
          <t>2026-09-16</t>
        </is>
      </c>
      <c r="B22" s="10" t="inlineStr">
        <is>
          <t>2.1</t>
        </is>
      </c>
      <c r="C22" s="10" t="inlineStr">
        <is>
          <t>تکمیل ۲۲ تست مطابق لیست درخواستی، ستون‌های ۱۶گانه، PASS/FAIL per test، زمان rtos_time و duration0 guard</t>
        </is>
      </c>
      <c r="D22" s="10" t="inlineStr">
        <is>
          <t>c6b084f28f2c507cfd342e5dbd0dbd8e45686772</t>
        </is>
      </c>
      <c r="E22" s="11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9" t="n"/>
    </row>
    <row r="23" ht="14" customHeight="1">
      <c r="A23" s="10" t="inlineStr">
        <is>
          <t>2026-09-16</t>
        </is>
      </c>
      <c r="B23" s="10" t="inlineStr">
        <is>
          <t>2.0</t>
        </is>
      </c>
      <c r="C23" s="10" t="inlineStr">
        <is>
          <t>snapshot-first با MillisecondsToTicks، نگاشت BATTERY/INPUT/SAFE/FAULT بدون IDLE</t>
        </is>
      </c>
      <c r="D23" s="10" t="inlineStr">
        <is>
          <t>a4a5bf2</t>
        </is>
      </c>
      <c r="E23" s="11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9" t="n"/>
    </row>
    <row r="24" ht="14" customHeight="1">
      <c r="A24" s="10" t="inlineStr">
        <is>
          <t>2026-09-16</t>
        </is>
      </c>
      <c r="B24" s="10" t="inlineStr">
        <is>
          <t>1.0</t>
        </is>
      </c>
      <c r="C24" s="10" t="inlineStr">
        <is>
          <t>پیاده‌سازی با 21 سناریو</t>
        </is>
      </c>
      <c r="D24" s="10" t="inlineStr">
        <is>
          <t>d0adc6f</t>
        </is>
      </c>
      <c r="E24" s="11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9" t="n"/>
    </row>
    <row r="25">
      <c r="A25" t="inlineStr">
        <is>
          <t>2026-10-12</t>
        </is>
      </c>
      <c r="B25" t="inlineStr">
        <is>
          <t>1.87</t>
        </is>
      </c>
      <c r="C25" t="inlineStr">
        <is>
          <t>پنل دیالوگ تیره همرنگ + صف PMQ + Enter/Esc + snapshot zeroing task_control (62f3782)</t>
        </is>
      </c>
      <c r="D25" t="inlineStr">
        <is>
          <t>62f3782</t>
        </is>
      </c>
    </row>
  </sheetData>
  <mergeCells count="24">
    <mergeCell ref="A5:P5"/>
    <mergeCell ref="A14:P14"/>
    <mergeCell ref="A17:P17"/>
    <mergeCell ref="A8:P8"/>
    <mergeCell ref="A4:P4"/>
    <mergeCell ref="A20:P20"/>
    <mergeCell ref="A19:P19"/>
    <mergeCell ref="A10:P10"/>
    <mergeCell ref="A13:P13"/>
    <mergeCell ref="A9:P9"/>
    <mergeCell ref="A15:P15"/>
    <mergeCell ref="A11:P11"/>
    <mergeCell ref="A1:P1"/>
    <mergeCell ref="A6:P6"/>
    <mergeCell ref="E22:P22"/>
    <mergeCell ref="A16:P16"/>
    <mergeCell ref="A7:P7"/>
    <mergeCell ref="E21:P21"/>
    <mergeCell ref="E24:P24"/>
    <mergeCell ref="A18:P18"/>
    <mergeCell ref="E23:P23"/>
    <mergeCell ref="A12:P12"/>
    <mergeCell ref="A3:P3"/>
    <mergeCell ref="A2:P2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14" customWidth="1" min="4" max="4"/>
    <col width="28" customWidth="1" min="5" max="5"/>
    <col width="18" customWidth="1" min="6" max="6"/>
    <col width="10" customWidth="1" min="7" max="7"/>
    <col width="24" customWidth="1" min="8" max="8"/>
    <col width="22" customWidth="1" min="9" max="9"/>
    <col width="14" customWidth="1" min="10" max="10"/>
    <col width="9" customWidth="1" min="11" max="11"/>
    <col width="14" customWidth="1" min="12" max="12"/>
    <col width="12" customWidth="1" min="13" max="13"/>
    <col width="9" customWidth="1" min="14" max="14"/>
    <col width="12" customWidth="1" min="15" max="15"/>
    <col width="10" customWidth="1" min="16" max="16"/>
  </cols>
  <sheetData>
    <row r="1" ht="22" customHeight="1">
      <c r="A1" s="12" t="inlineStr">
        <is>
          <t>برنامه تست عملی — ماژول Changeover (قطع/وصل باتری با 3000ms)</t>
        </is>
      </c>
    </row>
    <row r="2" ht="30" customHeight="1">
      <c r="A2" s="13" t="inlineStr">
        <is>
          <t>ورودی‌ها بر حسب mV؛ زمان‌ها بر حسب ms. PB11 فقط از BSP_GPIO_PROTECT_BATTERY (فعال Low) — PB5/PB7 ممنوع. ورودی‌ها: valid، v_bat، input_present، flag، fault.</t>
        </is>
      </c>
    </row>
    <row r="3" ht="32" customHeight="1">
      <c r="A3" s="14" t="inlineStr">
        <is>
          <t>snapshot نامعتبر → «state فعلی حفظ شود» (نه IDLE ثابت). CO-010/012 باید INPUT باشد. معیار قبولی هر ردیف توضیح می‌دهد PASS چیست و FAIL چیست.</t>
        </is>
      </c>
    </row>
    <row r="4" ht="28" customHeight="1">
      <c r="A4" s="6" t="inlineStr">
        <is>
          <t>شناسه تست</t>
        </is>
      </c>
      <c r="B4" s="6" t="inlineStr">
        <is>
          <t>دسته</t>
        </is>
      </c>
      <c r="C4" s="6" t="inlineStr">
        <is>
          <t>اولویت</t>
        </is>
      </c>
      <c r="D4" s="6" t="inlineStr">
        <is>
          <t>پیش‌شرط</t>
        </is>
      </c>
      <c r="E4" s="6" t="inlineStr">
        <is>
          <t>روش اجرای دقیق</t>
        </is>
      </c>
      <c r="F4" s="6" t="inlineStr">
        <is>
          <t>ورودی‌ها</t>
        </is>
      </c>
      <c r="G4" s="6" t="inlineStr">
        <is>
          <t>مدت مشاهده</t>
        </is>
      </c>
      <c r="H4" s="6" t="inlineStr">
        <is>
          <t>نتیجه مورد انتظار</t>
        </is>
      </c>
      <c r="I4" s="6" t="inlineStr">
        <is>
          <t>معیار قبولی</t>
        </is>
      </c>
      <c r="J4" s="6" t="inlineStr">
        <is>
          <t>نتیجه واقعی</t>
        </is>
      </c>
      <c r="K4" s="6" t="inlineStr">
        <is>
          <t>وضعیت</t>
        </is>
      </c>
      <c r="L4" s="6" t="inlineStr">
        <is>
          <t>شرح ایراد</t>
        </is>
      </c>
      <c r="M4" s="6" t="inlineStr">
        <is>
          <t>مدرک تست</t>
        </is>
      </c>
      <c r="N4" s="6" t="inlineStr">
        <is>
          <t>commit</t>
        </is>
      </c>
      <c r="O4" s="6" t="inlineStr">
        <is>
          <t>نام تست‌کننده</t>
        </is>
      </c>
      <c r="P4" s="6" t="inlineStr">
        <is>
          <t>تاریخ</t>
        </is>
      </c>
    </row>
    <row r="5" ht="38" customHeight="1">
      <c r="A5" s="15" t="inlineStr">
        <is>
          <t>CO-001</t>
        </is>
      </c>
      <c r="B5" s="15" t="inlineStr">
        <is>
          <t>Snapshot نامعتبر / حفظ</t>
        </is>
      </c>
      <c r="C5" s="15" t="inlineStr">
        <is>
          <t>بالا</t>
        </is>
      </c>
      <c r="D5" s="15" t="inlineStr">
        <is>
          <t>Init → BOOT, PB11 High-safe</t>
        </is>
      </c>
      <c r="E5" s="15" t="inlineStr">
        <is>
          <t>snapshot.valid=false با v_bat=24000 input=false fault=0 را اعمال و 500ms صبر کن</t>
        </is>
      </c>
      <c r="F5" s="15" t="inlineStr">
        <is>
          <t>valid=false, v=24000, input=false, flag false, fault0</t>
        </is>
      </c>
      <c r="G5" s="15" t="inlineStr">
        <is>
          <t>500ms</t>
        </is>
      </c>
      <c r="H5" s="15" t="inlineStr">
        <is>
          <t>state حفظ شود: «state فعلی حفظ شود» (BOOT/BATTERY/INPUT/SAFE قبلی) و PB11 حفظ (High-safe). PASS: state و PB11 بدون تغییر. FAIL: هر تغییر به FAULT یا IDLE یا تغییر PB11.</t>
        </is>
      </c>
      <c r="I5" s="15" t="inlineStr">
        <is>
          <t>PASS: state فعلی حفظ. FAIL: تغییر خودبه‌خود.</t>
        </is>
      </c>
      <c r="J5" s="16" t="inlineStr"/>
      <c r="K5" s="17" t="inlineStr">
        <is>
          <t>در انتظار</t>
        </is>
      </c>
      <c r="L5" s="18" t="inlineStr"/>
      <c r="M5" s="18" t="inlineStr"/>
      <c r="N5" s="18" t="inlineStr">
        <is>
          <t>c6b084f28f2c507cfd342e5dbd0dbd8e45686772</t>
        </is>
      </c>
      <c r="O5" s="18" t="inlineStr"/>
      <c r="P5" s="18" t="inlineStr"/>
    </row>
    <row r="6" ht="38" customHeight="1">
      <c r="A6" s="19" t="inlineStr">
        <is>
          <t>CO-002</t>
        </is>
      </c>
      <c r="B6" s="19" t="inlineStr">
        <is>
          <t>Snapshot نامعتبر / تایمر reset</t>
        </is>
      </c>
      <c r="C6" s="19" t="inlineStr">
        <is>
          <t>بالا</t>
        </is>
      </c>
      <c r="D6" s="19" t="inlineStr">
        <is>
          <t>BATTERY با شرط قطع نیمه‌کاره</t>
        </is>
      </c>
      <c r="E6" s="19" t="inlineStr">
        <is>
          <t>2s شرط قطع (v=20900+flag true) → 1s valid=false → 2s قطع دوباره را اعمال کن</t>
        </is>
      </c>
      <c r="F6" s="19" t="inlineStr">
        <is>
          <t>valid true 2s → false 1s → true 2s, v20900 flag true</t>
        </is>
      </c>
      <c r="G6" s="19" t="inlineStr">
        <is>
          <t>2+1+2s</t>
        </is>
      </c>
      <c r="H6" s="19" t="inlineStr">
        <is>
          <t>PB11 نباید پس از 2s اول قطع شود؛ پس از 1s invalid، تایمر reset و 2s بعدی هم هنوز قطع نشود (نیاز به 3s پیوسته). PASS: invalid تایمر را reset. FAIL: قطع زود در 2s.</t>
        </is>
      </c>
      <c r="I6" s="19" t="inlineStr">
        <is>
          <t>PASS: reset پس از invalid. FAIL: قطع زود.</t>
        </is>
      </c>
      <c r="J6" s="16" t="inlineStr"/>
      <c r="K6" s="17" t="inlineStr">
        <is>
          <t>در انتظار</t>
        </is>
      </c>
      <c r="L6" s="20" t="inlineStr"/>
      <c r="M6" s="20" t="inlineStr"/>
      <c r="N6" s="20" t="inlineStr">
        <is>
          <t>c6b084f28f2c507cfd342e5dbd0dbd8e45686772</t>
        </is>
      </c>
      <c r="O6" s="20" t="inlineStr"/>
      <c r="P6" s="20" t="inlineStr"/>
    </row>
    <row r="7" ht="38" customHeight="1">
      <c r="A7" s="15" t="inlineStr">
        <is>
          <t>CO-003</t>
        </is>
      </c>
      <c r="B7" s="15" t="inlineStr">
        <is>
          <t>Snapshot نامعتبر + Fault</t>
        </is>
      </c>
      <c r="C7" s="15" t="inlineStr">
        <is>
          <t>بالا</t>
        </is>
      </c>
      <c r="D7" s="15" t="inlineStr">
        <is>
          <t>BATTERY</t>
        </is>
      </c>
      <c r="E7" s="15" t="inlineStr">
        <is>
          <t>valid=false با fault=FAULT_ADC را اعمال کن</t>
        </is>
      </c>
      <c r="F7" s="15" t="inlineStr">
        <is>
          <t>valid=false, fault=1 (ADC), v25000</t>
        </is>
      </c>
      <c r="G7" s="15" t="inlineStr">
        <is>
          <t>500ms</t>
        </is>
      </c>
      <c r="H7" s="15" t="inlineStr">
        <is>
          <t>state حفظ شود (نه FAULT)، PB11 حفظ، تایمر reset. PASS: fault همراه invalid نباید FAULT شود. FAIL: FAULT شدن.</t>
        </is>
      </c>
      <c r="I7" s="15" t="inlineStr">
        <is>
          <t>PASS: حفظ state قبلی. FAIL: FAULT.</t>
        </is>
      </c>
      <c r="J7" s="16" t="inlineStr"/>
      <c r="K7" s="17" t="inlineStr">
        <is>
          <t>در انتظار</t>
        </is>
      </c>
      <c r="L7" s="18" t="inlineStr"/>
      <c r="M7" s="18" t="inlineStr"/>
      <c r="N7" s="18" t="inlineStr">
        <is>
          <t>c6b084f28f2c507cfd342e5dbd0dbd8e45686772</t>
        </is>
      </c>
      <c r="O7" s="18" t="inlineStr"/>
      <c r="P7" s="18" t="inlineStr"/>
    </row>
    <row r="8" ht="38" customHeight="1">
      <c r="A8" s="19" t="inlineStr">
        <is>
          <t>CO-004</t>
        </is>
      </c>
      <c r="B8" s="19" t="inlineStr">
        <is>
          <t>Fault با snapshot معتبر</t>
        </is>
      </c>
      <c r="C8" s="19" t="inlineStr">
        <is>
          <t>بالا</t>
        </is>
      </c>
      <c r="D8" s="19" t="inlineStr">
        <is>
          <t>INPUT/BATTERY</t>
        </is>
      </c>
      <c r="E8" s="19" t="inlineStr">
        <is>
          <t>valid=true v=24000 input true با fault=FAULT_ADC را اعمال کن</t>
        </is>
      </c>
      <c r="F8" s="19" t="inlineStr">
        <is>
          <t>valid=true, v24000, input true, fault 1</t>
        </is>
      </c>
      <c r="G8" s="19" t="inlineStr">
        <is>
          <t>500ms</t>
        </is>
      </c>
      <c r="H8" s="19" t="inlineStr">
        <is>
          <t>state=FAULT، PB11 حفظ (بدون تغییر High→Low)، تایمر reset. PASS: FAULT بدون تغییر PB11. FAIL: تغییر PB11 یا ماندن در INPUT.</t>
        </is>
      </c>
      <c r="I8" s="19" t="inlineStr">
        <is>
          <t>PASS: FAULT و PB11 حفظ. FAIL: تغییر PB11.</t>
        </is>
      </c>
      <c r="J8" s="16" t="inlineStr"/>
      <c r="K8" s="17" t="inlineStr">
        <is>
          <t>در انتظار</t>
        </is>
      </c>
      <c r="L8" s="20" t="inlineStr"/>
      <c r="M8" s="20" t="inlineStr"/>
      <c r="N8" s="20" t="inlineStr">
        <is>
          <t>c6b084f28f2c507cfd342e5dbd0dbd8e45686772</t>
        </is>
      </c>
      <c r="O8" s="20" t="inlineStr"/>
      <c r="P8" s="20" t="inlineStr"/>
    </row>
    <row r="9" ht="38" customHeight="1">
      <c r="A9" s="15" t="inlineStr">
        <is>
          <t>CO-005</t>
        </is>
      </c>
      <c r="B9" s="15" t="inlineStr">
        <is>
          <t>Fault چند بیتی</t>
        </is>
      </c>
      <c r="C9" s="15" t="inlineStr">
        <is>
          <t>متوسط</t>
        </is>
      </c>
      <c r="D9" s="15" t="inlineStr">
        <is>
          <t>FAULT قبلی</t>
        </is>
      </c>
      <c r="E9" s="15" t="inlineStr">
        <is>
          <t>fault=0x3F (همه) با valid=true اعمال کن</t>
        </is>
      </c>
      <c r="F9" s="15" t="inlineStr">
        <is>
          <t>valid true, fault ALL</t>
        </is>
      </c>
      <c r="G9" s="15" t="inlineStr">
        <is>
          <t>500ms</t>
        </is>
      </c>
      <c r="H9" s="15" t="inlineStr">
        <is>
          <t>state=FAULT، هیچ pin (PB11/PB5/PB7) تغییر نکند. PASS: همه fault‌ها → FAULT بدون pin. FAIL: هر تغییر pin.</t>
        </is>
      </c>
      <c r="I9" s="15" t="inlineStr">
        <is>
          <t>PASS: همه fault → FAULT no pin. FAIL: pin change.</t>
        </is>
      </c>
      <c r="J9" s="16" t="inlineStr"/>
      <c r="K9" s="17" t="inlineStr">
        <is>
          <t>در انتظار</t>
        </is>
      </c>
      <c r="L9" s="18" t="inlineStr"/>
      <c r="M9" s="18" t="inlineStr"/>
      <c r="N9" s="18" t="inlineStr">
        <is>
          <t>c6b084f28f2c507cfd342e5dbd0dbd8e45686772</t>
        </is>
      </c>
      <c r="O9" s="18" t="inlineStr"/>
      <c r="P9" s="18" t="inlineStr"/>
    </row>
    <row r="10" ht="38" customHeight="1">
      <c r="A10" s="19" t="inlineStr">
        <is>
          <t>CO-006</t>
        </is>
      </c>
      <c r="B10" s="19" t="inlineStr">
        <is>
          <t>ورودی قطع → BATTERY</t>
        </is>
      </c>
      <c r="C10" s="19" t="inlineStr">
        <is>
          <t>بالا</t>
        </is>
      </c>
      <c r="D10" s="19" t="inlineStr">
        <is>
          <t>BOOT با snapshot معتبر</t>
        </is>
      </c>
      <c r="E10" s="19" t="inlineStr">
        <is>
          <t>valid=true v=24000 input=false (Vin≤20V) fault0</t>
        </is>
      </c>
      <c r="F10" s="19" t="inlineStr">
        <is>
          <t>valid true, v24000, input false</t>
        </is>
      </c>
      <c r="G10" s="19" t="inlineStr">
        <is>
          <t>500ms</t>
        </is>
      </c>
      <c r="H10" s="19" t="inlineStr">
        <is>
          <t>state=BATTERY, PB11 High-safe (متصل). PASS: BATTERY. FAIL: INPUT یا SAFE یا FAULT.</t>
        </is>
      </c>
      <c r="I10" s="19" t="inlineStr">
        <is>
          <t>PASS: BATTERY. FAIL: otherwise.</t>
        </is>
      </c>
      <c r="J10" s="16" t="inlineStr"/>
      <c r="K10" s="17" t="inlineStr">
        <is>
          <t>در انتظار</t>
        </is>
      </c>
      <c r="L10" s="20" t="inlineStr"/>
      <c r="M10" s="20" t="inlineStr"/>
      <c r="N10" s="20" t="inlineStr">
        <is>
          <t>c6b084f28f2c507cfd342e5dbd0dbd8e45686772</t>
        </is>
      </c>
      <c r="O10" s="20" t="inlineStr"/>
      <c r="P10" s="20" t="inlineStr"/>
    </row>
    <row r="11" ht="38" customHeight="1">
      <c r="A11" s="15" t="inlineStr">
        <is>
          <t>CO-007</t>
        </is>
      </c>
      <c r="B11" s="15" t="inlineStr">
        <is>
          <t>ورودی حاضر → INPUT</t>
        </is>
      </c>
      <c r="C11" s="15" t="inlineStr">
        <is>
          <t>بالا</t>
        </is>
      </c>
      <c r="D11" s="15" t="inlineStr">
        <is>
          <t>BOOT/BATTERY</t>
        </is>
      </c>
      <c r="E11" s="15" t="inlineStr">
        <is>
          <t>valid=true v=24000 input=true (Vin≥21V) fault0</t>
        </is>
      </c>
      <c r="F11" s="15" t="inlineStr">
        <is>
          <t>valid true, v24000, input true</t>
        </is>
      </c>
      <c r="G11" s="15" t="inlineStr">
        <is>
          <t>500ms</t>
        </is>
      </c>
      <c r="H11" s="15" t="inlineStr">
        <is>
          <t>state=INPUT, PB11 High-safe. PASS: INPUT. FAIL: BATTERY یا SAFE.</t>
        </is>
      </c>
      <c r="I11" s="15" t="inlineStr">
        <is>
          <t>PASS: INPUT. FAIL: otherwise.</t>
        </is>
      </c>
      <c r="J11" s="16" t="inlineStr"/>
      <c r="K11" s="17" t="inlineStr">
        <is>
          <t>در انتظار</t>
        </is>
      </c>
      <c r="L11" s="18" t="inlineStr"/>
      <c r="M11" s="18" t="inlineStr"/>
      <c r="N11" s="18" t="inlineStr">
        <is>
          <t>c6b084f28f2c507cfd342e5dbd0dbd8e45686772</t>
        </is>
      </c>
      <c r="O11" s="18" t="inlineStr"/>
      <c r="P11" s="18" t="inlineStr"/>
    </row>
    <row r="12" ht="38" customHeight="1">
      <c r="A12" s="19" t="inlineStr">
        <is>
          <t>CO-008</t>
        </is>
      </c>
      <c r="B12" s="19" t="inlineStr">
        <is>
          <t>قطع با گیت / 21000 + flag</t>
        </is>
      </c>
      <c r="C12" s="19" t="inlineStr">
        <is>
          <t>بالا</t>
        </is>
      </c>
      <c r="D12" s="19" t="inlineStr">
        <is>
          <t>BATTERY/INPUT, PB11 High</t>
        </is>
      </c>
      <c r="E12" s="19" t="inlineStr">
        <is>
          <t>valid=true v=20900 (&lt;21000) flag true, input false را 3500ms نگه دار</t>
        </is>
      </c>
      <c r="F12" s="19" t="inlineStr">
        <is>
          <t>v20900 (&lt;21000) flag true</t>
        </is>
      </c>
      <c r="G12" s="19" t="inlineStr">
        <is>
          <t>3500ms (≥3000)</t>
        </is>
      </c>
      <c r="H12" s="19" t="inlineStr">
        <is>
          <t>پس از 2500ms هنوز BATTERY/INPUT و PB11 High؛ پس از 3000ms PB11 Low (قطع) و state=SAFE. PASS: قطع فقط پس از 3000ms پیوسته. FAIL: قطع زود یا عدم قطع.</t>
        </is>
      </c>
      <c r="I12" s="19" t="inlineStr">
        <is>
          <t>PASS: 2500 still no cut, 3000 SAFE. FAIL: early or no cut.</t>
        </is>
      </c>
      <c r="J12" s="16" t="inlineStr"/>
      <c r="K12" s="17" t="inlineStr">
        <is>
          <t>در انتظار</t>
        </is>
      </c>
      <c r="L12" s="20" t="inlineStr"/>
      <c r="M12" s="20" t="inlineStr"/>
      <c r="N12" s="20" t="inlineStr">
        <is>
          <t>c6b084f28f2c507cfd342e5dbd0dbd8e45686772</t>
        </is>
      </c>
      <c r="O12" s="20" t="inlineStr"/>
      <c r="P12" s="20" t="inlineStr"/>
    </row>
    <row r="13" ht="38" customHeight="1">
      <c r="A13" s="15" t="inlineStr">
        <is>
          <t>CO-009</t>
        </is>
      </c>
      <c r="B13" s="15" t="inlineStr">
        <is>
          <t>قطع مستقل / 20800</t>
        </is>
      </c>
      <c r="C13" s="15" t="inlineStr">
        <is>
          <t>بالا</t>
        </is>
      </c>
      <c r="D13" s="15" t="inlineStr">
        <is>
          <t>BATTERY, flag false</t>
        </is>
      </c>
      <c r="E13" s="15" t="inlineStr">
        <is>
          <t>valid=true v=20700 (&lt;20800) flag false input false را 3500ms نگه دار</t>
        </is>
      </c>
      <c r="F13" s="15" t="inlineStr">
        <is>
          <t>v20700 (&lt;20800) flag false</t>
        </is>
      </c>
      <c r="G13" s="15" t="inlineStr">
        <is>
          <t>3500ms</t>
        </is>
      </c>
      <c r="H13" s="15" t="inlineStr">
        <is>
          <t>پس از 3000ms SAFE با PB11 Low مستقل از flag. PASS: مستقل cuts. FAIL: عدم قطع به علت flag false.</t>
        </is>
      </c>
      <c r="I13" s="15" t="inlineStr">
        <is>
          <t>PASS: independent cut. FAIL: no cut due flag.</t>
        </is>
      </c>
      <c r="J13" s="16" t="inlineStr"/>
      <c r="K13" s="17" t="inlineStr">
        <is>
          <t>در انتظار</t>
        </is>
      </c>
      <c r="L13" s="18" t="inlineStr"/>
      <c r="M13" s="18" t="inlineStr"/>
      <c r="N13" s="18" t="inlineStr">
        <is>
          <t>c6b084f28f2c507cfd342e5dbd0dbd8e45686772</t>
        </is>
      </c>
      <c r="O13" s="18" t="inlineStr"/>
      <c r="P13" s="18" t="inlineStr"/>
    </row>
    <row r="14" ht="38" customHeight="1">
      <c r="A14" s="19" t="inlineStr">
        <is>
          <t>CO-010</t>
        </is>
      </c>
      <c r="B14" s="19" t="inlineStr">
        <is>
          <t>مرز دقیق 21000 نباید cut</t>
        </is>
      </c>
      <c r="C14" s="19" t="inlineStr">
        <is>
          <t>بالا</t>
        </is>
      </c>
      <c r="D14" s="19" t="inlineStr">
        <is>
          <t>BATTERY</t>
        </is>
      </c>
      <c r="E14" s="19" t="inlineStr">
        <is>
          <t>valid=true v=21000 (دقیق مرز &lt;21000) با flag true و input=true (Vin=24V) را 3500ms (≥3000) پایدار نگه دار</t>
        </is>
      </c>
      <c r="F14" s="19" t="inlineStr">
        <is>
          <t>valid=true, v=21000 (دقیق) flag=true, input=true (Vin≥21V)</t>
        </is>
      </c>
      <c r="G14" s="19" t="inlineStr">
        <is>
          <t>3500ms</t>
        </is>
      </c>
      <c r="H14" s="19" t="inlineStr">
        <is>
          <t>هیچ قطع رخ ندهد، state=INPUT (چون input_present=true و بدون cut) و PB11 High-safe بماند. PASS: با input حاضر، بدون قطع باید INPUT باشد، نه BATTERY یا SAFE. FAIL: BATTERY/SAFE یا تغییر PB11.</t>
        </is>
      </c>
      <c r="I14" s="19" t="inlineStr">
        <is>
          <t>PASS: با v=21000 و input true، state=INPUT و PB11 High. FAIL: هر cut یا BATTERY.</t>
        </is>
      </c>
      <c r="J14" s="16" t="inlineStr"/>
      <c r="K14" s="17" t="inlineStr">
        <is>
          <t>در انتظار</t>
        </is>
      </c>
      <c r="L14" s="20" t="inlineStr"/>
      <c r="M14" s="20" t="inlineStr"/>
      <c r="N14" s="20" t="inlineStr">
        <is>
          <t>c6b084f28f2c507cfd342e5dbd0dbd8e45686772</t>
        </is>
      </c>
      <c r="O14" s="20" t="inlineStr"/>
      <c r="P14" s="20" t="inlineStr"/>
    </row>
    <row r="15" ht="38" customHeight="1">
      <c r="A15" s="15" t="inlineStr">
        <is>
          <t>CO-011</t>
        </is>
      </c>
      <c r="B15" s="15" t="inlineStr">
        <is>
          <t>مرز دقیق 20800 نباید cut</t>
        </is>
      </c>
      <c r="C15" s="15" t="inlineStr">
        <is>
          <t>بالا</t>
        </is>
      </c>
      <c r="D15" s="15" t="inlineStr">
        <is>
          <t>BATTERY</t>
        </is>
      </c>
      <c r="E15" s="15" t="inlineStr">
        <is>
          <t>valid=true v=20800 flag false 3500ms</t>
        </is>
      </c>
      <c r="F15" s="15" t="inlineStr">
        <is>
          <t>v=20800 flag false</t>
        </is>
      </c>
      <c r="G15" s="15" t="inlineStr">
        <is>
          <t>3500ms</t>
        </is>
      </c>
      <c r="H15" s="15" t="inlineStr">
        <is>
          <t>هیچ قطع نشود. PASS: need &lt;20800. FAIL: cut at exact.</t>
        </is>
      </c>
      <c r="I15" s="15" t="inlineStr">
        <is>
          <t>PASS: 20800 no independent cut. FAIL: cut.</t>
        </is>
      </c>
      <c r="J15" s="16" t="inlineStr"/>
      <c r="K15" s="17" t="inlineStr">
        <is>
          <t>در انتظار</t>
        </is>
      </c>
      <c r="L15" s="18" t="inlineStr"/>
      <c r="M15" s="18" t="inlineStr"/>
      <c r="N15" s="18" t="inlineStr">
        <is>
          <t>c6b084f28f2c507cfd342e5dbd0dbd8e45686772</t>
        </is>
      </c>
      <c r="O15" s="18" t="inlineStr"/>
      <c r="P15" s="18" t="inlineStr"/>
    </row>
    <row r="16" ht="38" customHeight="1">
      <c r="A16" s="19" t="inlineStr">
        <is>
          <t>CO-012</t>
        </is>
      </c>
      <c r="B16" s="19" t="inlineStr">
        <is>
          <t>قطع &lt;3000ms نباید</t>
        </is>
      </c>
      <c r="C16" s="19" t="inlineStr">
        <is>
          <t>بالا</t>
        </is>
      </c>
      <c r="D16" s="19" t="inlineStr">
        <is>
          <t>BATTERY</t>
        </is>
      </c>
      <c r="E16" s="19" t="inlineStr">
        <is>
          <t>valid=true v=20900 (&lt;21000) flag true با input=true (Vin=24V) را فقط 2500ms (&lt;3000) نگه دار سپس v=24000 کن</t>
        </is>
      </c>
      <c r="F16" s="19" t="inlineStr">
        <is>
          <t>valid=true, v=20900 (&lt;21000) flag=true, input=true, فقط 2500ms (&lt;3000)</t>
        </is>
      </c>
      <c r="G16" s="19" t="inlineStr">
        <is>
          <t>2500ms</t>
        </is>
      </c>
      <c r="H16" s="19" t="inlineStr">
        <is>
          <t>پس از 2500ms هنوز state=INPUT (چون input true و هنوز SAFE نشده) و PB11 High. PASS: &lt;3000ms هنوز INPUT، نه SAFE. FAIL: SAFE زود یا BATTERY.</t>
        </is>
      </c>
      <c r="I16" s="19" t="inlineStr">
        <is>
          <t>PASS: 2500ms still INPUT (no cut). FAIL: early SAFE یا BATTERY.</t>
        </is>
      </c>
      <c r="J16" s="16" t="inlineStr"/>
      <c r="K16" s="17" t="inlineStr">
        <is>
          <t>در انتظار</t>
        </is>
      </c>
      <c r="L16" s="20" t="inlineStr"/>
      <c r="M16" s="20" t="inlineStr"/>
      <c r="N16" s="20" t="inlineStr">
        <is>
          <t>c6b084f28f2c507cfd342e5dbd0dbd8e45686772</t>
        </is>
      </c>
      <c r="O16" s="20" t="inlineStr"/>
      <c r="P16" s="20" t="inlineStr"/>
    </row>
    <row r="17" ht="38" customHeight="1">
      <c r="A17" s="15" t="inlineStr">
        <is>
          <t>CO-013</t>
        </is>
      </c>
      <c r="B17" s="15" t="inlineStr">
        <is>
          <t>وصل مجدد / 21200 + input</t>
        </is>
      </c>
      <c r="C17" s="15" t="inlineStr">
        <is>
          <t>بالا</t>
        </is>
      </c>
      <c r="D17" s="15" t="inlineStr">
        <is>
          <t>SAFE, PB11 Low</t>
        </is>
      </c>
      <c r="E17" s="15" t="inlineStr">
        <is>
          <t>از SAFE (پس از CO-008)، input=true و v=21300 (≥21200) را 3500ms نگه دار</t>
        </is>
      </c>
      <c r="F17" s="15" t="inlineStr">
        <is>
          <t>SAFE, input true, v21300</t>
        </is>
      </c>
      <c r="G17" s="15" t="inlineStr">
        <is>
          <t>3500ms</t>
        </is>
      </c>
      <c r="H17" s="15" t="inlineStr">
        <is>
          <t>قبل از 3000ms: SAFE و PB11 Low؛ بعد از 3000ms: INPUT و PB11 High. PASS: reconnect پس از 3000ms با PB11 High. FAIL: reconnect زود یا PB11 Low ماندن.</t>
        </is>
      </c>
      <c r="I17" s="15" t="inlineStr">
        <is>
          <t>PASS: قبل 3000 SAFE Low، بعد 3000 INPUT High. FAIL: early or no reconnect.</t>
        </is>
      </c>
      <c r="J17" s="16" t="inlineStr"/>
      <c r="K17" s="17" t="inlineStr">
        <is>
          <t>در انتظار</t>
        </is>
      </c>
      <c r="L17" s="18" t="inlineStr"/>
      <c r="M17" s="18" t="inlineStr"/>
      <c r="N17" s="18" t="inlineStr">
        <is>
          <t>c6b084f28f2c507cfd342e5dbd0dbd8e45686772</t>
        </is>
      </c>
      <c r="O17" s="18" t="inlineStr"/>
      <c r="P17" s="18" t="inlineStr"/>
    </row>
    <row r="18" ht="38" customHeight="1">
      <c r="A18" s="19" t="inlineStr">
        <is>
          <t>CO-014</t>
        </is>
      </c>
      <c r="B18" s="19" t="inlineStr">
        <is>
          <t>مرز دقیق 21200 باید reconnect</t>
        </is>
      </c>
      <c r="C18" s="19" t="inlineStr">
        <is>
          <t>بالا</t>
        </is>
      </c>
      <c r="D18" s="19" t="inlineStr">
        <is>
          <t>SAFE</t>
        </is>
      </c>
      <c r="E18" s="19" t="inlineStr">
        <is>
          <t>input true v=21200 (دقیق) 3500ms</t>
        </is>
      </c>
      <c r="F18" s="19" t="inlineStr">
        <is>
          <t>v=21200 input true</t>
        </is>
      </c>
      <c r="G18" s="19" t="inlineStr">
        <is>
          <t>3500ms</t>
        </is>
      </c>
      <c r="H18" s="19" t="inlineStr">
        <is>
          <t>پس از 3000ms INPUT و PB11 High. PASS: ≥21200 reconnect. FAIL: no reconnect at 21200.</t>
        </is>
      </c>
      <c r="I18" s="19" t="inlineStr">
        <is>
          <t>PASS: 21200 reconnects (need ≥). FAIL: no.</t>
        </is>
      </c>
      <c r="J18" s="16" t="inlineStr"/>
      <c r="K18" s="17" t="inlineStr">
        <is>
          <t>در انتظار</t>
        </is>
      </c>
      <c r="L18" s="20" t="inlineStr"/>
      <c r="M18" s="20" t="inlineStr"/>
      <c r="N18" s="20" t="inlineStr">
        <is>
          <t>c6b084f28f2c507cfd342e5dbd0dbd8e45686772</t>
        </is>
      </c>
      <c r="O18" s="20" t="inlineStr"/>
      <c r="P18" s="20" t="inlineStr"/>
    </row>
    <row r="19" ht="38" customHeight="1">
      <c r="A19" s="15" t="inlineStr">
        <is>
          <t>CO-015</t>
        </is>
      </c>
      <c r="B19" s="15" t="inlineStr">
        <is>
          <t>reconnect &lt;3000 نباید</t>
        </is>
      </c>
      <c r="C19" s="15" t="inlineStr">
        <is>
          <t>بالا</t>
        </is>
      </c>
      <c r="D19" s="15" t="inlineStr">
        <is>
          <t>SAFE</t>
        </is>
      </c>
      <c r="E19" s="15" t="inlineStr">
        <is>
          <t>input true v=21300 فقط 2500ms نگه دار</t>
        </is>
      </c>
      <c r="F19" s="15" t="inlineStr">
        <is>
          <t>v21300 input true</t>
        </is>
      </c>
      <c r="G19" s="15" t="inlineStr">
        <is>
          <t>2500ms</t>
        </is>
      </c>
      <c r="H19" s="15" t="inlineStr">
        <is>
          <t>هنوز SAFE و PB11 Low. PASS: &lt;3s no reconnect. FAIL: زود وصل.</t>
        </is>
      </c>
      <c r="I19" s="15" t="inlineStr">
        <is>
          <t>PASS: 2500 still SAFE. FAIL: INPUT early.</t>
        </is>
      </c>
      <c r="J19" s="16" t="inlineStr"/>
      <c r="K19" s="17" t="inlineStr">
        <is>
          <t>در انتظار</t>
        </is>
      </c>
      <c r="L19" s="18" t="inlineStr"/>
      <c r="M19" s="18" t="inlineStr"/>
      <c r="N19" s="18" t="inlineStr">
        <is>
          <t>c6b084f28f2c507cfd342e5dbd0dbd8e45686772</t>
        </is>
      </c>
      <c r="O19" s="18" t="inlineStr"/>
      <c r="P19" s="18" t="inlineStr"/>
    </row>
    <row r="20" ht="38" customHeight="1">
      <c r="A20" s="19" t="inlineStr">
        <is>
          <t>CO-016</t>
        </is>
      </c>
      <c r="B20" s="19" t="inlineStr">
        <is>
          <t>پس از reconnect state INPUT</t>
        </is>
      </c>
      <c r="C20" s="19" t="inlineStr">
        <is>
          <t>بالا</t>
        </is>
      </c>
      <c r="D20" s="19" t="inlineStr">
        <is>
          <t>پس از CO-013</t>
        </is>
      </c>
      <c r="E20" s="19" t="inlineStr">
        <is>
          <t>پس از reconnect موفق، state را بخوان</t>
        </is>
      </c>
      <c r="F20" s="19" t="inlineStr">
        <is>
          <t>post-reconnect</t>
        </is>
      </c>
      <c r="G20" s="19" t="inlineStr">
        <is>
          <t>100ms</t>
        </is>
      </c>
      <c r="H20" s="19" t="inlineStr">
        <is>
          <t>state=INPUT باشد، نه IDLE (IDLE برای معتبر ممنوع). PASS: INPUT. FAIL: IDLE.</t>
        </is>
      </c>
      <c r="I20" s="19" t="inlineStr">
        <is>
          <t>PASS: INPUT not IDLE. FAIL: IDLE.</t>
        </is>
      </c>
      <c r="J20" s="16" t="inlineStr"/>
      <c r="K20" s="17" t="inlineStr">
        <is>
          <t>در انتظار</t>
        </is>
      </c>
      <c r="L20" s="20" t="inlineStr"/>
      <c r="M20" s="20" t="inlineStr"/>
      <c r="N20" s="20" t="inlineStr">
        <is>
          <t>c6b084f28f2c507cfd342e5dbd0dbd8e45686772</t>
        </is>
      </c>
      <c r="O20" s="20" t="inlineStr"/>
      <c r="P20" s="20" t="inlineStr"/>
    </row>
    <row r="21" ht="38" customHeight="1">
      <c r="A21" s="15" t="inlineStr">
        <is>
          <t>CO-017</t>
        </is>
      </c>
      <c r="B21" s="15" t="inlineStr">
        <is>
          <t>PB11 در invalid حفظ</t>
        </is>
      </c>
      <c r="C21" s="15" t="inlineStr">
        <is>
          <t>بالا</t>
        </is>
      </c>
      <c r="D21" s="15" t="inlineStr">
        <is>
          <t>INPUT با PB11 High</t>
        </is>
      </c>
      <c r="E21" s="15" t="inlineStr">
        <is>
          <t>valid=true input true → INPUT High، سپس valid=false 500ms → PB11 چک</t>
        </is>
      </c>
      <c r="F21" s="15" t="inlineStr">
        <is>
          <t>valid true→false</t>
        </is>
      </c>
      <c r="G21" s="15" t="inlineStr">
        <is>
          <t>500ms</t>
        </is>
      </c>
      <c r="H21" s="15" t="inlineStr">
        <is>
          <t>PB11 Low-High بدون تغییر بماند (High). PASS: حفظ. FAIL: تغییر.</t>
        </is>
      </c>
      <c r="I21" s="15" t="inlineStr">
        <is>
          <t>PASS: PB11 preserved in invalid. FAIL: change.</t>
        </is>
      </c>
      <c r="J21" s="16" t="inlineStr"/>
      <c r="K21" s="17" t="inlineStr">
        <is>
          <t>در انتظار</t>
        </is>
      </c>
      <c r="L21" s="18" t="inlineStr"/>
      <c r="M21" s="18" t="inlineStr"/>
      <c r="N21" s="18" t="inlineStr">
        <is>
          <t>c6b084f28f2c507cfd342e5dbd0dbd8e45686772</t>
        </is>
      </c>
      <c r="O21" s="18" t="inlineStr"/>
      <c r="P21" s="18" t="inlineStr"/>
    </row>
    <row r="22" ht="38" customHeight="1">
      <c r="A22" s="19" t="inlineStr">
        <is>
          <t>CO-018</t>
        </is>
      </c>
      <c r="B22" s="19" t="inlineStr">
        <is>
          <t>PB11 در fault حفظ</t>
        </is>
      </c>
      <c r="C22" s="19" t="inlineStr">
        <is>
          <t>بالا</t>
        </is>
      </c>
      <c r="D22" s="19" t="inlineStr">
        <is>
          <t>INPUT</t>
        </is>
      </c>
      <c r="E22" s="19" t="inlineStr">
        <is>
          <t>valid=true با fault!=0 → FAULT → PB11 چک</t>
        </is>
      </c>
      <c r="F22" s="19" t="inlineStr">
        <is>
          <t>valid true fault1</t>
        </is>
      </c>
      <c r="G22" s="19" t="inlineStr">
        <is>
          <t>500ms</t>
        </is>
      </c>
      <c r="H22" s="19" t="inlineStr">
        <is>
          <t>PB11 حفظ (High). PASS. FAIL: Low شدن.</t>
        </is>
      </c>
      <c r="I22" s="19" t="inlineStr">
        <is>
          <t>PASS: PB11 preserved in fault. FAIL: change.</t>
        </is>
      </c>
      <c r="J22" s="16" t="inlineStr"/>
      <c r="K22" s="17" t="inlineStr">
        <is>
          <t>در انتظار</t>
        </is>
      </c>
      <c r="L22" s="20" t="inlineStr"/>
      <c r="M22" s="20" t="inlineStr"/>
      <c r="N22" s="20" t="inlineStr">
        <is>
          <t>c6b084f28f2c507cfd342e5dbd0dbd8e45686772</t>
        </is>
      </c>
      <c r="O22" s="20" t="inlineStr"/>
      <c r="P22" s="20" t="inlineStr"/>
    </row>
    <row r="23" ht="38" customHeight="1">
      <c r="A23" s="15" t="inlineStr">
        <is>
          <t>CO-019</t>
        </is>
      </c>
      <c r="B23" s="15" t="inlineStr">
        <is>
          <t>PB5 و PB7 هیچ‌گاه تغییر نکنند</t>
        </is>
      </c>
      <c r="C23" s="15" t="inlineStr">
        <is>
          <t>بالا</t>
        </is>
      </c>
      <c r="D23" s="15" t="inlineStr">
        <is>
          <t>هر حالت</t>
        </is>
      </c>
      <c r="E23" s="15" t="inlineStr">
        <is>
          <t>در تمام تست‌های CO-001 تا CO-015، PB5 (BAT_SWITCH) و PB7 (RELAY) را با اسکوپ/لاگ BSP چک کن</t>
        </is>
      </c>
      <c r="F23" s="15" t="inlineStr">
        <is>
          <t>تمام حالات</t>
        </is>
      </c>
      <c r="G23" s="15" t="inlineStr">
        <is>
          <t>هر تست</t>
        </is>
      </c>
      <c r="H23" s="15" t="inlineStr">
        <is>
          <t>PB5 و PB7 ثابت بمانند (PB5 High-safe active-low، PB7 Low). PASS: بدون تغییر. FAIL: هر toggle.</t>
        </is>
      </c>
      <c r="I23" s="15" t="inlineStr">
        <is>
          <t>PASS: PB5/PB7 never change. FAIL: any toggle.</t>
        </is>
      </c>
      <c r="J23" s="16" t="inlineStr"/>
      <c r="K23" s="17" t="inlineStr">
        <is>
          <t>در انتظار</t>
        </is>
      </c>
      <c r="L23" s="18" t="inlineStr"/>
      <c r="M23" s="18" t="inlineStr"/>
      <c r="N23" s="18" t="inlineStr">
        <is>
          <t>c6b084f28f2c507cfd342e5dbd0dbd8e45686772</t>
        </is>
      </c>
      <c r="O23" s="18" t="inlineStr"/>
      <c r="P23" s="18" t="inlineStr"/>
    </row>
    <row r="24" ht="38" customHeight="1">
      <c r="A24" s="19" t="inlineStr">
        <is>
          <t>CO-020</t>
        </is>
      </c>
      <c r="B24" s="19" t="inlineStr">
        <is>
          <t>فقط PROTECT_BATTERY مجاز</t>
        </is>
      </c>
      <c r="C24" s="19" t="inlineStr">
        <is>
          <t>بالا</t>
        </is>
      </c>
      <c r="D24" s="19" t="inlineStr">
        <is>
          <t>کد review + تست</t>
        </is>
      </c>
      <c r="E24" s="19" t="inlineStr">
        <is>
          <t>کد را بازرسی کن: فقط func__BspGpio_Write(BSP_GPIO_PROTECT_BATTERY) مجاز باشد؛ اسکوپ PB11 را چک کن</t>
        </is>
      </c>
      <c r="F24" s="19" t="inlineStr">
        <is>
          <t>کد + PB11</t>
        </is>
      </c>
      <c r="G24" s="19" t="inlineStr">
        <is>
          <t>—</t>
        </is>
      </c>
      <c r="H24" s="19" t="inlineStr">
        <is>
          <t>هیچ کد board_pins/HAL/PB5/PB7 نباشد، فقط PB11 تغییر کند. PASS: فقط PB11. FAIL: PB5/7.</t>
        </is>
      </c>
      <c r="I24" s="19" t="inlineStr">
        <is>
          <t>PASS: only PB11. FAIL: PB5/7 usage.</t>
        </is>
      </c>
      <c r="J24" s="16" t="inlineStr"/>
      <c r="K24" s="17" t="inlineStr">
        <is>
          <t>در انتظار</t>
        </is>
      </c>
      <c r="L24" s="20" t="inlineStr"/>
      <c r="M24" s="20" t="inlineStr"/>
      <c r="N24" s="20" t="inlineStr">
        <is>
          <t>c6b084f28f2c507cfd342e5dbd0dbd8e45686772</t>
        </is>
      </c>
      <c r="O24" s="20" t="inlineStr"/>
      <c r="P24" s="20" t="inlineStr"/>
    </row>
    <row r="25" ht="38" customHeight="1">
      <c r="A25" s="15" t="inlineStr">
        <is>
          <t>CO-021</t>
        </is>
      </c>
      <c r="B25" s="15" t="inlineStr">
        <is>
          <t>زمان از rtos_time</t>
        </is>
      </c>
      <c r="C25" s="15" t="inlineStr">
        <is>
          <t>متوسط</t>
        </is>
      </c>
      <c r="D25" s="15" t="inlineStr">
        <is>
          <t>هر زمان</t>
        </is>
      </c>
      <c r="E25" s="15" t="inlineStr">
        <is>
          <t>تغییر فرکانس تیک را شبیه‌سازی یا کد را چک کن: فقط func__Rtos_MillisecondsToTicks و osKernelGetTickCount استفاده شود، tick=1ms فرض نشود</t>
        </is>
      </c>
      <c r="F25" s="15" t="inlineStr">
        <is>
          <t>کد review</t>
        </is>
      </c>
      <c r="G25" s="15" t="inlineStr">
        <is>
          <t>—</t>
        </is>
      </c>
      <c r="H25" s="15" t="inlineStr">
        <is>
          <t>زمان با rtos_time قابل‌حمل باشد، 3000ms با هر فرکانس تیک درست کار کند. PASS: portable. FAIL: فرض 1ms.</t>
        </is>
      </c>
      <c r="I25" s="15" t="inlineStr">
        <is>
          <t>PASS: portable via rtos_time. FAIL: hardcoded 1ms.</t>
        </is>
      </c>
      <c r="J25" s="16" t="inlineStr"/>
      <c r="K25" s="17" t="inlineStr">
        <is>
          <t>در انتظار</t>
        </is>
      </c>
      <c r="L25" s="18" t="inlineStr"/>
      <c r="M25" s="18" t="inlineStr"/>
      <c r="N25" s="18" t="inlineStr">
        <is>
          <t>c6b084f28f2c507cfd342e5dbd0dbd8e45686772</t>
        </is>
      </c>
      <c r="O25" s="18" t="inlineStr"/>
      <c r="P25" s="18" t="inlineStr"/>
    </row>
    <row r="26" ht="38" customHeight="1">
      <c r="A26" s="19" t="inlineStr">
        <is>
          <t>CO-022</t>
        </is>
      </c>
      <c r="B26" s="19" t="inlineStr">
        <is>
          <t>durationTicks صفر → no immediate cut</t>
        </is>
      </c>
      <c r="C26" s="19" t="inlineStr">
        <is>
          <t>بالا</t>
        </is>
      </c>
      <c r="D26" s="19" t="inlineStr">
        <is>
          <t>BATTERY با شرط قطع</t>
        </is>
      </c>
      <c r="E26" s="19" t="inlineStr">
        <is>
          <t>tick freq=0 شبیه‌سازی (MillisecondsToTicks==0) → valid=true v=20700 flag true 3500ms</t>
        </is>
      </c>
      <c r="F26" s="19" t="inlineStr">
        <is>
          <t>valid true v20700 durTicks0</t>
        </is>
      </c>
      <c r="G26" s="19" t="inlineStr">
        <is>
          <t>3500ms</t>
        </is>
      </c>
      <c r="H26" s="19" t="inlineStr">
        <is>
          <t>هیچ قطع/وصل فوری انجام نشود، state و PB11 حفظ، تایمر reset. PASS: guard بدون تصمیم. FAIL: قطع فوری.</t>
        </is>
      </c>
      <c r="I26" s="19" t="inlineStr">
        <is>
          <t>PASS: guard preserves. FAIL: immediate cut.</t>
        </is>
      </c>
      <c r="J26" s="16" t="inlineStr"/>
      <c r="K26" s="17" t="inlineStr">
        <is>
          <t>در انتظار</t>
        </is>
      </c>
      <c r="L26" s="20" t="inlineStr"/>
      <c r="M26" s="20" t="inlineStr"/>
      <c r="N26" s="20" t="inlineStr">
        <is>
          <t>c6b084f28f2c507cfd342e5dbd0dbd8e45686772</t>
        </is>
      </c>
      <c r="O26" s="20" t="inlineStr"/>
      <c r="P26" s="20" t="inlineStr"/>
    </row>
    <row r="27">
      <c r="A27" t="inlineStr">
        <is>
          <t>CO-023</t>
        </is>
      </c>
      <c r="B27" t="inlineStr">
        <is>
          <t>snapshot zeroing task_control</t>
        </is>
      </c>
      <c r="C27" t="inlineStr">
        <is>
          <t>بالا</t>
        </is>
      </c>
      <c r="D27" t="inlineStr">
        <is>
          <t>MODULE_MEASUREMENT=0 یا GetSnapshot=false</t>
        </is>
      </c>
      <c r="E27" t="inlineStr">
        <is>
          <t>برد را با measurement خاموش بیلد کن یا ADC را نگه دار تا valid=false بماند؛ state را در 3s مشاهده کن</t>
        </is>
      </c>
      <c r="F27" t="inlineStr">
        <is>
          <t>valid=false</t>
        </is>
      </c>
      <c r="G27" t="inlineStr">
        <is>
          <t>3500ms</t>
        </is>
      </c>
      <c r="H27" t="inlineStr">
        <is>
          <t>هیچ فیلد snapshot حاوی زباله پشته نباشد؛ Changeover باید فقط روی valid گیت بزند و PB11 امن بماند؛ task_control مانند task_comm/task_ui/task_protection هر 9 فیلد را صفر کند</t>
        </is>
      </c>
      <c r="I27" t="inlineStr">
        <is>
          <t>امن</t>
        </is>
      </c>
      <c r="J27" t="inlineStr">
        <is>
          <t>بدون تصمیم بر اساس زباله؛ PB11 حفظ</t>
        </is>
      </c>
      <c r="L27" t="inlineStr">
        <is>
          <t>نیاز به تکرار</t>
        </is>
      </c>
      <c r="O27" t="inlineStr">
        <is>
          <t>62f3782</t>
        </is>
      </c>
      <c r="Q27" t="inlineStr">
        <is>
          <t>2026-10-12</t>
        </is>
      </c>
    </row>
    <row r="28">
      <c r="A28" t="inlineStr">
        <is>
          <t>CO-024</t>
        </is>
      </c>
      <c r="B28" t="inlineStr">
        <is>
          <t>وصل مجدد 30s پایداری ورودی</t>
        </is>
      </c>
      <c r="C28" t="inlineStr">
        <is>
          <t>بالا</t>
        </is>
      </c>
      <c r="D28" t="inlineStr">
        <is>
          <t>برد در SAFE پس از قطع، v_bat=24V</t>
        </is>
      </c>
      <c r="E28" t="inlineStr">
        <is>
          <t>ورودی را وصل و 30s نگه دار سپس 3s ولتاژ 21200</t>
        </is>
      </c>
      <c r="F28" t="inlineStr">
        <is>
          <t>input=true v=24000</t>
        </is>
      </c>
      <c r="G28" t="inlineStr">
        <is>
          <t>33s</t>
        </is>
      </c>
      <c r="H28" t="inlineStr">
        <is>
          <t>بعد 30s پایداری + 3s ولتاژ، PB11 High-&gt;Low و INPUT</t>
        </is>
      </c>
      <c r="I28" t="inlineStr">
        <is>
          <t>PASS: PB11 بعد 33s وصل، قبلش SAFE. FAIL: وصل زودتر از 30s</t>
        </is>
      </c>
      <c r="K28" t="inlineStr">
        <is>
          <t>نیاز به تکرار</t>
        </is>
      </c>
      <c r="L28" t="inlineStr"/>
      <c r="M28" t="inlineStr"/>
      <c r="N28" t="inlineStr">
        <is>
          <t>thermal+30s</t>
        </is>
      </c>
    </row>
  </sheetData>
  <autoFilter ref="A4:P26"/>
  <mergeCells count="3">
    <mergeCell ref="A1:P1"/>
    <mergeCell ref="A3:P3"/>
    <mergeCell ref="A2:P2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0" customWidth="1" min="3" max="3"/>
    <col width="22" customWidth="1" min="4" max="4"/>
    <col width="22" customWidth="1" min="5" max="5"/>
    <col width="18" customWidth="1" min="6" max="6"/>
  </cols>
  <sheetData>
    <row r="1" ht="20" customHeight="1">
      <c r="A1" s="21" t="inlineStr">
        <is>
          <t>مرجع سریع سناریوهای Changeover</t>
        </is>
      </c>
    </row>
    <row r="2" ht="18" customHeight="1">
      <c r="A2" s="22" t="inlineStr">
        <is>
          <t>این صفحه مرجع انتظار است؛ نتیجه واقعی فقط در «برنامه تست» ثبت شود. مقادیر از کد واقعی استخراج شده؛ مقدار حدسی وجود ندارد.</t>
        </is>
      </c>
    </row>
    <row r="3" ht="18" customHeight="1">
      <c r="A3" s="6" t="inlineStr">
        <is>
          <t>موضوع</t>
        </is>
      </c>
      <c r="B3" s="6" t="inlineStr">
        <is>
          <t>شرط / مقدار (از کد)</t>
        </is>
      </c>
      <c r="C3" s="6" t="inlineStr">
        <is>
          <t>رفتار مورد انتظار</t>
        </is>
      </c>
      <c r="D3" s="6" t="inlineStr">
        <is>
          <t>ثابت / محل کد</t>
        </is>
      </c>
      <c r="E3" s="6" t="inlineStr">
        <is>
          <t>توضیح تکمیلی</t>
        </is>
      </c>
      <c r="F3" s="6" t="inlineStr">
        <is>
          <t>وابستگی</t>
        </is>
      </c>
    </row>
    <row r="4" ht="14" customHeight="1">
      <c r="A4" s="15" t="inlineStr">
        <is>
          <t>Snapshot نامعتبر</t>
        </is>
      </c>
      <c r="B4" s="15" t="inlineStr">
        <is>
          <t>valid==false یا NULL</t>
        </is>
      </c>
      <c r="C4" s="15" t="inlineStr">
        <is>
          <t>state حفظ، PB11 حفظ، تایمر reset</t>
        </is>
      </c>
      <c r="D4" s="15" t="inlineStr">
        <is>
          <t>changeover.c:valid check</t>
        </is>
      </c>
      <c r="E4" s="15" t="inlineStr">
        <is>
          <t>زمان نامعتبر شمرده نشود</t>
        </is>
      </c>
      <c r="F4" s="15" t="inlineStr">
        <is>
          <t>CO-001,002,017</t>
        </is>
      </c>
    </row>
    <row r="5" ht="14" customHeight="1">
      <c r="A5" s="15" t="inlineStr">
        <is>
          <t>Fault</t>
        </is>
      </c>
      <c r="B5" s="15" t="inlineStr">
        <is>
          <t>fault_mask !=0</t>
        </is>
      </c>
      <c r="C5" s="15" t="inlineStr">
        <is>
          <t>state=FAULT، هیچ pin تغییر نکند</t>
        </is>
      </c>
      <c r="D5" s="15" t="inlineStr">
        <is>
          <t>FAULT_NONE</t>
        </is>
      </c>
      <c r="E5" s="15" t="inlineStr">
        <is>
          <t>بالاترین اولویت پس از valid</t>
        </is>
      </c>
      <c r="F5" s="15" t="inlineStr">
        <is>
          <t>CO-004,005,018</t>
        </is>
      </c>
    </row>
    <row r="6" ht="14" customHeight="1">
      <c r="A6" s="15" t="inlineStr">
        <is>
          <t>قطع با آلارم</t>
        </is>
      </c>
      <c r="B6" s="15" t="inlineStr">
        <is>
          <t>v&lt;21000 و فلگ true</t>
        </is>
      </c>
      <c r="C6" s="15" t="inlineStr">
        <is>
          <t>پس از 3000ms PB11 Low (قطع) → SAFE</t>
        </is>
      </c>
      <c r="D6" s="15" t="inlineStr">
        <is>
          <t>CHANGEOVER_BAT_LOW_ALARM_CUT_MV=21000</t>
        </is>
      </c>
      <c r="E6" s="15" t="inlineStr">
        <is>
          <t>پیوسته</t>
        </is>
      </c>
      <c r="F6" s="15" t="inlineStr">
        <is>
          <t>CO-008,010,012</t>
        </is>
      </c>
    </row>
    <row r="7" ht="14" customHeight="1">
      <c r="A7" s="15" t="inlineStr">
        <is>
          <t>قطع مستقل</t>
        </is>
      </c>
      <c r="B7" s="15" t="inlineStr">
        <is>
          <t>v&lt;20800 (بدون فلگ)</t>
        </is>
      </c>
      <c r="C7" s="15" t="inlineStr">
        <is>
          <t>پس از 3000ms PB11 Low</t>
        </is>
      </c>
      <c r="D7" s="15" t="inlineStr">
        <is>
          <t>CHANGEOVER_BAT_CRITICAL_CUT_MV=20800</t>
        </is>
      </c>
      <c r="E7" s="15" t="inlineStr">
        <is>
          <t>مستقل</t>
        </is>
      </c>
      <c r="F7" s="15" t="inlineStr">
        <is>
          <t>CO-009,011</t>
        </is>
      </c>
    </row>
    <row r="8" ht="14" customHeight="1">
      <c r="A8" s="15" t="inlineStr">
        <is>
          <t>فیلتر زمان</t>
        </is>
      </c>
      <c r="B8" s="15" t="inlineStr">
        <is>
          <t>هر شرط &lt;3000ms</t>
        </is>
      </c>
      <c r="C8" s="15" t="inlineStr">
        <is>
          <t>عدم قطع/وصل</t>
        </is>
      </c>
      <c r="D8" s="15" t="inlineStr">
        <is>
          <t>CHANGEOVER_DURATION_MS=3000</t>
        </is>
      </c>
      <c r="E8" s="15" t="inlineStr">
        <is>
          <t>از rtos_time</t>
        </is>
      </c>
      <c r="F8" s="15" t="inlineStr">
        <is>
          <t>CO-012,015</t>
        </is>
      </c>
    </row>
    <row r="9" ht="14" customHeight="1">
      <c r="A9" s="15" t="inlineStr">
        <is>
          <t>وصل مجدد</t>
        </is>
      </c>
      <c r="B9" s="15" t="inlineStr">
        <is>
          <t>input==true و v≥21200</t>
        </is>
      </c>
      <c r="C9" s="15" t="inlineStr">
        <is>
          <t>پس از 3000ms PB11 High → INPUT</t>
        </is>
      </c>
      <c r="D9" s="15" t="inlineStr">
        <is>
          <t>CHANGEOVER_BAT_RECONNECT_MV=21200</t>
        </is>
      </c>
      <c r="E9" s="15" t="inlineStr">
        <is>
          <t>هر دو پیوسته</t>
        </is>
      </c>
      <c r="F9" s="15" t="inlineStr">
        <is>
          <t>CO-013,014,016</t>
        </is>
      </c>
    </row>
    <row r="10" ht="14" customHeight="1">
      <c r="A10" s="15" t="inlineStr">
        <is>
          <t>پس از reconnect</t>
        </is>
      </c>
      <c r="B10" s="15" t="inlineStr">
        <is>
          <t>state=INPUT</t>
        </is>
      </c>
      <c r="C10" s="15" t="inlineStr">
        <is>
          <t>نه IDLE</t>
        </is>
      </c>
      <c r="D10" s="15" t="inlineStr">
        <is>
          <t>app_types.h</t>
        </is>
      </c>
      <c r="E10" s="15" t="inlineStr">
        <is>
          <t>IDLE ممنوع برای valid</t>
        </is>
      </c>
      <c r="F10" s="15" t="inlineStr">
        <is>
          <t>CO-016</t>
        </is>
      </c>
    </row>
    <row r="11" ht="14" customHeight="1">
      <c r="A11" s="15" t="inlineStr">
        <is>
          <t>PB11 حفظ</t>
        </is>
      </c>
      <c r="B11" s="15" t="inlineStr">
        <is>
          <t>invalid/fault</t>
        </is>
      </c>
      <c r="C11" s="15" t="inlineStr">
        <is>
          <t>بدون تغییر</t>
        </is>
      </c>
      <c r="D11" s="15" t="inlineStr">
        <is>
          <t>—</t>
        </is>
      </c>
      <c r="E11" s="15" t="inlineStr">
        <is>
          <t>snapshot-first</t>
        </is>
      </c>
      <c r="F11" s="15" t="inlineStr">
        <is>
          <t>CO-017,018</t>
        </is>
      </c>
    </row>
    <row r="12" ht="14" customHeight="1">
      <c r="A12" s="15" t="inlineStr">
        <is>
          <t>PB5/PB7</t>
        </is>
      </c>
      <c r="B12" s="15" t="inlineStr">
        <is>
          <t>هیچ‌گاه</t>
        </is>
      </c>
      <c r="C12" s="15" t="inlineStr">
        <is>
          <t>بدون تغییر</t>
        </is>
      </c>
      <c r="D12" s="15" t="inlineStr">
        <is>
          <t>bsp_gpio.h:Forbidden</t>
        </is>
      </c>
      <c r="E12" s="15" t="inlineStr">
        <is>
          <t>فقط PROTECT_BATTERY</t>
        </is>
      </c>
      <c r="F12" s="15" t="inlineStr">
        <is>
          <t>CO-019,020</t>
        </is>
      </c>
    </row>
    <row r="13" ht="14" customHeight="1">
      <c r="A13" s="15" t="inlineStr">
        <is>
          <t>زمان</t>
        </is>
      </c>
      <c r="B13" s="15" t="inlineStr">
        <is>
          <t>ticks→ms via rtos_time</t>
        </is>
      </c>
      <c r="C13" s="15" t="inlineStr">
        <is>
          <t>بدون فرض 1ms</t>
        </is>
      </c>
      <c r="D13" s="15" t="inlineStr">
        <is>
          <t>func__Rtos_MillisecondsToTicks</t>
        </is>
      </c>
      <c r="E13" s="15" t="inlineStr">
        <is>
          <t>قابل‌حمل</t>
        </is>
      </c>
      <c r="F13" s="15" t="inlineStr">
        <is>
          <t>CO-021</t>
        </is>
      </c>
    </row>
    <row r="14" ht="14" customHeight="1">
      <c r="A14" s="15" t="inlineStr">
        <is>
          <t>duration0</t>
        </is>
      </c>
      <c r="B14" s="15" t="inlineStr">
        <is>
          <t>Ticks==0</t>
        </is>
      </c>
      <c r="C14" s="15" t="inlineStr">
        <is>
          <t>بدون تصمیم، حفظ state/PB11</t>
        </is>
      </c>
      <c r="D14" s="15" t="inlineStr">
        <is>
          <t>changeover.c guard</t>
        </is>
      </c>
      <c r="E14" s="15" t="inlineStr">
        <is>
          <t>frequency 0</t>
        </is>
      </c>
      <c r="F14" s="15" t="inlineStr">
        <is>
          <t>CO-022</t>
        </is>
      </c>
    </row>
    <row r="15" ht="14" customHeight="1">
      <c r="A15" s="15" t="inlineStr">
        <is>
          <t>منبع داده</t>
        </is>
      </c>
      <c r="B15" s="15" t="inlineStr">
        <is>
          <t>فقط 5 ورودی مجاز</t>
        </is>
      </c>
      <c r="C15" s="15" t="inlineStr">
        <is>
          <t>عدم استفاده از v_in/v_bat12 و ...</t>
        </is>
      </c>
      <c r="D15" s="15" t="inlineStr">
        <is>
          <t>app_types.h</t>
        </is>
      </c>
      <c r="E15" s="15" t="inlineStr">
        <is>
          <t>محدودیت</t>
        </is>
      </c>
      <c r="F15" s="15" t="inlineStr">
        <is>
          <t>CO-020</t>
        </is>
      </c>
    </row>
  </sheetData>
  <mergeCells count="2">
    <mergeCell ref="A2:F2"/>
    <mergeCell ref="A1:F1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9" customWidth="1" min="4" max="4"/>
    <col width="20" customWidth="1" min="5" max="5"/>
    <col width="20" customWidth="1" min="6" max="6"/>
    <col width="14" customWidth="1" min="7" max="7"/>
    <col width="14" customWidth="1" min="8" max="8"/>
    <col width="18" customWidth="1" min="9" max="9"/>
    <col width="12" customWidth="1" min="10" max="10"/>
    <col width="14" customWidth="1" min="11" max="11"/>
    <col width="11" customWidth="1" min="12" max="12"/>
    <col width="18" customWidth="1" min="13" max="13"/>
  </cols>
  <sheetData>
    <row r="1" ht="20" customHeight="1">
      <c r="A1" s="21" t="inlineStr">
        <is>
          <t>ثبت ایرادهای مشاهده‌شده روی برد</t>
        </is>
      </c>
    </row>
    <row r="2">
      <c r="A2" s="22" t="inlineStr">
        <is>
          <t>برای هر وضعیت «رد» یا تفاوت مهم، یک ردیف با شناسه یکتا ثبت کن؛ پس از رفع، تست مربوطه را تکرار و در «برنامه تست» وضعیت را به‌روز کن.</t>
        </is>
      </c>
    </row>
    <row r="3" ht="22" customHeight="1">
      <c r="A3" s="6" t="inlineStr">
        <is>
          <t>شماره ایراد</t>
        </is>
      </c>
      <c r="B3" s="6" t="inlineStr">
        <is>
          <t>شناسه تست</t>
        </is>
      </c>
      <c r="C3" s="6" t="inlineStr">
        <is>
          <t>تاریخ کشف</t>
        </is>
      </c>
      <c r="D3" s="6" t="inlineStr">
        <is>
          <t>شدت</t>
        </is>
      </c>
      <c r="E3" s="6" t="inlineStr">
        <is>
          <t>شرح کوتاه ایراد</t>
        </is>
      </c>
      <c r="F3" s="6" t="inlineStr">
        <is>
          <t>مراحل بازتولید</t>
        </is>
      </c>
      <c r="G3" s="6" t="inlineStr">
        <is>
          <t>انتظار</t>
        </is>
      </c>
      <c r="H3" s="6" t="inlineStr">
        <is>
          <t>واقعیت</t>
        </is>
      </c>
      <c r="I3" s="6" t="inlineStr">
        <is>
          <t>مدرک / مسیر عکس یا scope</t>
        </is>
      </c>
      <c r="J3" s="6" t="inlineStr">
        <is>
          <t>commit firmware</t>
        </is>
      </c>
      <c r="K3" s="6" t="inlineStr">
        <is>
          <t>محل احتمالی</t>
        </is>
      </c>
      <c r="L3" s="6" t="inlineStr">
        <is>
          <t>وضعیت ایراد</t>
        </is>
      </c>
      <c r="M3" s="6" t="inlineStr">
        <is>
          <t>تأیید رفع / توضیحات</t>
        </is>
      </c>
    </row>
    <row r="4" ht="14" customHeight="1">
      <c r="A4" s="23" t="inlineStr"/>
      <c r="B4" s="23" t="inlineStr"/>
      <c r="C4" s="23" t="inlineStr"/>
      <c r="D4" s="23" t="inlineStr"/>
      <c r="E4" s="23" t="inlineStr"/>
      <c r="F4" s="23" t="inlineStr"/>
      <c r="G4" s="23" t="inlineStr"/>
      <c r="H4" s="23" t="inlineStr"/>
      <c r="I4" s="23" t="inlineStr"/>
      <c r="J4" s="23" t="inlineStr"/>
      <c r="K4" s="23" t="inlineStr"/>
      <c r="L4" s="23" t="inlineStr"/>
      <c r="M4" s="23" t="inlineStr"/>
    </row>
    <row r="5" ht="14" customHeight="1">
      <c r="A5" s="24" t="inlineStr"/>
      <c r="B5" s="24" t="inlineStr"/>
      <c r="C5" s="24" t="inlineStr"/>
      <c r="D5" s="24" t="inlineStr"/>
      <c r="E5" s="24" t="inlineStr"/>
      <c r="F5" s="24" t="inlineStr"/>
      <c r="G5" s="24" t="inlineStr"/>
      <c r="H5" s="24" t="inlineStr"/>
      <c r="I5" s="24" t="inlineStr"/>
      <c r="J5" s="24" t="inlineStr"/>
      <c r="K5" s="24" t="inlineStr"/>
      <c r="L5" s="24" t="inlineStr"/>
      <c r="M5" s="24" t="inlineStr"/>
    </row>
    <row r="6" ht="14" customHeight="1">
      <c r="A6" s="23" t="inlineStr"/>
      <c r="B6" s="23" t="inlineStr"/>
      <c r="C6" s="23" t="inlineStr"/>
      <c r="D6" s="23" t="inlineStr"/>
      <c r="E6" s="23" t="inlineStr"/>
      <c r="F6" s="23" t="inlineStr"/>
      <c r="G6" s="23" t="inlineStr"/>
      <c r="H6" s="23" t="inlineStr"/>
      <c r="I6" s="23" t="inlineStr"/>
      <c r="J6" s="23" t="inlineStr"/>
      <c r="K6" s="23" t="inlineStr"/>
      <c r="L6" s="23" t="inlineStr"/>
      <c r="M6" s="23" t="inlineStr"/>
    </row>
    <row r="7" ht="14" customHeight="1">
      <c r="A7" s="24" t="inlineStr"/>
      <c r="B7" s="24" t="inlineStr"/>
      <c r="C7" s="24" t="inlineStr"/>
      <c r="D7" s="24" t="inlineStr"/>
      <c r="E7" s="24" t="inlineStr"/>
      <c r="F7" s="24" t="inlineStr"/>
      <c r="G7" s="24" t="inlineStr"/>
      <c r="H7" s="24" t="inlineStr"/>
      <c r="I7" s="24" t="inlineStr"/>
      <c r="J7" s="24" t="inlineStr"/>
      <c r="K7" s="24" t="inlineStr"/>
      <c r="L7" s="24" t="inlineStr"/>
      <c r="M7" s="24" t="inlineStr"/>
    </row>
    <row r="8" ht="14" customHeight="1">
      <c r="A8" s="23" t="inlineStr"/>
      <c r="B8" s="23" t="inlineStr"/>
      <c r="C8" s="23" t="inlineStr"/>
      <c r="D8" s="23" t="inlineStr"/>
      <c r="E8" s="23" t="inlineStr"/>
      <c r="F8" s="23" t="inlineStr"/>
      <c r="G8" s="23" t="inlineStr"/>
      <c r="H8" s="23" t="inlineStr"/>
      <c r="I8" s="23" t="inlineStr"/>
      <c r="J8" s="23" t="inlineStr"/>
      <c r="K8" s="23" t="inlineStr"/>
      <c r="L8" s="23" t="inlineStr"/>
      <c r="M8" s="23" t="inlineStr"/>
    </row>
    <row r="9" ht="14" customHeight="1">
      <c r="A9" s="24" t="inlineStr"/>
      <c r="B9" s="24" t="inlineStr"/>
      <c r="C9" s="24" t="inlineStr"/>
      <c r="D9" s="24" t="inlineStr"/>
      <c r="E9" s="24" t="inlineStr"/>
      <c r="F9" s="24" t="inlineStr"/>
      <c r="G9" s="24" t="inlineStr"/>
      <c r="H9" s="24" t="inlineStr"/>
      <c r="I9" s="24" t="inlineStr"/>
      <c r="J9" s="24" t="inlineStr"/>
      <c r="K9" s="24" t="inlineStr"/>
      <c r="L9" s="24" t="inlineStr"/>
      <c r="M9" s="24" t="inlineStr"/>
    </row>
    <row r="10" ht="14" customHeight="1">
      <c r="A10" s="23" t="inlineStr"/>
      <c r="B10" s="23" t="inlineStr"/>
      <c r="C10" s="23" t="inlineStr"/>
      <c r="D10" s="23" t="inlineStr"/>
      <c r="E10" s="23" t="inlineStr"/>
      <c r="F10" s="23" t="inlineStr"/>
      <c r="G10" s="23" t="inlineStr"/>
      <c r="H10" s="23" t="inlineStr"/>
      <c r="I10" s="23" t="inlineStr"/>
      <c r="J10" s="23" t="inlineStr"/>
      <c r="K10" s="23" t="inlineStr"/>
      <c r="L10" s="23" t="inlineStr"/>
      <c r="M10" s="23" t="inlineStr"/>
    </row>
    <row r="11" ht="14" customHeight="1">
      <c r="A11" s="24" t="inlineStr"/>
      <c r="B11" s="24" t="inlineStr"/>
      <c r="C11" s="24" t="inlineStr"/>
      <c r="D11" s="24" t="inlineStr"/>
      <c r="E11" s="24" t="inlineStr"/>
      <c r="F11" s="24" t="inlineStr"/>
      <c r="G11" s="24" t="inlineStr"/>
      <c r="H11" s="24" t="inlineStr"/>
      <c r="I11" s="24" t="inlineStr"/>
      <c r="J11" s="24" t="inlineStr"/>
      <c r="K11" s="24" t="inlineStr"/>
      <c r="L11" s="24" t="inlineStr"/>
      <c r="M11" s="24" t="inlineStr"/>
    </row>
    <row r="12" ht="14" customHeight="1">
      <c r="A12" s="23" t="inlineStr"/>
      <c r="B12" s="23" t="inlineStr"/>
      <c r="C12" s="23" t="inlineStr"/>
      <c r="D12" s="23" t="inlineStr"/>
      <c r="E12" s="23" t="inlineStr"/>
      <c r="F12" s="23" t="inlineStr"/>
      <c r="G12" s="23" t="inlineStr"/>
      <c r="H12" s="23" t="inlineStr"/>
      <c r="I12" s="23" t="inlineStr"/>
      <c r="J12" s="23" t="inlineStr"/>
      <c r="K12" s="23" t="inlineStr"/>
      <c r="L12" s="23" t="inlineStr"/>
      <c r="M12" s="23" t="inlineStr"/>
    </row>
    <row r="13" ht="14" customHeight="1">
      <c r="A13" s="24" t="inlineStr"/>
      <c r="B13" s="24" t="inlineStr"/>
      <c r="C13" s="24" t="inlineStr"/>
      <c r="D13" s="24" t="inlineStr"/>
      <c r="E13" s="24" t="inlineStr"/>
      <c r="F13" s="24" t="inlineStr"/>
      <c r="G13" s="24" t="inlineStr"/>
      <c r="H13" s="24" t="inlineStr"/>
      <c r="I13" s="24" t="inlineStr"/>
      <c r="J13" s="24" t="inlineStr"/>
      <c r="K13" s="24" t="inlineStr"/>
      <c r="L13" s="24" t="inlineStr"/>
      <c r="M13" s="24" t="inlineStr"/>
    </row>
  </sheetData>
  <mergeCells count="2">
    <mergeCell ref="A2:M2"/>
    <mergeCell ref="A1:M1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</cols>
  <sheetData>
    <row r="1" ht="22" customHeight="1">
      <c r="A1" s="12" t="inlineStr">
        <is>
          <t>تأیید نهایی اعتبارسنجی روی برد — Changeover — PB11</t>
        </is>
      </c>
    </row>
    <row r="2" ht="18" customHeight="1">
      <c r="A2" s="25" t="inlineStr">
        <is>
          <t>این صفحه فقط پس از تکمیل تست‌ها و بستن ایرادهای باز امضا شود. بدون تکمیل این صفحه، اعتبارسنجی ناقص است.</t>
        </is>
      </c>
    </row>
    <row r="3">
      <c r="A3" s="5" t="inlineStr">
        <is>
          <t>مشخصات تست</t>
        </is>
      </c>
    </row>
    <row r="4" ht="14" customHeight="1">
      <c r="A4" s="26" t="inlineStr">
        <is>
          <t>پروژه</t>
        </is>
      </c>
      <c r="B4" s="10" t="inlineStr">
        <is>
          <t>ChangeOver</t>
        </is>
      </c>
      <c r="C4" s="26" t="inlineStr">
        <is>
          <t>ماژول</t>
        </is>
      </c>
      <c r="D4" s="10" t="inlineStr">
        <is>
          <t>Changeover — PB11</t>
        </is>
      </c>
      <c r="E4" s="11" t="n"/>
      <c r="F4" s="9" t="n"/>
    </row>
    <row r="5" ht="14" customHeight="1">
      <c r="A5" s="26" t="inlineStr">
        <is>
          <t>تاریخ ساخت فرم</t>
        </is>
      </c>
      <c r="B5" s="10" t="inlineStr">
        <is>
          <t>2026-09-16 (2.1 — فیلتر 3000ms)</t>
        </is>
      </c>
      <c r="C5" s="26" t="inlineStr">
        <is>
          <t>نسخه فرم</t>
        </is>
      </c>
      <c r="D5" s="10" t="inlineStr">
        <is>
          <t>2.1 — فیلتر 3000ms</t>
        </is>
      </c>
      <c r="E5" s="11" t="n"/>
      <c r="F5" s="9" t="n"/>
    </row>
    <row r="6" ht="14" customHeight="1">
      <c r="A6" s="26" t="inlineStr">
        <is>
          <t>commit firmware</t>
        </is>
      </c>
      <c r="B6" s="10" t="inlineStr">
        <is>
          <t>TESTER: fill flashed firmware commit</t>
        </is>
      </c>
      <c r="C6" s="26" t="inlineStr">
        <is>
          <t>شناسه برد</t>
        </is>
      </c>
      <c r="D6" s="27" t="inlineStr"/>
      <c r="E6" s="11" t="n"/>
      <c r="F6" s="9" t="n"/>
    </row>
    <row r="7" ht="14" customHeight="1">
      <c r="A7" s="26" t="inlineStr">
        <is>
          <t>تست‌کننده اصلی</t>
        </is>
      </c>
      <c r="B7" s="27" t="inlineStr"/>
      <c r="C7" s="26" t="inlineStr">
        <is>
          <t>تاریخ شروع</t>
        </is>
      </c>
      <c r="D7" s="27" t="inlineStr"/>
      <c r="E7" s="11" t="n"/>
      <c r="F7" s="9" t="n"/>
    </row>
    <row r="8" ht="14" customHeight="1">
      <c r="A8" s="26" t="inlineStr">
        <is>
          <t>تاریخ پایان</t>
        </is>
      </c>
      <c r="B8" s="27" t="inlineStr"/>
      <c r="C8" s="26" t="inlineStr">
        <is>
          <t>ابزار اندازه‌گیری</t>
        </is>
      </c>
      <c r="D8" s="10" t="inlineStr">
        <is>
          <t>منبع آزمایشگاهی + DMM + اسیلوسکوپ + تایمر RTOS</t>
        </is>
      </c>
      <c r="E8" s="11" t="n"/>
      <c r="F8" s="9" t="n"/>
    </row>
    <row r="9" ht="14" customHeight="1">
      <c r="A9" s="26" t="inlineStr">
        <is>
          <t>فرکانس تیک</t>
        </is>
      </c>
      <c r="B9" s="10" t="inlineStr">
        <is>
          <t>از osKernelGetTickFreq (قابل‌حمل)</t>
        </is>
      </c>
      <c r="C9" s="26" t="inlineStr"/>
      <c r="D9" s="27" t="inlineStr"/>
      <c r="E9" s="11" t="n"/>
      <c r="F9" s="9" t="n"/>
    </row>
    <row r="10" ht="14" customHeight="1">
      <c r="A10" s="26" t="inlineStr">
        <is>
          <t>فرکانس تیک</t>
        </is>
      </c>
      <c r="B10" s="10" t="inlineStr">
        <is>
          <t>از osKernelGetTickFreq (قابل‌حمل)</t>
        </is>
      </c>
      <c r="C10" s="26" t="inlineStr"/>
      <c r="D10" s="27" t="inlineStr"/>
      <c r="E10" s="11" t="n"/>
      <c r="F10" s="11" t="n"/>
    </row>
    <row r="11" ht="14" customHeight="1">
      <c r="A11" s="26" t="inlineStr">
        <is>
          <t>آستانه‌ها</t>
        </is>
      </c>
      <c r="B11" s="10" t="inlineStr">
        <is>
          <t>21000/20800/21200</t>
        </is>
      </c>
      <c r="C11" s="26" t="inlineStr"/>
      <c r="D11" s="27" t="inlineStr"/>
      <c r="E11" s="11" t="n"/>
      <c r="F11" s="11" t="n"/>
    </row>
    <row r="12" ht="14" customHeight="1">
      <c r="A12" s="26" t="inlineStr">
        <is>
          <t>فیلتر</t>
        </is>
      </c>
      <c r="B12" s="10" t="inlineStr">
        <is>
          <t>3000ms</t>
        </is>
      </c>
      <c r="C12" s="26" t="inlineStr"/>
      <c r="D12" s="27" t="inlineStr"/>
      <c r="E12" s="11" t="n"/>
      <c r="F12" s="11" t="n"/>
    </row>
    <row r="13" ht="14" customHeight="1">
      <c r="A13" s="26" t="inlineStr">
        <is>
          <t>مجاز pin</t>
        </is>
      </c>
      <c r="B13" s="10" t="inlineStr">
        <is>
          <t>فقط BSP_GPIO_PROTECT_BATTERY</t>
        </is>
      </c>
      <c r="C13" s="26" t="inlineStr"/>
      <c r="D13" s="27" t="inlineStr"/>
      <c r="E13" s="11" t="n"/>
      <c r="F13" s="11" t="n"/>
    </row>
    <row r="14" ht="14" customHeight="1">
      <c r="A14" s="26" t="inlineStr">
        <is>
          <t>ممنوع</t>
        </is>
      </c>
      <c r="B14" s="10" t="inlineStr">
        <is>
          <t>PB5/PB7/HAL/board_pins</t>
        </is>
      </c>
      <c r="C14" s="26" t="inlineStr"/>
      <c r="D14" s="27" t="inlineStr"/>
      <c r="E14" s="11" t="n"/>
      <c r="F14" s="11" t="n"/>
    </row>
    <row r="15">
      <c r="A15" s="5" t="inlineStr">
        <is>
          <t>خلاصه خودکار وضعیت تست‌ها (پس از تست برد پر شود)</t>
        </is>
      </c>
    </row>
    <row r="16">
      <c r="A16" s="6" t="inlineStr">
        <is>
          <t>شاخص</t>
        </is>
      </c>
      <c r="B16" s="6" t="inlineStr">
        <is>
          <t>مقدار</t>
        </is>
      </c>
      <c r="C16" s="6" t="inlineStr">
        <is>
          <t>توضیح</t>
        </is>
      </c>
      <c r="D16" s="6" t="inlineStr">
        <is>
          <t>فرمول پیشنهادی</t>
        </is>
      </c>
      <c r="E16" s="8" t="n"/>
      <c r="F16" s="9" t="n"/>
    </row>
    <row r="17" ht="13" customHeight="1">
      <c r="A17" s="10" t="inlineStr">
        <is>
          <t>تعداد کل تست‌ها</t>
        </is>
      </c>
      <c r="B17" s="28">
        <f>COUNTA('برنامه تست'!A5:A200)</f>
        <v/>
      </c>
      <c r="C17" s="10" t="inlineStr">
        <is>
          <t>کل ردیف‌های برنامه تست</t>
        </is>
      </c>
      <c r="D17" s="10" t="inlineStr"/>
      <c r="E17" s="8" t="n"/>
      <c r="F17" s="9" t="n"/>
    </row>
    <row r="18" ht="13" customHeight="1">
      <c r="A18" s="10" t="inlineStr">
        <is>
          <t>تعداد قبول (PASS)</t>
        </is>
      </c>
      <c r="B18" s="28">
        <f>COUNTIF('برنامه تست'!K5:K200,"قبول")</f>
        <v/>
      </c>
      <c r="C18" s="10" t="inlineStr">
        <is>
          <t>تعداد ردیف با وضعیت = قبول</t>
        </is>
      </c>
      <c r="D18" s="10" t="inlineStr">
        <is>
          <t>COUNTIF('برنامه تست'!K5:K200,"قبول")</t>
        </is>
      </c>
      <c r="E18" s="8" t="n"/>
      <c r="F18" s="9" t="n"/>
    </row>
    <row r="19" ht="13" customHeight="1">
      <c r="A19" s="10" t="inlineStr">
        <is>
          <t>تعداد رد (FAIL)</t>
        </is>
      </c>
      <c r="B19" s="28">
        <f>COUNTIF('برنامه تست'!K5:K200,"رد")</f>
        <v/>
      </c>
      <c r="C19" s="10" t="inlineStr">
        <is>
          <t>تعداد ردیف با وضعیت = رد</t>
        </is>
      </c>
      <c r="D19" s="10" t="inlineStr">
        <is>
          <t>COUNTIF('برنامه تست'!K5:K200,"رد")</t>
        </is>
      </c>
      <c r="E19" s="8" t="n"/>
      <c r="F19" s="9" t="n"/>
    </row>
    <row r="20" ht="13" customHeight="1">
      <c r="A20" s="10" t="inlineStr">
        <is>
          <t>تعداد در انتظار</t>
        </is>
      </c>
      <c r="B20" s="28">
        <f>COUNTIF('برنامه تست'!K5:K200,"در انتظار")</f>
        <v/>
      </c>
      <c r="C20" s="10" t="inlineStr">
        <is>
          <t>تعداد ردیف با وضعیت = در انتظار</t>
        </is>
      </c>
      <c r="D20" s="10" t="inlineStr">
        <is>
          <t>COUNTIF('برنامه تست'!K5:K200,"در انتظار")</t>
        </is>
      </c>
      <c r="E20" s="8" t="n"/>
      <c r="F20" s="9" t="n"/>
    </row>
    <row r="21" ht="13" customHeight="1">
      <c r="A21" s="10" t="inlineStr">
        <is>
          <t>تعداد مسدود</t>
        </is>
      </c>
      <c r="B21" s="28">
        <f>COUNTIF('برنامه تست'!K5:K200,"مسدود")</f>
        <v/>
      </c>
      <c r="C21" s="10" t="inlineStr">
        <is>
          <t>تعداد ردیف با وضعیت = مسدود</t>
        </is>
      </c>
      <c r="D21" s="10" t="inlineStr"/>
      <c r="E21" s="8" t="n"/>
      <c r="F21" s="9" t="n"/>
    </row>
    <row r="22" ht="13" customHeight="1">
      <c r="A22" s="10" t="inlineStr">
        <is>
          <t>نرخ قبولی</t>
        </is>
      </c>
      <c r="B22" s="28">
        <f>IF(B17=0,"",TEXT(B18/B17,"0%"))</f>
        <v/>
      </c>
      <c r="C22" s="10" t="inlineStr">
        <is>
          <t>PASS / TOTAL</t>
        </is>
      </c>
      <c r="D22" s="10" t="inlineStr"/>
      <c r="E22" s="8" t="n"/>
      <c r="F22" s="9" t="n"/>
    </row>
    <row r="23">
      <c r="A23" s="5" t="inlineStr">
        <is>
          <t>امضاها</t>
        </is>
      </c>
    </row>
    <row r="24" ht="18" customHeight="1">
      <c r="A24" s="6" t="inlineStr">
        <is>
          <t>نقش</t>
        </is>
      </c>
      <c r="B24" s="6" t="inlineStr">
        <is>
          <t>نام و نام خانوادگی</t>
        </is>
      </c>
      <c r="C24" s="6" t="inlineStr">
        <is>
          <t>تاریخ</t>
        </is>
      </c>
      <c r="D24" s="6" t="inlineStr">
        <is>
          <t>امضا</t>
        </is>
      </c>
      <c r="E24" s="6" t="inlineStr">
        <is>
          <t>توضیحات</t>
        </is>
      </c>
      <c r="F24" s="9" t="n"/>
    </row>
    <row r="25" ht="22" customHeight="1">
      <c r="A25" s="10" t="inlineStr">
        <is>
          <t>تست‌کننده</t>
        </is>
      </c>
      <c r="B25" s="10" t="inlineStr"/>
      <c r="C25" s="10" t="inlineStr"/>
      <c r="D25" s="10" t="inlineStr"/>
      <c r="E25" s="10" t="inlineStr"/>
      <c r="F25" s="9" t="n"/>
    </row>
    <row r="26" ht="22" customHeight="1">
      <c r="A26" s="10" t="inlineStr">
        <is>
          <t>بازبین فنی</t>
        </is>
      </c>
      <c r="B26" s="10" t="inlineStr"/>
      <c r="C26" s="10" t="inlineStr"/>
      <c r="D26" s="10" t="inlineStr"/>
      <c r="E26" s="10" t="inlineStr"/>
      <c r="F26" s="9" t="n"/>
    </row>
    <row r="27" ht="22" customHeight="1">
      <c r="A27" s="10" t="inlineStr">
        <is>
          <t>تأیید نهایی</t>
        </is>
      </c>
      <c r="B27" s="10" t="inlineStr"/>
      <c r="C27" s="10" t="inlineStr"/>
      <c r="D27" s="10" t="inlineStr"/>
      <c r="E27" s="10" t="inlineStr"/>
      <c r="F27" s="9" t="n"/>
    </row>
    <row r="28">
      <c r="A28" s="25" t="inlineStr">
        <is>
          <t>یادداشت: بدون ثبت commit، شناسه برد، نام تست‌کننده، تاریخ و ابزار اندازه‌گیری، این فرم ناقص است. برای هر ردیف «رد»، یک ردیف در «ثبت ایراد» الزامی است.</t>
        </is>
      </c>
    </row>
  </sheetData>
  <mergeCells count="23">
    <mergeCell ref="E24:F24"/>
    <mergeCell ref="E5:F5"/>
    <mergeCell ref="D17:F17"/>
    <mergeCell ref="A3:F3"/>
    <mergeCell ref="D16:F16"/>
    <mergeCell ref="E8:F8"/>
    <mergeCell ref="A2:F2"/>
    <mergeCell ref="E4:F4"/>
    <mergeCell ref="A23:F23"/>
    <mergeCell ref="D18:F18"/>
    <mergeCell ref="E9:F9"/>
    <mergeCell ref="E6:F6"/>
    <mergeCell ref="A28:F28"/>
    <mergeCell ref="E27:F27"/>
    <mergeCell ref="E26:F26"/>
    <mergeCell ref="D20:F20"/>
    <mergeCell ref="A15:F15"/>
    <mergeCell ref="D19:F19"/>
    <mergeCell ref="E7:F7"/>
    <mergeCell ref="E25:F25"/>
    <mergeCell ref="A1:F1"/>
    <mergeCell ref="D22:F22"/>
    <mergeCell ref="D21:F21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14" customHeight="1">
      <c r="A1" s="29" t="inlineStr">
        <is>
          <t>وضعیت</t>
        </is>
      </c>
    </row>
    <row r="2">
      <c r="A2" s="30" t="inlineStr">
        <is>
          <t>در انتظار</t>
        </is>
      </c>
    </row>
    <row r="3">
      <c r="A3" s="30" t="inlineStr">
        <is>
          <t>قبول</t>
        </is>
      </c>
    </row>
    <row r="4">
      <c r="A4" s="30" t="inlineStr">
        <is>
          <t>رد</t>
        </is>
      </c>
    </row>
    <row r="5">
      <c r="A5" s="30" t="inlineStr">
        <is>
          <t>مسدود</t>
        </is>
      </c>
    </row>
    <row r="6">
      <c r="A6" s="30" t="inlineStr">
        <is>
          <t>نیاز به تکرار</t>
        </is>
      </c>
    </row>
    <row r="8" ht="14" customHeight="1">
      <c r="A8" s="29" t="inlineStr">
        <is>
          <t>اولویت</t>
        </is>
      </c>
    </row>
    <row r="9">
      <c r="A9" s="30" t="inlineStr">
        <is>
          <t>بالا</t>
        </is>
      </c>
    </row>
    <row r="10">
      <c r="A10" s="30" t="inlineStr">
        <is>
          <t>متوسط</t>
        </is>
      </c>
    </row>
    <row r="11">
      <c r="A11" s="30" t="inlineStr">
        <is>
          <t>پایین</t>
        </is>
      </c>
    </row>
    <row r="12">
      <c r="A12" s="30" t="inlineStr">
        <is>
          <t>بحرانی</t>
        </is>
      </c>
    </row>
    <row r="14" ht="14" customHeight="1">
      <c r="A14" s="29" t="inlineStr">
        <is>
          <t>دسته</t>
        </is>
      </c>
    </row>
    <row r="15">
      <c r="A15" s="30" t="inlineStr">
        <is>
          <t>BoardTest</t>
        </is>
      </c>
    </row>
    <row r="16">
      <c r="A16" s="30" t="inlineStr">
        <is>
          <t>InputOk</t>
        </is>
      </c>
    </row>
    <row r="17">
      <c r="A17" s="30" t="inlineStr">
        <is>
          <t>Charging</t>
        </is>
      </c>
    </row>
    <row r="18">
      <c r="A18" s="30" t="inlineStr">
        <is>
          <t>BatteryRun</t>
        </is>
      </c>
    </row>
    <row r="19">
      <c r="A19" s="30" t="inlineStr">
        <is>
          <t>هیسترزیس</t>
        </is>
      </c>
    </row>
    <row r="20">
      <c r="A20" s="30" t="inlineStr">
        <is>
          <t>InputOverVoltage</t>
        </is>
      </c>
    </row>
    <row r="21">
      <c r="A21" s="30" t="inlineStr">
        <is>
          <t>Snapshot</t>
        </is>
      </c>
    </row>
    <row r="22">
      <c r="A22" s="30" t="inlineStr">
        <is>
          <t>Buzzer</t>
        </is>
      </c>
    </row>
    <row r="23">
      <c r="A23" s="30" t="inlineStr">
        <is>
          <t>Measurement</t>
        </is>
      </c>
    </row>
    <row r="24">
      <c r="A24" s="30" t="inlineStr">
        <is>
          <t>Changeover</t>
        </is>
      </c>
    </row>
    <row r="26" ht="14" customHeight="1">
      <c r="A26" s="29" t="inlineStr">
        <is>
          <t>نتیجه ایراد</t>
        </is>
      </c>
    </row>
    <row r="27">
      <c r="A27" s="30" t="inlineStr">
        <is>
          <t>باز</t>
        </is>
      </c>
    </row>
    <row r="28">
      <c r="A28" s="30" t="inlineStr">
        <is>
          <t>در حال بررسی</t>
        </is>
      </c>
    </row>
    <row r="29">
      <c r="A29" s="30" t="inlineStr">
        <is>
          <t>رفع شد</t>
        </is>
      </c>
    </row>
    <row r="30">
      <c r="A30" s="30" t="inlineStr">
        <is>
          <t>بسته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F5597"/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 ht="30" customHeight="1">
      <c r="A1" s="31" t="inlineStr">
        <is>
          <t>ماشین حالت ماژول تغییر مسیر (Changeover)</t>
        </is>
      </c>
    </row>
    <row r="3" ht="24" customHeight="1">
      <c r="A3" s="32" t="inlineStr">
        <is>
          <t>حالت‌ها و گذارهای همین ماژول</t>
        </is>
      </c>
      <c r="B3" s="33" t="inlineStr">
        <is>
          <t>Changeover_State_Machine.xlsx</t>
        </is>
      </c>
    </row>
    <row r="4" ht="24" customHeight="1">
      <c r="A4" s="32" t="inlineStr">
        <is>
          <t>ماشین حالت کل برنامه (نمای سیستمی)</t>
        </is>
      </c>
      <c r="B4" s="33" t="inlineStr">
        <is>
          <t>../../../Documentation/System_State_Machine.xlsx</t>
        </is>
      </c>
    </row>
    <row r="5" ht="24" customHeight="1">
      <c r="A5" s="32" t="inlineStr">
        <is>
          <t>راهنمای رنگ‌ها</t>
        </is>
      </c>
      <c r="B5" s="34" t="inlineStr">
        <is>
          <t>سبز = عادی/سالم · زرد = هشدار یا انتظار · قرمز = خطا یا قفل · نارنجی = در حال کار · خاکستری = بی‌کار · آبی = اطلاعاتی</t>
        </is>
      </c>
    </row>
    <row r="6" ht="24" customHeight="1">
      <c r="A6" s="32" t="inlineStr">
        <is>
          <t>بازتولید</t>
        </is>
      </c>
      <c r="B6" s="34" t="inlineStr">
        <is>
          <t>python3 tools/make_module_state_machines.py</t>
        </is>
      </c>
    </row>
  </sheetData>
  <mergeCells count="1">
    <mergeCell ref="A1:C1"/>
  </mergeCells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2026-09-16T16:35:39Z</dcterms:created>
  <dcterms:modified xsi:type="dcterms:W3CDTF">2026-10-12T19:44:42Z</dcterms:modified>
</cp:coreProperties>
</file>