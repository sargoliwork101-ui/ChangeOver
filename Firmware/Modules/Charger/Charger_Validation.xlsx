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3">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3">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10" borderId="2" applyAlignment="1" pivotButton="0" quotePrefix="0" xfId="0">
      <alignment horizontal="center" vertical="center" wrapText="1"/>
    </xf>
    <xf numFmtId="0" fontId="7" fillId="11" borderId="2" applyAlignment="1" pivotButton="0" quotePrefix="0" xfId="0">
      <alignment horizontal="right" vertical="center" wrapText="1"/>
    </xf>
    <xf numFmtId="0" fontId="25" fillId="11" borderId="2" applyAlignment="1" pivotButton="0" quotePrefix="0" xfId="0">
      <alignment horizontal="center" vertical="center" wrapText="1"/>
    </xf>
    <xf numFmtId="0" fontId="7" fillId="11" borderId="2" applyAlignment="1" pivotButton="0" quotePrefix="0" xfId="0">
      <alignment horizontal="center" vertical="center" wrapText="1"/>
    </xf>
    <xf numFmtId="164" fontId="7" fillId="11" borderId="2" applyAlignment="1" pivotButton="0" quotePrefix="0" xfId="0">
      <alignment horizontal="center" vertical="center" wrapText="1"/>
    </xf>
    <xf numFmtId="0" fontId="6" fillId="11" borderId="2" applyAlignment="1" pivotButton="0" quotePrefix="0" xfId="0">
      <alignment horizontal="right" vertical="center" wrapText="1"/>
    </xf>
    <xf numFmtId="0" fontId="4" fillId="4" borderId="0" pivotButton="0" quotePrefix="0" xfId="0"/>
    <xf numFmtId="0" fontId="6" fillId="11"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xf numFmtId="0" fontId="21" fillId="10"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2" borderId="2" applyAlignment="1" pivotButton="0" quotePrefix="0" xfId="0">
      <alignment horizontal="center" vertical="center"/>
    </xf>
    <xf numFmtId="0" fontId="29" fillId="0" borderId="2" applyAlignment="1" pivotButton="0" quotePrefix="0" xfId="0">
      <alignment horizontal="right" vertical="center" wrapText="1"/>
    </xf>
    <xf numFmtId="0" fontId="31"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 /></Relationships>
</file>

<file path=xl/worksheets/_rels/sheet5.xml.rels><Relationships xmlns="http://schemas.openxmlformats.org/package/2006/relationships"><Relationship Type="http://schemas.openxmlformats.org/officeDocument/2006/relationships/hyperlink" Target="charger.h" TargetMode="External" Id="rId1" /></Relationships>
</file>

<file path=xl/worksheets/_rels/sheet9.xml.rels><Relationships xmlns="http://schemas.openxmlformats.org/package/2006/relationships"><Relationship Type="http://schemas.openxmlformats.org/officeDocument/2006/relationships/hyperlink" Target="Charg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5" t="inlineStr">
        <is>
          <t>برگه تست و اعتبارسنجی عملی ماژول Charger</t>
        </is>
      </c>
    </row>
    <row r="2">
      <c r="A2" s="50" t="inlineStr">
        <is>
          <t>Charger | دو شارژر جدا داریم. هر کدام برای یک باتری ۱۲ ولت است.
کانال ۱ برای باتری بالا (VHIGH) و کانال ۲ برای باتری پایین (VLOW) است.
تنظیم‌ها از پنل (ESP) زنده عوض می‌شوند. یک مود تست دستی هم داریم (نسخه 1.2).</t>
        </is>
      </c>
    </row>
    <row r="3" ht="30" customHeight="1">
      <c r="A3" s="86" t="inlineStr">
        <is>
          <t>هدف فایل</t>
        </is>
      </c>
    </row>
    <row r="4">
      <c r="A4" s="50" t="inlineStr"/>
    </row>
    <row r="5">
      <c r="A5" s="50" t="inlineStr">
        <is>
          <t>تست‌ها دور رفتار هر کانال نوشته شده‌اند؛ چیزی که می‌شود دید:
وضعیت کانال را در پنل (تله‌متری ESP) می‌بینی.
پهنای پالس (duty) را با اسکوپ روی PA0 و PA6 می‌بینی.
رله از نوع NC است (در حالت عادی وصل است) و پنل ESP هم هست.</t>
        </is>
      </c>
    </row>
    <row r="6">
      <c r="A6" s="52" t="inlineStr">
        <is>
          <t>عددهای مرجع در فایل charger.h:
جریان تنظیم: حدود 630 تا 650 میلی‌آمپر.
خطای سخت: 950 میلی‌آمپر.
ولتاژ جذب (ابزورب): 14.3 و 14.4 و 14.6 ولت.
ولتاژ شناور (فلوت): 13.5 ولت.
برگشت به شارژ: 12.8 ولت.
سقف پهنای پالس (duty): 500 در هزار.
ددتایم مود دستی: 3000 میلی‌ثانیه.</t>
        </is>
      </c>
    </row>
    <row r="7">
      <c r="A7" s="50" t="inlineStr">
        <is>
          <t>مود دستی را فقط با بار مقاومتی یا بار الکترونیکیِ دارای محدودکنندهٔ ولتاژ تست کن.
مقاومت آزاد شبیه باتری نیست؛ با آن تست نکن.
جریان منبع ورودی هم باید محدود شده باشد.</t>
        </is>
      </c>
    </row>
    <row r="8">
      <c r="A8" s="50" t="inlineStr"/>
    </row>
    <row r="9">
      <c r="A9" s="50" t="inlineStr">
        <is>
          <t>هشدار: مود دستی بدون باتری فقط با بار الکترونیکیِ دارای محدودکنندهٔ ولتاژ مجاز است. با مقاومت آزاد هرگز تست نکن.</t>
        </is>
      </c>
    </row>
    <row r="10">
      <c r="A10" s="50" t="inlineStr">
        <is>
          <t>هشدار: در تست‌های اول، جریان منبع ورودی را محدود کن.
محدودکردن جریان ورودی جای حفاظت خروجیِ برنامه را نمی‌گیرد.</t>
        </is>
      </c>
    </row>
    <row r="12">
      <c r="A12"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6" t="inlineStr">
        <is>
          <t>پیش‌بینی زندهٔ برنامه</t>
        </is>
      </c>
      <c r="B14" s="9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5" t="inlineStr">
        <is>
          <t>برنامهٔ تست عملی — ماژول Charger</t>
        </is>
      </c>
      <c r="T1" s="98" t="inlineStr">
        <is>
          <t>ورودی‌های پیش‌بینی — خانه‌های زرد را عوض کن و ستون «پیش‌بینی زنده» را ببین</t>
        </is>
      </c>
    </row>
    <row r="2">
      <c r="A2" s="50" t="inlineStr">
        <is>
          <t>وضعیت فقط یکی از: در انتظار / قبول / رد / مسدود / نیاز به تکرار. تست Host جایگزین تست برد نیست.</t>
        </is>
      </c>
      <c r="T2" s="99" t="inlineStr">
        <is>
          <t>ولتاژ باتری کانال (میلی‌ولت)</t>
        </is>
      </c>
      <c r="U2" s="100" t="n">
        <v>12900</v>
      </c>
    </row>
    <row r="3">
      <c r="A3" s="50" t="inlineStr">
        <is>
          <t>برای هر ردیف پیش‌شرط، ورودی، انتظار و معیار قبولی صریح است؛ نتیجهٔ واقعی فقط با اندازه‌گیری روی برد پر می‌شود.</t>
        </is>
      </c>
      <c r="T3" s="99" t="inlineStr">
        <is>
          <t>ورودی حاضر است؟ (1/0)</t>
        </is>
      </c>
      <c r="U3" s="100" t="n">
        <v>1</v>
      </c>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چه چیزی باید ببینید تا بگویید درست است</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c r="R4" s="86" t="inlineStr">
        <is>
          <t>پیش‌بینی زندهٔ برنامه (فرمول)</t>
        </is>
      </c>
      <c r="T4" s="99" t="inlineStr">
        <is>
          <t>ولتاژ ورودی (ولت)</t>
        </is>
      </c>
      <c r="U4" s="100" t="n">
        <v>24</v>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c r="R5" s="97">
        <f>IF($U$3=1,"با وصل ورودی شارژ شروع می‌شود: جریان بالا می‌رود و زرد چشمک می‌زند","با قطع ورودی شارژ صفر می‌شود")</f>
        <v/>
      </c>
      <c r="T5" s="99" t="inlineStr">
        <is>
          <t>مود دستی؟ (1/0)</t>
        </is>
      </c>
      <c r="U5" s="100" t="n">
        <v>0</v>
      </c>
    </row>
    <row r="6" ht="54" customHeight="1">
      <c r="A6" s="55" t="inlineStr">
        <is>
          <t>CH-004</t>
        </is>
      </c>
      <c r="B6" s="87" t="inlineStr">
        <is>
          <t>تنظیم BULK</t>
        </is>
      </c>
      <c r="C6" s="88" t="inlineStr">
        <is>
          <t>بالا</t>
        </is>
      </c>
      <c r="D6" s="87" t="inlineStr">
        <is>
          <t>یک باتری نیمه‌خالی واقعی وصل است و برق شهر برقرار؛ آمپرمتر دستی یا پنل برای دیدن جریان آماده است</t>
        </is>
      </c>
      <c r="E6" s="87"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89" t="inlineStr">
        <is>
          <t>باتری نیمه‌خالی در حال شارژ</t>
        </is>
      </c>
      <c r="G6" s="89" t="inlineStr">
        <is>
          <t>دو دقیقه</t>
        </is>
      </c>
      <c r="H6" s="87" t="inlineStr">
        <is>
          <t>جریان شارژ نزدیک سقف تنظیم‌شده (حدود ۰٫۶۴ آمپر) می‌ایستد و پایدار می‌ماند؛ بالا و پایین نمی‌پرد</t>
        </is>
      </c>
      <c r="I6" s="87" t="inlineStr">
        <is>
          <t>پایدار تا وقتی باتری پرتر شود</t>
        </is>
      </c>
      <c r="J6" s="87"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89" t="inlineStr">
        <is>
          <t>(بعد از تست پر شود)</t>
        </is>
      </c>
      <c r="P6" s="58" t="n"/>
      <c r="Q6" s="90">
        <f>IF(OR(L6="",L6="در انتظار"),"",IF(Q6="",TODAY(),Q6))</f>
        <v/>
      </c>
      <c r="R6"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6" s="99" t="inlineStr">
        <is>
          <t>جریان کانال (میلی‌آمپر)</t>
        </is>
      </c>
      <c r="U6" s="100" t="n">
        <v>500</v>
      </c>
    </row>
    <row r="7" ht="54" customHeight="1">
      <c r="A7" s="55" t="inlineStr">
        <is>
          <t>CH-005</t>
        </is>
      </c>
      <c r="B7" s="56" t="inlineStr">
        <is>
          <t>ABSORB</t>
        </is>
      </c>
      <c r="C7" s="57" t="inlineStr">
        <is>
          <t>بالا</t>
        </is>
      </c>
      <c r="D7" s="56" t="inlineStr">
        <is>
          <t>باتری تقریباً پر است و شارژ ادامه دارد</t>
        </is>
      </c>
      <c r="E7" s="56" t="inlineStr">
        <is>
          <t>گام ۱: باتری نزدیک‌به‌پر را به شارژ نگه دار.
گام ۲: ولتاژ باتری را با مولتی‌متر و جریان شارژ را با پنل زیر نظر بگیر.</t>
        </is>
      </c>
      <c r="F7" s="58" t="inlineStr">
        <is>
          <t>باتری تقریباً پر در شارژ</t>
        </is>
      </c>
      <c r="G7" s="58" t="inlineStr">
        <is>
          <t>ده دقیقه</t>
        </is>
      </c>
      <c r="H7" s="56" t="inlineStr">
        <is>
          <t>ولتاژ باتری تقریباً ثابت می‌ماند و جریان شارژ آرام‌آرام کم می‌شود (شارژ ملایم پایانی)</t>
        </is>
      </c>
      <c r="I7" s="56" t="inlineStr">
        <is>
          <t>تا رسیدن به حالت نگهداری</t>
        </is>
      </c>
      <c r="J7" s="56"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58" t="inlineStr">
        <is>
          <t>(بعد از تست پر شود)</t>
        </is>
      </c>
      <c r="P7" s="63" t="n"/>
      <c r="Q7" s="60">
        <f>IF(OR(L7="",L7="در انتظار"),"",IF(Q7="",TODAY(),Q7))</f>
        <v/>
      </c>
      <c r="R7"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7" s="99" t="inlineStr">
        <is>
          <t>دیوتی کانال (درصد)</t>
        </is>
      </c>
      <c r="U7" s="100" t="n">
        <v>30</v>
      </c>
    </row>
    <row r="8" ht="54" customHeight="1">
      <c r="A8" s="55" t="inlineStr">
        <is>
          <t>CH-012</t>
        </is>
      </c>
      <c r="B8" s="87" t="inlineStr">
        <is>
          <t>اعتبار sense باتری</t>
        </is>
      </c>
      <c r="C8" s="88" t="inlineStr">
        <is>
          <t>متوسط</t>
        </is>
      </c>
      <c r="D8" s="87" t="inlineStr">
        <is>
          <t>دستگاه در حال شارژ یک باتری واقعی است</t>
        </is>
      </c>
      <c r="E8" s="87"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89" t="inlineStr">
        <is>
          <t>قطع و وصل سیم حس ولتاژ باتری</t>
        </is>
      </c>
      <c r="G8" s="89" t="inlineStr">
        <is>
          <t>دو دقیقه</t>
        </is>
      </c>
      <c r="H8" s="87" t="inlineStr">
        <is>
          <t>با قطع سیم حس، شارژ متوقف می‌ماند؛ با وصل آن، شارژ عادی برمی‌گردد</t>
        </is>
      </c>
      <c r="I8" s="87" t="inlineStr">
        <is>
          <t>توقف تا برگشت حس</t>
        </is>
      </c>
      <c r="J8" s="87"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89" t="inlineStr">
        <is>
          <t>(بعد از تست پر شود)</t>
        </is>
      </c>
      <c r="P8" s="58" t="n"/>
      <c r="Q8" s="90">
        <f>IF(OR(L8="",L8="در انتظار"),"",IF(Q8="",TODAY(),Q8))</f>
        <v/>
      </c>
      <c r="R8" s="101" t="inlineStr">
        <is>
          <t>—</t>
        </is>
      </c>
      <c r="T8" s="102" t="inlineStr">
        <is>
          <t>پیش‌بینی برای حالت پایدار است؛ چشمک و زمان‌بندی را با چشم و کرنومتر چک کن و با برد مقایسه کن.</t>
        </is>
      </c>
    </row>
    <row r="9" ht="54" customHeight="1">
      <c r="A9" s="55" t="inlineStr">
        <is>
          <t>CH-013</t>
        </is>
      </c>
      <c r="B9" s="56" t="inlineStr">
        <is>
          <t>مود دستی: ورود</t>
        </is>
      </c>
      <c r="C9" s="57" t="inlineStr">
        <is>
          <t>متوسط</t>
        </is>
      </c>
      <c r="D9" s="56" t="inlineStr">
        <is>
          <t>پنل وصل است و دستگاه روشن</t>
        </is>
      </c>
      <c r="E9" s="56"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58" t="inlineStr">
        <is>
          <t>روشن‌کردن مود دستی از پنل</t>
        </is>
      </c>
      <c r="G9" s="58" t="inlineStr">
        <is>
          <t>دو دقیقه</t>
        </is>
      </c>
      <c r="H9" s="56" t="inlineStr">
        <is>
          <t>شارژر وارد مود دستی می‌شود و فقط فرمان دستی را اجرا می‌کند</t>
        </is>
      </c>
      <c r="I9" s="56" t="inlineStr">
        <is>
          <t>تا خروج از مود</t>
        </is>
      </c>
      <c r="J9" s="56"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58" t="inlineStr">
        <is>
          <t>(بعد از تست پر شود)</t>
        </is>
      </c>
      <c r="P9" s="63" t="n"/>
      <c r="Q9" s="60">
        <f>IF(OR(L9="",L9="در انتظار"),"",IF(Q9="",TODAY(),Q9))</f>
        <v/>
      </c>
      <c r="R9" s="97">
        <f>IF($U$5=1,"مود دستی فعال: کانال فقط با دستور پنل کار می‌کند و تشخیص خطا فریز است","مود عادی شارژ است")</f>
        <v/>
      </c>
    </row>
    <row r="10" ht="54" customHeight="1">
      <c r="A10" s="55" t="inlineStr">
        <is>
          <t>CH-018</t>
        </is>
      </c>
      <c r="B10" s="87" t="inlineStr">
        <is>
          <t>خروج از مود دستی</t>
        </is>
      </c>
      <c r="C10" s="88" t="inlineStr">
        <is>
          <t>متوسط</t>
        </is>
      </c>
      <c r="D10" s="87" t="inlineStr">
        <is>
          <t>شارژر در مود تست دستی است</t>
        </is>
      </c>
      <c r="E10" s="87" t="inlineStr">
        <is>
          <t>گام ۱: از پنل از مود دستی خارج شو.
گام ۲: یک باتری نیمه‌خالی را زیر نظر بگیر.</t>
        </is>
      </c>
      <c r="F10" s="89" t="inlineStr">
        <is>
          <t>خروج از مود دستی</t>
        </is>
      </c>
      <c r="G10" s="89" t="inlineStr">
        <is>
          <t>پنج دقیقه</t>
        </is>
      </c>
      <c r="H10" s="87" t="inlineStr">
        <is>
          <t>شارژ خودکار عادی از سر گرفته می‌شود و باتری مثل همیشه شارژ می‌شود</t>
        </is>
      </c>
      <c r="I10" s="87" t="inlineStr">
        <is>
          <t>برگشت به خودکار</t>
        </is>
      </c>
      <c r="J10" s="87"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89" t="inlineStr">
        <is>
          <t>(بعد از تست پر شود)</t>
        </is>
      </c>
      <c r="P10" s="58" t="n"/>
      <c r="Q10" s="90">
        <f>IF(OR(L10="",L10="در انتظار"),"",IF(Q10="",TODAY(),Q10))</f>
        <v/>
      </c>
      <c r="R10" s="101" t="inlineStr">
        <is>
          <t>—</t>
        </is>
      </c>
    </row>
    <row r="11" ht="54" customHeight="1">
      <c r="A11" s="55" t="inlineStr">
        <is>
          <t>CH-037</t>
        </is>
      </c>
      <c r="B11" s="56" t="inlineStr">
        <is>
          <t>ورودی خارج بازه 22-30V</t>
        </is>
      </c>
      <c r="C11" s="57" t="inlineStr">
        <is>
          <t>متوسط</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c r="R11" s="97">
        <f>IF(OR($U$4&lt;22,$U$4&gt;30),"بیرون از بازهٔ ۲۲ تا ۳۰ ولت: کانال شارژ نمی‌کند","داخل بازهٔ ۲۲ تا ۳۰ ولت: شارژ مجاز است")</f>
        <v/>
      </c>
    </row>
    <row r="12" ht="54" customHeight="1">
      <c r="A12" s="55" t="inlineStr">
        <is>
          <t>CH-040</t>
        </is>
      </c>
      <c r="B12" s="87" t="inlineStr">
        <is>
          <t>سناریوی ۶: باتری خراب دیگر شارژ نمی‌شود</t>
        </is>
      </c>
      <c r="C12" s="88" t="inlineStr">
        <is>
          <t>متوسط</t>
        </is>
      </c>
      <c r="D12" s="87" t="inlineStr">
        <is>
          <t>از پنل زمان سناریوی باتری خراب (شناسهٔ ۱۲۵) را موقتاً روی چند دقیقه بگذار؛ یک باتری خالی وصل است</t>
        </is>
      </c>
      <c r="E12" s="87"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89" t="inlineStr">
        <is>
          <t>شارژ باتری خالی با زمان کوتاه‌شده</t>
        </is>
      </c>
      <c r="G12" s="89" t="inlineStr">
        <is>
          <t>چند دقیقه + زمان تنظیم‌شده</t>
        </is>
      </c>
      <c r="H12" s="87" t="inlineStr">
        <is>
          <t>بعد از زمان، آن باتری دیگر شارژ نمی‌شود تا وقتی واقعاً عوض شود</t>
        </is>
      </c>
      <c r="I12" s="87" t="inlineStr">
        <is>
          <t>قفل تا تعویض باتری</t>
        </is>
      </c>
      <c r="J12" s="87"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90">
        <f>IF(OR(L12="",L12="در انتظار"),"",IF(Q12="",TODAY(),Q12))</f>
        <v/>
      </c>
      <c r="R12" s="101" t="inlineStr">
        <is>
          <t>—</t>
        </is>
      </c>
    </row>
    <row r="13" ht="54" customHeight="1">
      <c r="A13" s="55" t="inlineStr">
        <is>
          <t>CH-041</t>
        </is>
      </c>
      <c r="B13" s="56" t="inlineStr">
        <is>
          <t>خطای ۷: کانال بی‌جریان قفل فنی می‌سازد</t>
        </is>
      </c>
      <c r="C13" s="57" t="inlineStr">
        <is>
          <t>متوسط</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c r="R13" s="97">
        <f>IF(AND($U$7&gt;20,$U$6=0,$U$2&gt;=6000),"امضای خطای فنی کامل است: کانال قفل و خطای ۷","خطای فنی نیست: دست‌کم یکی از شرط‌ها نیست (دیوتی بالای ۲۰٪، جریان صفر، ولتاژ بالای ۶ ولت)")</f>
        <v/>
      </c>
    </row>
    <row r="14" ht="54" customHeight="1">
      <c r="A14" s="55" t="inlineStr">
        <is>
          <t>CH-006</t>
        </is>
      </c>
      <c r="B14" s="87" t="inlineStr">
        <is>
          <t>شستشوی ABSORB</t>
        </is>
      </c>
      <c r="C14" s="89" t="inlineStr">
        <is>
          <t>متوسط</t>
        </is>
      </c>
      <c r="D14" s="87" t="inlineStr">
        <is>
          <t>باتری در شارژ پایانی (جذب) است</t>
        </is>
      </c>
      <c r="E14" s="87" t="inlineStr">
        <is>
          <t>گام ۱: حین شارژ پایانی، یک مصرف کوتاه و واقعی از باتری بکش (مثلاً یک لامپ را چند ثانیه روشن کن) و بردار.
گام ۲: رفتار شارژر را نگاه کن.</t>
        </is>
      </c>
      <c r="F14" s="89" t="inlineStr">
        <is>
          <t>مصرف کوتاه حین شارژ پایانی</t>
        </is>
      </c>
      <c r="G14" s="89" t="inlineStr">
        <is>
          <t>پنج دقیقه</t>
        </is>
      </c>
      <c r="H14" s="87" t="inlineStr">
        <is>
          <t>شارژر به شارژ تند برنمی‌گردد؛ همان شارژ پایانی آرام را ادامه می‌دهد تا باتری کامل شود</t>
        </is>
      </c>
      <c r="I14" s="87" t="inlineStr">
        <is>
          <t>بدون برگشت به شارژ تند</t>
        </is>
      </c>
      <c r="J14" s="87"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89" t="inlineStr">
        <is>
          <t>(بعد از تست پر شود)</t>
        </is>
      </c>
      <c r="P14" s="58" t="n"/>
      <c r="Q14" s="90">
        <f>IF(OR(L14="",L14="در انتظار"),"",IF(Q14="",TODAY(),Q14))</f>
        <v/>
      </c>
      <c r="R14"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row>
    <row r="15" ht="54" customHeight="1">
      <c r="A15" s="55" t="inlineStr">
        <is>
          <t>CH-007</t>
        </is>
      </c>
      <c r="B15" s="56" t="inlineStr">
        <is>
          <t>FLOAT و reentry</t>
        </is>
      </c>
      <c r="C15" s="58" t="inlineStr">
        <is>
          <t>متوسط</t>
        </is>
      </c>
      <c r="D15" s="56" t="inlineStr">
        <is>
          <t>باتری کاملاً پر شده و شارژ به حالت نگهداری رسیده (جریان خیلی کم)</t>
        </is>
      </c>
      <c r="E15" s="56"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58" t="inlineStr">
        <is>
          <t>باتری پر، بعد کمی مصرف واقعی</t>
        </is>
      </c>
      <c r="G15" s="58" t="inlineStr">
        <is>
          <t>ده دقیقه</t>
        </is>
      </c>
      <c r="H15" s="56" t="inlineStr">
        <is>
          <t>در حالت پر، جریان نگهداری خیلی کم است؛ با کمی خالی‌شدن، شارژ خودش دوباره شروع می‌شود</t>
        </is>
      </c>
      <c r="I15" s="56" t="inlineStr">
        <is>
          <t>رفت‌وبرگشت خودکار پر/شارژ</t>
        </is>
      </c>
      <c r="J15" s="56"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58" t="inlineStr">
        <is>
          <t>(بعد از تست پر شود)</t>
        </is>
      </c>
      <c r="P15" s="63" t="n"/>
      <c r="Q15" s="60">
        <f>IF(OR(L15="",L15="در انتظار"),"",IF(Q15="",TODAY(),Q15))</f>
        <v/>
      </c>
      <c r="R15" s="97">
        <f>IF($U$2&lt;=12800,"زیر ۱۲٫۸ ولت: شارژ دوباره شروع می‌شود (برگشت به شارژ)",IF($U$2&lt;13500,"بین ۱۲٫۸ و ۱۳٫۵ ولت: شناور می‌ماند و شارژ تازه شروع نمی‌شود","بالای ۱۳٫۵ ولت: در جذب/شناور کامل است"))</f>
        <v/>
      </c>
    </row>
    <row r="16" ht="54" customHeight="1">
      <c r="A16" s="55" t="inlineStr">
        <is>
          <t>CH-014</t>
        </is>
      </c>
      <c r="B16" s="87" t="inlineStr">
        <is>
          <t>مود دستی: ددمن لینک</t>
        </is>
      </c>
      <c r="C16" s="88" t="inlineStr">
        <is>
          <t>متوسط</t>
        </is>
      </c>
      <c r="D16" s="87" t="inlineStr">
        <is>
          <t>شارژر در مود تست دستی و در حال اجرای فرمان دستی است</t>
        </is>
      </c>
      <c r="E16" s="91" t="inlineStr">
        <is>
          <t>گام ۱: کابل ارتباطی پنل (ESP) را بکش تا فرمان تازه‌ای نرسد.
گام ۲: کرنومتر بگیر و شارژر را نگاه کن.
گام ۳: کابل را وصل کن.</t>
        </is>
      </c>
      <c r="F16" s="89" t="inlineStr">
        <is>
          <t>قطع ارتباط پنل حین مود دستی</t>
        </is>
      </c>
      <c r="G16" s="89" t="inlineStr">
        <is>
          <t>دو دقیقه</t>
        </is>
      </c>
      <c r="H16" s="87" t="inlineStr">
        <is>
          <t>بعد از چند ثانیه بی‌ارتباطی، شارژ دستی خودش متوقف می‌شود؛ نباید بی‌صاحب ادامه دهد</t>
        </is>
      </c>
      <c r="I16" s="87" t="inlineStr">
        <is>
          <t>توقف خودکار با قطع ارتباط</t>
        </is>
      </c>
      <c r="J16" s="87"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89" t="inlineStr">
        <is>
          <t>(بعد از تست پر شود)</t>
        </is>
      </c>
      <c r="P16" s="58" t="n"/>
      <c r="Q16" s="90">
        <f>IF(OR(L16="",L16="در انتظار"),"",IF(Q16="",TODAY(),Q16))</f>
        <v/>
      </c>
      <c r="R16" s="101" t="inlineStr">
        <is>
          <t>—</t>
        </is>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(بعد از تست پر شود)</t>
        </is>
      </c>
      <c r="P17" s="58" t="n"/>
      <c r="Q17" s="60">
        <f>IF(OR(L17="",L17="در انتظار"),"",IF(Q17="",TODAY(),Q17))</f>
        <v/>
      </c>
      <c r="R17" s="101" t="inlineStr">
        <is>
          <t>—</t>
        </is>
      </c>
    </row>
    <row r="18" ht="54" customHeight="1">
      <c r="A18" s="55" t="inlineStr">
        <is>
          <t>CH-017</t>
        </is>
      </c>
      <c r="B18" s="87" t="inlineStr">
        <is>
          <t>مود دستی: قطع کانال</t>
        </is>
      </c>
      <c r="C18" s="89" t="inlineStr">
        <is>
          <t>متوسط</t>
        </is>
      </c>
      <c r="D18" s="87" t="inlineStr">
        <is>
          <t>هر دو کانال شارژر در مود دستی در حال کارند (دو باتری وصل)</t>
        </is>
      </c>
      <c r="E18" s="91" t="inlineStr">
        <is>
          <t>گام ۱: از پنل فقط یک کانال را خاموش کن.
گام ۲: هر دو کانال را نگاه کن.
گام ۳: کانال خاموش را دوباره روشن کن.</t>
        </is>
      </c>
      <c r="F18" s="89" t="inlineStr">
        <is>
          <t>خاموش/روشن کردن یک کانال از پنل</t>
        </is>
      </c>
      <c r="G18" s="89" t="inlineStr">
        <is>
          <t>دو دقیقه</t>
        </is>
      </c>
      <c r="H18" s="87" t="inlineStr">
        <is>
          <t>فقط همان کانال می‌ایستد و کانال دیگر بی‌تغییر ادامه می‌دهد</t>
        </is>
      </c>
      <c r="I18" s="87" t="inlineStr">
        <is>
          <t>استقلال دو کانال</t>
        </is>
      </c>
      <c r="J18" s="87"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89" t="inlineStr">
        <is>
          <t>(بعد از تست پر شود)</t>
        </is>
      </c>
      <c r="P18" s="63" t="n"/>
      <c r="Q18" s="90">
        <f>IF(OR(L18="",L18="در انتظار"),"",IF(Q18="",TODAY(),Q18))</f>
        <v/>
      </c>
      <c r="R18" s="101" t="inlineStr">
        <is>
          <t>—</t>
        </is>
      </c>
    </row>
    <row r="19" ht="54" customHeight="1">
      <c r="A19" s="55" t="inlineStr">
        <is>
          <t>CH-019</t>
        </is>
      </c>
      <c r="B19" s="56" t="inlineStr">
        <is>
          <t>سقف duty زنده</t>
        </is>
      </c>
      <c r="C19" s="58" t="inlineStr">
        <is>
          <t>متوسط</t>
        </is>
      </c>
      <c r="D19" s="56" t="inlineStr">
        <is>
          <t>دستگاه در حال شارژ یک باتری نیمه‌خالی است</t>
        </is>
      </c>
      <c r="E19" s="56" t="inlineStr">
        <is>
          <t>گام ۱: از پنل سقف توان شارژ را کمتر کن.
گام ۲: جریان شارژ را در پنل یا آمپرمتر ببین.
گام ۳: سقف را به حالت اول برگردان.</t>
        </is>
      </c>
      <c r="F19" s="58" t="inlineStr">
        <is>
          <t>کم و زیاد کردن سقف توان از پنل</t>
        </is>
      </c>
      <c r="G19" s="58" t="inlineStr">
        <is>
          <t>پنج دقیقه</t>
        </is>
      </c>
      <c r="H19" s="56" t="inlineStr">
        <is>
          <t>جریان شارژ به همان نسبت کم و زیاد می‌شود، بدون اینکه دستگاه خاموش یا خطادار شود</t>
        </is>
      </c>
      <c r="I19" s="56" t="inlineStr">
        <is>
          <t>بدون قفل</t>
        </is>
      </c>
      <c r="J19" s="56"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58" t="inlineStr">
        <is>
          <t>(بعد از تست پر شود)</t>
        </is>
      </c>
      <c r="P19" s="63" t="n"/>
      <c r="Q19" s="60">
        <f>IF(OR(L19="",L19="در انتظار"),"",IF(Q19="",TODAY(),Q19))</f>
        <v/>
      </c>
      <c r="R19" s="97">
        <f>"دیوتی از سقف زندهٔ پنل رد نمی‌شود؛ سقف فعلی که گذاشته‌ای: "&amp;$U$7&amp;" درصد"</f>
        <v/>
      </c>
    </row>
    <row r="20" ht="54" customHeight="1">
      <c r="A20" s="55" t="inlineStr">
        <is>
          <t>CH-036</t>
        </is>
      </c>
      <c r="B20" s="87" t="inlineStr">
        <is>
          <t>استراحت حرارتی 1h-&gt;10min</t>
        </is>
      </c>
      <c r="C20" s="88" t="inlineStr">
        <is>
          <t>متوسط</t>
        </is>
      </c>
      <c r="D20" s="87" t="inlineStr">
        <is>
          <t>دو باتری خالی واقعی وصل و هر دو کانال آمادهٔ شارژ سنگین‌اند</t>
        </is>
      </c>
      <c r="E20" s="87"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89" t="inlineStr">
        <is>
          <t>یک ساعت شارژ سنگین هر دو کانال</t>
        </is>
      </c>
      <c r="G20" s="89" t="inlineStr">
        <is>
          <t>حدود یک ساعت و نیم</t>
        </is>
      </c>
      <c r="H20" s="87" t="inlineStr">
        <is>
          <t>بعد از یک ساعت شارژ سنگین، هر کانال ده دقیقه استراحت می‌کند و بعد خودش به شارژ برمی‌گردد</t>
        </is>
      </c>
      <c r="I20" s="87" t="inlineStr">
        <is>
          <t>استراحت و ادامهٔ خودکار</t>
        </is>
      </c>
      <c r="J20" s="87"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89" t="inlineStr">
        <is>
          <t>thermal</t>
        </is>
      </c>
      <c r="P20" s="63" t="n"/>
      <c r="Q20" s="90">
        <f>IF(OR(L20="",L20="در انتظار"),"",IF(Q20="",TODAY(),Q20))</f>
        <v/>
      </c>
      <c r="R20" s="101" t="inlineStr">
        <is>
          <t>—</t>
        </is>
      </c>
    </row>
    <row r="21">
      <c r="A21" s="83" t="n"/>
      <c r="B21" s="83" t="n"/>
      <c r="C21" s="83" t="n"/>
      <c r="D21" s="83" t="n"/>
      <c r="E21" s="83" t="n"/>
      <c r="F21" s="83" t="n"/>
      <c r="G21" s="83" t="n"/>
      <c r="H21" s="83" t="n"/>
      <c r="I21" s="83" t="n"/>
      <c r="J21" s="83" t="n"/>
      <c r="K21" s="83" t="n"/>
      <c r="L21" s="83" t="n"/>
      <c r="M21" s="83" t="n"/>
      <c r="N21" s="83" t="n"/>
      <c r="O21" s="83" t="n"/>
      <c r="P21" s="83" t="n"/>
      <c r="Q21" s="84" t="n"/>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5">
    <mergeCell ref="A3:Q3"/>
    <mergeCell ref="T1:U1"/>
    <mergeCell ref="A2:Q2"/>
    <mergeCell ref="T8:U8"/>
    <mergeCell ref="A1:Q1"/>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(بعد از تست پر شود)</t>
        </is>
      </c>
      <c r="P5" s="58" t="n"/>
      <c r="Q5" s="60" t="inlineStr">
        <is>
          <t>2026-09-23</t>
        </is>
      </c>
    </row>
    <row r="6" ht="54" customHeight="1">
      <c r="A6" s="55" t="inlineStr">
        <is>
          <t>CH-003</t>
        </is>
      </c>
      <c r="B6" s="87" t="inlineStr">
        <is>
          <t>شروع BULK با رمپ</t>
        </is>
      </c>
      <c r="C6" s="88" t="inlineStr">
        <is>
          <t>بالا</t>
        </is>
      </c>
      <c r="D6" s="91" t="inlineStr">
        <is>
          <t>CH-002 پاس</t>
        </is>
      </c>
      <c r="E6" s="91"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93" t="inlineStr">
        <is>
          <t>همان CH-002</t>
        </is>
      </c>
      <c r="G6" s="89" t="inlineStr">
        <is>
          <t>20s</t>
        </is>
      </c>
      <c r="H6" s="87" t="inlineStr">
        <is>
          <t>ورود BULK با رمپ نرم از ۱٪ (10‰)</t>
        </is>
      </c>
      <c r="I6" s="87" t="inlineStr">
        <is>
          <t>—</t>
        </is>
      </c>
      <c r="J6" s="87" t="inlineStr">
        <is>
          <t>پله‌های duty از 10‰ صعودی</t>
        </is>
      </c>
      <c r="K6" s="61" t="n"/>
      <c r="L6" s="59" t="inlineStr">
        <is>
          <t>در انتظار</t>
        </is>
      </c>
      <c r="M6" s="61" t="n"/>
      <c r="N6" s="61" t="n"/>
      <c r="O6" s="89" t="inlineStr">
        <is>
          <t>(بعد از تست پر شود)</t>
        </is>
      </c>
      <c r="P6" s="63" t="n"/>
      <c r="Q6" s="90"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(بعد از تست پر شود)</t>
        </is>
      </c>
      <c r="P7" s="58" t="n"/>
      <c r="Q7" s="60" t="inlineStr">
        <is>
          <t>2026-09-23</t>
        </is>
      </c>
    </row>
    <row r="8" ht="54" customHeight="1">
      <c r="A8" s="55" t="inlineStr">
        <is>
          <t>CH-039</t>
        </is>
      </c>
      <c r="B8" s="87" t="inlineStr">
        <is>
          <t>تعلیق شارژر هنگام ذخیرهٔ فلش</t>
        </is>
      </c>
      <c r="C8" s="88" t="inlineStr">
        <is>
          <t>بالا</t>
        </is>
      </c>
      <c r="D8" s="87" t="inlineStr">
        <is>
          <t>شارژ فعال (BULK)</t>
        </is>
      </c>
      <c r="E8" s="87" t="inlineStr">
        <is>
          <t>گام ۱: شارژ را در حالت BULK فعال کن و اسکوپ را روی گیت هر دو کانال بگذار.
گام ۲: یکی از این ذخیره‌های فلش را اتفاق بینداز: ذخیرهٔ NVM یا CalLut از پنل. یا صبر کن تا ذخیرهٔ دوره‌ای Diag خودش برسد (حدود هر 60 ثانیه).
گام ۳: لحظهٔ پاک‌کردن و نوشتن فلش را روی اسکوپ ببین. هر دو گیت PWM باید متوقف باشند و خروجی صفر باشد.
گام ۴: بلافاصله بعد از تمام‌شدن ذخیره، شارژ باید بدون پرش ادامه پیدا کند.
گام ۵: رکورد و تنظیم هم باید سالم ذخیره شده باشد. هیچ پالس PWM هنگام پاک‌کردن صفحه قبول نیست.</t>
        </is>
      </c>
      <c r="F8" s="89" t="inlineStr">
        <is>
          <t>شارژ فعال + ذخیرهٔ فلش</t>
        </is>
      </c>
      <c r="G8" s="89" t="inlineStr">
        <is>
          <t>2s</t>
        </is>
      </c>
      <c r="H8" s="87" t="inlineStr">
        <is>
          <t>دور پاک/نوشتن فلش هر دو گیت PWM متوقف و خروجی صفر شود؛ بلافاصله بعد از ذخیره شارژ بدون پرش ادامه یابد</t>
        </is>
      </c>
      <c r="I8" s="87" t="inlineStr">
        <is>
          <t>—</t>
        </is>
      </c>
      <c r="J8" s="87" t="inlineStr">
        <is>
          <t>هیچ پالس PWM حین پاک‌کردن صفحه دیده نشود و رکورد/تنظیم سالم ذخیره شود</t>
        </is>
      </c>
      <c r="K8" s="87" t="inlineStr">
        <is>
          <t>هاست 2026-10-15: هر دو گیت سبز (مسیر Diag با 2da0ed1 اضافه شد، NVM/CalLut از قبل بود)؛ تست برد: در انتظار</t>
        </is>
      </c>
      <c r="L8" s="59" t="inlineStr">
        <is>
          <t>در انتظار</t>
        </is>
      </c>
      <c r="M8" s="56" t="n"/>
      <c r="N8" s="56" t="n"/>
      <c r="O8" s="89" t="inlineStr">
        <is>
          <t>2da0ed1</t>
        </is>
      </c>
      <c r="P8" s="58" t="n"/>
      <c r="Q8" s="90" t="inlineStr">
        <is>
          <t>2026-10-15</t>
        </is>
      </c>
    </row>
    <row r="9">
      <c r="A9" s="55" t="inlineStr">
        <is>
          <t>CH-009</t>
        </is>
      </c>
      <c r="B9" s="56" t="inlineStr">
        <is>
          <t>تریپ JIT اول</t>
        </is>
      </c>
      <c r="C9" s="57" t="inlineStr">
        <is>
          <t>بالا</t>
        </is>
      </c>
      <c r="D9" s="56" t="inlineStr">
        <is>
          <t>شارژ فعال</t>
        </is>
      </c>
      <c r="E9" s="56"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58" t="inlineStr">
        <is>
          <t>JIT falling (PB2/PB6)</t>
        </is>
      </c>
      <c r="G9" s="58" t="inlineStr">
        <is>
          <t>10s</t>
        </is>
      </c>
      <c r="H9" s="56" t="inlineStr">
        <is>
          <t>PWM همان کانال صفر؛ بعد از lockout 3000ms ریتری با نصف duty</t>
        </is>
      </c>
      <c r="I9" s="56" t="inlineStr">
        <is>
          <t>retry خودکار</t>
        </is>
      </c>
      <c r="J9" s="56" t="inlineStr">
        <is>
          <t>state=5 → ریتری 50٪ duty قبل</t>
        </is>
      </c>
      <c r="K9" s="61" t="n"/>
      <c r="L9" s="59" t="inlineStr">
        <is>
          <t>در انتظار</t>
        </is>
      </c>
      <c r="M9" s="61" t="n"/>
      <c r="N9" s="61" t="n"/>
      <c r="O9" s="58" t="inlineStr">
        <is>
          <t>(بعد از تست پر شود)</t>
        </is>
      </c>
      <c r="P9" s="63" t="n"/>
      <c r="Q9" s="60">
        <f>IF(OR(L9="",L9="در انتظار"),"",IF(Q9="",TODAY(),Q9))</f>
        <v/>
      </c>
    </row>
    <row r="10">
      <c r="A10" s="55" t="inlineStr">
        <is>
          <t>CH-010</t>
        </is>
      </c>
      <c r="B10" s="87" t="inlineStr">
        <is>
          <t>ریتری دوم</t>
        </is>
      </c>
      <c r="C10" s="89" t="inlineStr">
        <is>
          <t>متوسط</t>
        </is>
      </c>
      <c r="D10" s="87" t="inlineStr">
        <is>
          <t>تریپ دوم همان کانال</t>
        </is>
      </c>
      <c r="E10" s="91"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89" t="inlineStr">
        <is>
          <t>—</t>
        </is>
      </c>
      <c r="G10" s="89" t="inlineStr">
        <is>
          <t>10s</t>
        </is>
      </c>
      <c r="H10" s="87" t="inlineStr">
        <is>
          <t>ریتری دوم حداکثر 10٪ (100‰)</t>
        </is>
      </c>
      <c r="I10" s="87" t="inlineStr">
        <is>
          <t>—</t>
        </is>
      </c>
      <c r="J10" s="87" t="inlineStr">
        <is>
          <t>duty≤100‰</t>
        </is>
      </c>
      <c r="K10" s="56" t="n"/>
      <c r="L10" s="59" t="inlineStr">
        <is>
          <t>در انتظار</t>
        </is>
      </c>
      <c r="M10" s="56" t="n"/>
      <c r="N10" s="56" t="n"/>
      <c r="O10" s="89" t="inlineStr">
        <is>
          <t>(بعد از تست پر شود)</t>
        </is>
      </c>
      <c r="P10" s="58" t="n"/>
      <c r="Q10" s="90">
        <f>IF(OR(L10="",L10="در انتظار"),"",IF(Q10="",TODAY(),Q10))</f>
        <v/>
      </c>
    </row>
    <row r="11">
      <c r="A11" s="55" t="inlineStr">
        <is>
          <t>CH-011</t>
        </is>
      </c>
      <c r="B11" s="56" t="inlineStr">
        <is>
          <t>تریپ سوم FINAL</t>
        </is>
      </c>
      <c r="C11" s="57" t="inlineStr">
        <is>
          <t>بالا</t>
        </is>
      </c>
      <c r="D11" s="56" t="inlineStr">
        <is>
          <t>دو تریپ ثبت‌شده</t>
        </is>
      </c>
      <c r="E11" s="65"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58" t="inlineStr">
        <is>
          <t>—</t>
        </is>
      </c>
      <c r="G11" s="58" t="inlineStr">
        <is>
          <t>—</t>
        </is>
      </c>
      <c r="H11" s="56" t="inlineStr">
        <is>
          <t>FINAL_FAULT: هر دو PWM صفر + رله باز؛ فقط ریبوت پاک می‌کند</t>
        </is>
      </c>
      <c r="I11" s="56" t="inlineStr">
        <is>
          <t>latch دائمی تا ریبوت</t>
        </is>
      </c>
      <c r="J11" s="56" t="inlineStr">
        <is>
          <t>state=7؛ رله باز؛ بدون ریبوت برنمی‌گردد</t>
        </is>
      </c>
      <c r="K11" s="61" t="n"/>
      <c r="L11" s="59" t="inlineStr">
        <is>
          <t>در انتظار</t>
        </is>
      </c>
      <c r="M11" s="61" t="n"/>
      <c r="N11" s="61" t="n"/>
      <c r="O11" s="58" t="inlineStr">
        <is>
          <t>(بعد از تست پر شود)</t>
        </is>
      </c>
      <c r="P11" s="63" t="n"/>
      <c r="Q11" s="60">
        <f>IF(OR(L11="",L11="در انتظار"),"",IF(Q11="",TODAY(),Q11))</f>
        <v/>
      </c>
    </row>
    <row r="12">
      <c r="A12" s="55" t="inlineStr">
        <is>
          <t>CH-015</t>
        </is>
      </c>
      <c r="B12" s="87" t="inlineStr">
        <is>
          <t>مود دستی: JIT و re-arm</t>
        </is>
      </c>
      <c r="C12" s="88" t="inlineStr">
        <is>
          <t>بالا</t>
        </is>
      </c>
      <c r="D12" s="87" t="inlineStr">
        <is>
          <t>در مود دستی</t>
        </is>
      </c>
      <c r="E12" s="91"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89" t="inlineStr">
        <is>
          <t>JIT trip در مود دستی</t>
        </is>
      </c>
      <c r="G12" s="89" t="inlineStr">
        <is>
          <t>15s</t>
        </is>
      </c>
      <c r="H12" s="87" t="inlineStr">
        <is>
          <t>پارک با duty صفر و state=5 بدون ریتری خودکار؛ ارسال مجدد duty کانال را مسلح می‌کند؛ سومین تریپ FINAL_FAULT</t>
        </is>
      </c>
      <c r="I12" s="87" t="inlineStr">
        <is>
          <t>پارک تا re-arm انسانی</t>
        </is>
      </c>
      <c r="J12" s="87" t="inlineStr">
        <is>
          <t>state=5 → بعد از ارسال duty، درایو برگردد</t>
        </is>
      </c>
      <c r="K12" s="61" t="n"/>
      <c r="L12" s="59" t="inlineStr">
        <is>
          <t>در انتظار</t>
        </is>
      </c>
      <c r="M12" s="61" t="n"/>
      <c r="N12" s="61" t="n"/>
      <c r="O12" s="89" t="inlineStr">
        <is>
          <t>(بعد از تست پر شود)</t>
        </is>
      </c>
      <c r="P12" s="63" t="n"/>
      <c r="Q12" s="90">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CH-001</t>
        </is>
      </c>
      <c r="B5" s="56" t="inlineStr">
        <is>
          <t>نگاشت سخت‌افزار</t>
        </is>
      </c>
      <c r="C5" s="57" t="inlineStr">
        <is>
          <t>بالا</t>
        </is>
      </c>
      <c r="D5" s="56" t="inlineStr">
        <is>
          <t>برد خاموش</t>
        </is>
      </c>
      <c r="E5" s="65" t="inlineStr">
        <is>
          <t>گام ۱: شماتیک برد و فایل board_pins.h را کنار کد بگذار.
گام ۲: تک‌تک این نگاشت‌ها را با کد مقایسه کن:
PA0 با TIM2_CH1 است. PA6 با TIM3_CH1 است. PA1 و PA7 برای حس جریان‌اند. PB2 و PB6 برای JIT هستند.
گام ۳: رله از نوع NC است؛ یعنی وقتی سیم‌پیچش خاموش است، وصل است. همین را هم بررسی کن.
گام ۴: هر اختلافی بین شماتیک و کد دیدی، یادداشت کن. قبولی فقط با تطابق کامل است.</t>
        </is>
      </c>
      <c r="F5" s="58" t="inlineStr">
        <is>
          <t>PA0=TIM2_CH1، PA6=TIM3_CH1، PA1/PA7 سنس، PB2/PB6 JIT، رله NC</t>
        </is>
      </c>
      <c r="G5" s="58" t="inlineStr">
        <is>
          <t>—</t>
        </is>
      </c>
      <c r="H5" s="56" t="inlineStr">
        <is>
          <t>نگاشت مطابق شماتیک؛ رله با coil خاموش وصل (NC)</t>
        </is>
      </c>
      <c r="I5" s="56" t="inlineStr">
        <is>
          <t>نگاشت ثابت</t>
        </is>
      </c>
      <c r="J5" s="56" t="inlineStr">
        <is>
          <t>PASS: تطابق کامل</t>
        </is>
      </c>
      <c r="K5" s="61" t="n"/>
      <c r="L5" s="59" t="inlineStr">
        <is>
          <t>در انتظار</t>
        </is>
      </c>
      <c r="M5" s="61" t="n"/>
      <c r="N5" s="61" t="n"/>
      <c r="O5" s="58" t="inlineStr">
        <is>
          <t>(بعد از تست پر شود)</t>
        </is>
      </c>
      <c r="P5" s="63" t="n"/>
      <c r="Q5" s="60" t="inlineStr">
        <is>
          <t>2026-09-23</t>
        </is>
      </c>
    </row>
    <row r="6" ht="54" customHeight="1">
      <c r="A6" s="55" t="inlineStr">
        <is>
          <t>CH-035</t>
        </is>
      </c>
      <c r="B6" s="87" t="inlineStr">
        <is>
          <t>snapshot zeroing</t>
        </is>
      </c>
      <c r="C6" s="88" t="inlineStr">
        <is>
          <t>بالا</t>
        </is>
      </c>
      <c r="D6" s="87" t="inlineStr">
        <is>
          <t>snapshot نامعتبر</t>
        </is>
      </c>
      <c r="E6" s="87"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89" t="inlineStr">
        <is>
          <t>valid=false</t>
        </is>
      </c>
      <c r="G6" s="89" t="inlineStr">
        <is>
          <t>5s</t>
        </is>
      </c>
      <c r="H6" s="87" t="inlineStr">
        <is>
          <t>شارژر باید safe-idle بماند؛ duty صفر؛ بدون تصمیم بر اساس v_in/v_bat زباله؛ مانند task_protection هر 9 فیلد صفر</t>
        </is>
      </c>
      <c r="I6" s="87" t="inlineStr">
        <is>
          <t>safe-idle</t>
        </is>
      </c>
      <c r="J6" s="87" t="inlineStr">
        <is>
          <t>duty=0 بدون overcurrent کاذب</t>
        </is>
      </c>
      <c r="K6" s="56" t="n"/>
      <c r="L6" s="67" t="inlineStr">
        <is>
          <t>نیاز به تکرار</t>
        </is>
      </c>
      <c r="M6" s="56" t="n"/>
      <c r="N6" s="56" t="n"/>
      <c r="O6" s="89" t="inlineStr">
        <is>
          <t>62f3782</t>
        </is>
      </c>
      <c r="P6" s="58" t="n"/>
      <c r="Q6" s="90" t="inlineStr">
        <is>
          <t>2026-10-12</t>
        </is>
      </c>
    </row>
    <row r="7" ht="54" customHeight="1">
      <c r="A7" s="55" t="inlineStr">
        <is>
          <t>CH-038</t>
        </is>
      </c>
      <c r="B7" s="56" t="inlineStr">
        <is>
          <t>حفظ THERMAL_REST در SafeIdle</t>
        </is>
      </c>
      <c r="C7" s="58" t="inlineStr">
        <is>
          <t>متوسط</t>
        </is>
      </c>
      <c r="D7" s="56" t="inlineStr">
        <is>
          <t>کانال در استراحت حرارتی</t>
        </is>
      </c>
      <c r="E7" s="65" t="inlineStr">
        <is>
          <t>گام ۱: یک کانال را به استراحت حرارتی ببر (مثل تست CH-036) تا در THERMAL_REST باشد.
گام ۲: هنگام استراحت، دادهٔ نامعتبر بده (valid=false).
گام ۳: 2 ثانیه وضعیت را نگاه کن. باید THERMAL_REST بماند، نه اینکه به OFF برود.
گام ۴: بعد از معتبرشدن داده، استراحت باید سر جایش ادامه پیدا کند.
گام ۵: قبولی وقتی است که SafeIdle قفل حرارتی را پاک نکرده باشد.</t>
        </is>
      </c>
      <c r="F7" s="58" t="inlineStr">
        <is>
          <t>valid=false حین rest</t>
        </is>
      </c>
      <c r="G7" s="58" t="inlineStr">
        <is>
          <t>2s</t>
        </is>
      </c>
      <c r="H7" s="56" t="inlineStr">
        <is>
          <t>THERMAL_REST حفظ نه OFF</t>
        </is>
      </c>
      <c r="I7" s="56" t="inlineStr">
        <is>
          <t>—</t>
        </is>
      </c>
      <c r="J7" s="56" t="inlineStr">
        <is>
          <t>PASS: SafeIdle لچ حرارتی را پاک نکند</t>
        </is>
      </c>
      <c r="K7" s="61" t="n"/>
      <c r="L7" s="72" t="inlineStr">
        <is>
          <t>قبول</t>
        </is>
      </c>
      <c r="M7" s="61" t="n"/>
      <c r="N7" s="56" t="inlineStr">
        <is>
          <t>کد بازبینی</t>
        </is>
      </c>
      <c r="O7" s="58" t="inlineStr">
        <is>
          <t>thermal</t>
        </is>
      </c>
      <c r="P7" s="63" t="n"/>
      <c r="Q7" s="60" t="inlineStr">
        <is>
          <t>2026-10-12</t>
        </is>
      </c>
    </row>
    <row r="8">
      <c r="A8" s="54" t="n"/>
      <c r="B8" s="54" t="n"/>
      <c r="C8" s="54" t="n"/>
      <c r="D8" s="54" t="n"/>
      <c r="E8" s="54" t="n"/>
      <c r="F8" s="54" t="n"/>
      <c r="G8" s="54" t="n"/>
      <c r="H8" s="54" t="n"/>
      <c r="I8" s="54" t="n"/>
      <c r="J8" s="54" t="n"/>
      <c r="K8" s="54" t="n"/>
      <c r="L8" s="54" t="n"/>
      <c r="M8" s="54" t="n"/>
      <c r="N8" s="54" t="n"/>
      <c r="O8" s="54" t="n"/>
      <c r="P8" s="54" t="n"/>
      <c r="Q8" s="68">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4"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5" t="inlineStr">
        <is>
          <t>ثبت ایرادهای مشاهده‌شده — ماژول Charger</t>
        </is>
      </c>
    </row>
    <row r="2" ht="30" customHeight="1">
      <c r="A2" s="86"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نسخهٔ برنامه</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5"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نسخهٔ برنامه</t>
        </is>
      </c>
      <c r="B8" s="50" t="inlineStr">
        <is>
          <t>(بعد از تست پر شود)</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5"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95"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95"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3" ht="24" customHeight="1">
      <c r="A3" s="9" t="inlineStr">
        <is>
          <t>حالت‌ها و گذارهای همین ماژول</t>
        </is>
      </c>
      <c r="B3" s="10" t="inlineStr">
        <is>
          <t>Charger_State_Machine.xlsx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2026-10-18T11:13:49Z</dcterms:modified>
</cp:coreProperties>
</file>