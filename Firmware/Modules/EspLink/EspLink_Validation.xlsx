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برنامه تست" sheetId="2" state="visible" r:id="rId2"/>
    <sheet name="تست‌های آزمایشگاهی" sheetId="3" state="visible" r:id="rId3"/>
    <sheet name="تست‌های برنامه‌نویسی" sheetId="4" state="visible" r:id="rId4"/>
    <sheet name="مراجع سناریو" sheetId="5" state="visible" r:id="rId5"/>
    <sheet name="ثبت ایراد" sheetId="6" state="visible" r:id="rId6"/>
    <sheet name="تأیید نهایی" sheetId="7" state="visible" r:id="rId7"/>
    <sheet name="فهرست‌ها" sheetId="8" state="visible" r:id="rId8"/>
    <sheet name="ماشین حالت" sheetId="9" state="visible" r:id="rId9"/>
  </sheets>
  <definedNames>
    <definedName name="_xlnm._FilterDatabase" localSheetId="1" hidden="1">'برنامه تست'!$A$4:$Q$62</definedName>
    <definedName name="_xlnm.Print_Titles" localSheetId="1">'برنامه تست'!$4:$4</definedName>
    <definedName name="_xlnm._FilterDatabase" localSheetId="2" hidden="1">'تست‌های آزمایشگاهی'!$A$4:$Q$5</definedName>
    <definedName name="_xlnm.Print_Titles" localSheetId="2">'تست‌های آزمایشگاهی'!$4:$4</definedName>
    <definedName name="_xlnm._FilterDatabase" localSheetId="3" hidden="1">'تست‌های برنامه‌نویسی'!$A$4:$Q$5</definedName>
    <definedName name="_xlnm.Print_Titles" localSheetId="3">'تست‌های برنامه‌نویسی'!$4:$4</definedName>
  </definedNames>
  <calcPr calcId="124519" calcMode="auto" fullCalcOnLoad="1" iterate="1" iterateCount="100" iterateDelta="0.00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8"/>
    </font>
    <font>
      <name val="Calibri"/>
      <b val="1"/>
      <sz val="8"/>
    </font>
    <font>
      <name val="Vazirmatn"/>
      <b val="1"/>
      <color rgb="00FFFFFF"/>
      <sz val="14"/>
    </font>
    <font>
      <name val="Vazirmatn"/>
      <b val="1"/>
      <sz val="10"/>
    </font>
    <font>
      <name val="Vazirmatn"/>
      <color rgb="000563C1"/>
      <sz val="10"/>
      <u val="single"/>
    </font>
    <font>
      <name val="Vazirmatn"/>
      <sz val="10"/>
    </font>
    <font>
      <name val="Tahoma"/>
      <b val="1"/>
      <sz val="10"/>
    </font>
    <font>
      <name val="Tahoma"/>
      <sz val="8"/>
    </font>
    <font>
      <name val="Tahoma"/>
      <b val="1"/>
      <sz val="8"/>
    </font>
    <font>
      <name val="Tahoma"/>
      <color theme="1"/>
      <sz val="11"/>
    </font>
    <font>
      <name val="Tahoma"/>
      <b val="1"/>
      <color rgb="00FFFFFF"/>
      <sz val="14"/>
    </font>
    <font>
      <name val="Tahoma"/>
      <color rgb="000563C1"/>
      <sz val="10"/>
      <u val="single"/>
    </font>
    <font>
      <name val="Tahoma"/>
      <sz val="10"/>
    </font>
    <font>
      <name val="Tahoma"/>
      <b val="1"/>
      <color rgb="00FFFFFF"/>
      <sz val="11"/>
    </font>
    <font>
      <name val="Tahoma"/>
      <b val="1"/>
      <color rgb="001F3864"/>
      <sz val="13"/>
    </font>
    <font>
      <name val="Tahoma"/>
      <b val="1"/>
      <color rgb="00C00000"/>
      <sz val="10"/>
    </font>
    <font>
      <name val="Tahoma"/>
      <color rgb="000563C1"/>
      <sz val="8"/>
      <u val="single"/>
    </font>
    <font>
      <name val="Tahoma"/>
      <b val="1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E699"/>
      </patternFill>
    </fill>
    <fill>
      <patternFill patternType="solid">
        <fgColor rgb="00F2F6FC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15" fillId="4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8" fillId="5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right" vertical="center" wrapText="1"/>
    </xf>
    <xf numFmtId="0" fontId="17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164" fontId="14" fillId="0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right" vertical="center" wrapText="1"/>
    </xf>
    <xf numFmtId="0" fontId="17" fillId="7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164" fontId="14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164" fontId="0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8" fillId="3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 wrapText="1"/>
    </xf>
    <xf numFmtId="0" fontId="13" fillId="0" borderId="1" applyAlignment="1" pivotButton="0" quotePrefix="0" xfId="0">
      <alignment horizontal="right" vertical="center" wrapText="1"/>
    </xf>
    <xf numFmtId="0" fontId="14" fillId="0" borderId="1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0" applyAlignment="1" pivotButton="0" quotePrefix="0" xfId="0">
      <alignment horizontal="right" vertical="center" wrapText="1"/>
    </xf>
    <xf numFmtId="0" fontId="13" fillId="0" borderId="2" applyAlignment="1" pivotButton="0" quotePrefix="0" xfId="0">
      <alignment horizontal="right" vertical="center" wrapText="1"/>
    </xf>
    <xf numFmtId="0" fontId="13" fillId="7" borderId="2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14" fillId="0" borderId="0" applyAlignment="1" pivotButton="0" quotePrefix="0" xfId="0">
      <alignment vertical="center" wrapText="1"/>
    </xf>
    <xf numFmtId="0" fontId="1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../ESP_AGENT_SPEC.md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../Charger/Tester/host_test_charger.py" TargetMode="External" Id="rId1" /><Relationship Type="http://schemas.openxmlformats.org/officeDocument/2006/relationships/hyperlink" Target="../../../esp_link_panel/Tester/host_test_scenario_cards.js" TargetMode="External" Id="rId2" /><Relationship Type="http://schemas.openxmlformats.org/officeDocument/2006/relationships/hyperlink" Target="../../../esp_link_panel/Tester/host_test_scenario_cards.js" TargetMode="External" Id="rId3" /><Relationship Type="http://schemas.openxmlformats.org/officeDocument/2006/relationships/hyperlink" Target="../../../esp_link_panel/Tester/host_test_scenario_cards.js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../../Bsp/Src/bsp_uart.c" TargetMode="External" Id="rId1" /><Relationship Type="http://schemas.openxmlformats.org/officeDocument/2006/relationships/hyperlink" Target="../../../ESP_AGENT_SPEC.md" TargetMode="External" Id="rId2" /><Relationship Type="http://schemas.openxmlformats.org/officeDocument/2006/relationships/hyperlink" Target="../CalLut/cal_lut.c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EspLink_State_Machine.xlsx" TargetMode="External" Id="rId1" /><Relationship Type="http://schemas.openxmlformats.org/officeDocument/2006/relationships/hyperlink" Target="../../../Documentation/System_State_Machine.xlsx" TargetMode="External" Id="rId2" /><Relationship Type="http://schemas.openxmlformats.org/officeDocument/2006/relationships/hyperlink" Target="../../../tools/make_module_state_machines.py" TargetMode="External" Id="rId3" 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برگه تست و اعتبارسنجی عملی ماژول EspLink</t>
        </is>
      </c>
    </row>
    <row r="2">
      <c r="A2" s="13" t="inlineStr">
        <is>
          <t>EspLink | پل UART 921600 8N1 با DMA دوطرفه؛ پروتکل v1.2 (SET_PARAM/GET_PARAMS/TLM_LIVE/PARAM_REPORT/PARAMS_BULK) + مود تست دستی ID19</t>
        </is>
      </c>
    </row>
    <row r="3" ht="30" customHeight="1">
      <c r="A3" s="14" t="inlineStr">
        <is>
          <t>هدف فایل</t>
        </is>
      </c>
    </row>
    <row r="4">
      <c r="A4" s="2" t="inlineStr"/>
    </row>
    <row r="5">
      <c r="A5" s="13" t="inlineStr">
        <is>
          <t>فعال‌سازی با MODULE_ESP=1 (فقط همان یک خط)؛ CH_PD از PA8 توسط برد کنترل می‌شود.</t>
        </is>
      </c>
    </row>
    <row r="6">
      <c r="A6" s="40" t="inlineStr">
        <is>
          <t>قرارداد کامل در ESP_AGENT_SPEC.md v1.2؛ محدودیت‌های سمت ESP در README همین ماژول.</t>
        </is>
      </c>
    </row>
    <row r="7">
      <c r="A7" s="13" t="inlineStr">
        <is>
          <t>پنل وب سمت ESP در esp_link_panel/ (ممیزی خط‌به‌خط، کامیت 32098b4).</t>
        </is>
      </c>
    </row>
    <row r="8">
      <c r="A8" s="2" t="inlineStr"/>
    </row>
    <row r="9">
      <c r="A9" s="13" t="inlineStr">
        <is>
          <t>هشدار: تست‌های مود دستی فقط با بار ایمن (electronic load با clamp) و منبع محدودشده.</t>
        </is>
      </c>
    </row>
    <row r="10">
      <c r="A10" s="13" t="inlineStr">
        <is>
          <t>یادداشت: تست‌های Host و DOM پنل وب (خود برنامهٔ ESP) در این فرم ثبت شده‌اند؛ هیچ‌کدام جای تست واقعی برد، فلش و UART را نمی‌گیرند.</t>
        </is>
      </c>
    </row>
  </sheetData>
  <mergeCells count="10">
    <mergeCell ref="A8"/>
    <mergeCell ref="A6"/>
    <mergeCell ref="A9"/>
    <mergeCell ref="A4"/>
    <mergeCell ref="A3"/>
    <mergeCell ref="A7"/>
    <mergeCell ref="A2"/>
    <mergeCell ref="A10"/>
    <mergeCell ref="A5"/>
    <mergeCell ref="A1"/>
  </mergeCells>
  <hyperlinks>
    <hyperlink xmlns:r="http://schemas.openxmlformats.org/officeDocument/2006/relationships" ref="A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Q62"/>
  <sheetViews>
    <sheetView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22" customWidth="1" min="4" max="4"/>
    <col width="62" customWidth="1" min="5" max="5"/>
    <col width="22" customWidth="1" min="6" max="6"/>
    <col width="10" customWidth="1" min="7" max="7"/>
    <col width="42" customWidth="1" min="8" max="8"/>
    <col width="12" customWidth="1" min="9" max="9"/>
    <col width="34" customWidth="1" min="10" max="10"/>
    <col width="34" customWidth="1" min="11" max="11"/>
    <col width="13" customWidth="1" min="12" max="12"/>
    <col width="24" customWidth="1" min="13" max="13"/>
    <col width="16" customWidth="1" min="14" max="14"/>
    <col width="12" customWidth="1" min="15" max="15"/>
    <col width="13" customWidth="1" min="16" max="16"/>
    <col width="12" customWidth="1" min="17" max="17"/>
  </cols>
  <sheetData>
    <row r="1">
      <c r="A1" s="15" t="inlineStr">
        <is>
          <t>برنامهٔ تست عملی — ماژول EspLink</t>
        </is>
      </c>
    </row>
    <row r="2">
      <c r="A2" s="13" t="inlineStr">
        <is>
          <t>وضعیت فقط یکی از: در انتظار / قبول / رد / مسدود / نیاز به تکرار. تست Host جایگزین تست برد نیست.</t>
        </is>
      </c>
    </row>
    <row r="3">
      <c r="A3" s="13" t="inlineStr">
        <is>
          <t>برای هر ردیف پیش‌شرط، ورودی، انتظار و معیار قبولی صریح است؛ نتیجهٔ واقعی فقط با اندازه‌گیری روی برد پر می‌شود.</t>
        </is>
      </c>
    </row>
    <row r="4" ht="30" customHeight="1">
      <c r="A4" s="14" t="inlineStr">
        <is>
          <t>شناسه</t>
        </is>
      </c>
      <c r="B4" s="14" t="inlineStr">
        <is>
          <t>دسته</t>
        </is>
      </c>
      <c r="C4" s="14" t="inlineStr">
        <is>
          <t>اولویت</t>
        </is>
      </c>
      <c r="D4" s="14" t="inlineStr">
        <is>
          <t>پیش‌شرط</t>
        </is>
      </c>
      <c r="E4" s="14" t="inlineStr">
        <is>
          <t>روش اجرای دقیق</t>
        </is>
      </c>
      <c r="F4" s="14" t="inlineStr">
        <is>
          <t>ورودی‌ها / شرایط</t>
        </is>
      </c>
      <c r="G4" s="14" t="inlineStr">
        <is>
          <t>مدت مشاهده</t>
        </is>
      </c>
      <c r="H4" s="14" t="inlineStr">
        <is>
          <t>رفتار مورد انتظار</t>
        </is>
      </c>
      <c r="I4" s="14" t="inlineStr">
        <is>
          <t>وضعیت حفظ / latch</t>
        </is>
      </c>
      <c r="J4" s="14" t="inlineStr">
        <is>
          <t>معیار قبولی</t>
        </is>
      </c>
      <c r="K4" s="14" t="inlineStr">
        <is>
          <t>نتیجهٔ واقعی / اندازه‌گیری</t>
        </is>
      </c>
      <c r="L4" s="14" t="inlineStr">
        <is>
          <t>وضعیت</t>
        </is>
      </c>
      <c r="M4" s="14" t="inlineStr">
        <is>
          <t>شرح ایراد / تفاوت</t>
        </is>
      </c>
      <c r="N4" s="14" t="inlineStr">
        <is>
          <t>مدرک تست / scope</t>
        </is>
      </c>
      <c r="O4" s="14" t="inlineStr">
        <is>
          <t>commit</t>
        </is>
      </c>
      <c r="P4" s="14" t="inlineStr">
        <is>
          <t>نام تست‌کننده</t>
        </is>
      </c>
      <c r="Q4" s="14" t="inlineStr">
        <is>
          <t>تاریخ</t>
        </is>
      </c>
    </row>
    <row r="5" ht="54" customHeight="1">
      <c r="A5" s="16" t="inlineStr">
        <is>
          <t>EL-001</t>
        </is>
      </c>
      <c r="B5" s="17" t="inlineStr">
        <is>
          <t>CH_PD و بوت</t>
        </is>
      </c>
      <c r="C5" s="18" t="inlineStr">
        <is>
          <t>بالا</t>
        </is>
      </c>
      <c r="D5" s="17" t="inlineStr">
        <is>
          <t>کابل ESP و پنل آماده است؛ دستگاه خاموش</t>
        </is>
      </c>
      <c r="E5" s="17" t="inlineStr">
        <is>
          <t>گام ۱: دستگاه را روشن کن.
گام ۲: پنل را باز کن و ببین ارتباط برقرار و عددها زنده می‌شوند.</t>
        </is>
      </c>
      <c r="F5" s="19" t="inlineStr">
        <is>
          <t>روشن‌کردن دستگاه با پنل</t>
        </is>
      </c>
      <c r="G5" s="19" t="inlineStr">
        <is>
          <t>یک دقیقه</t>
        </is>
      </c>
      <c r="H5" s="17" t="inlineStr">
        <is>
          <t>پنل بالا می‌آید و عددهای زندهٔ دستگاه را نشان می‌دهد</t>
        </is>
      </c>
      <c r="I5" s="17" t="inlineStr">
        <is>
          <t>ارتباط پایدار</t>
        </is>
      </c>
      <c r="J5" s="17" t="inlineStr">
        <is>
          <t>بالا آمدن پنل و عدد زنده = قبول؛ بی‌ارتباطی = رد</t>
        </is>
      </c>
      <c r="K5" s="17" t="inlineStr"/>
      <c r="L5" s="20" t="inlineStr">
        <is>
          <t>در انتظار</t>
        </is>
      </c>
      <c r="M5" s="17" t="inlineStr"/>
      <c r="N5" s="17" t="inlineStr"/>
      <c r="O5" s="19" t="inlineStr">
        <is>
          <t>TESTER: fill</t>
        </is>
      </c>
      <c r="P5" s="19" t="inlineStr"/>
      <c r="Q5" s="21" t="inlineStr">
        <is>
          <t>2026-09-23</t>
        </is>
      </c>
    </row>
    <row r="6" ht="40.5" customHeight="1">
      <c r="A6" s="16" t="inlineStr">
        <is>
          <t>EL-002</t>
        </is>
      </c>
      <c r="B6" s="22" t="inlineStr">
        <is>
          <t>تله‌متری زنده</t>
        </is>
      </c>
      <c r="C6" s="23" t="inlineStr">
        <is>
          <t>بالا</t>
        </is>
      </c>
      <c r="D6" s="22" t="inlineStr">
        <is>
          <t>دستگاه روشن و پنل باز است؛ یک مولتی‌متر دستی داری</t>
        </is>
      </c>
      <c r="E6" s="22" t="inlineStr">
        <is>
          <t>گام ۱: ولتاژ باتری و ورودی را روی پنل بخوان.
گام ۲: همان‌ها را با مولتی‌متر روی ترمینال اندازه بگیر.
گام ۳: ولتاژ ورودی را کمی عوض کن و تازه‌شدن عدد پنل را ببین.</t>
        </is>
      </c>
      <c r="F6" s="24" t="inlineStr">
        <is>
          <t>مقایسهٔ زندهٔ پنل با مولتی‌متر</t>
        </is>
      </c>
      <c r="G6" s="24" t="inlineStr">
        <is>
          <t>پنج دقیقه</t>
        </is>
      </c>
      <c r="H6" s="22" t="inlineStr">
        <is>
          <t>عددهای پنل زنده و نزدیک مولتی‌مترند و با تغییر ولتاژ همان لحظه عوض می‌شوند</t>
        </is>
      </c>
      <c r="I6" s="22" t="inlineStr">
        <is>
          <t>به‌روزرسانی پیوسته</t>
        </is>
      </c>
      <c r="J6" s="22" t="inlineStr">
        <is>
          <t>نزدیکی عددها و تازگی = قبول؛ عدد یخ‌زده یا خیلی دور = رد</t>
        </is>
      </c>
      <c r="K6" s="22" t="inlineStr"/>
      <c r="L6" s="20" t="inlineStr">
        <is>
          <t>در انتظار</t>
        </is>
      </c>
      <c r="M6" s="22" t="inlineStr"/>
      <c r="N6" s="22" t="inlineStr"/>
      <c r="O6" s="24" t="inlineStr">
        <is>
          <t>TESTER: fill</t>
        </is>
      </c>
      <c r="P6" s="24" t="inlineStr"/>
      <c r="Q6" s="25" t="inlineStr">
        <is>
          <t>2026-09-23</t>
        </is>
      </c>
    </row>
    <row r="7" ht="54" customHeight="1">
      <c r="A7" s="16" t="inlineStr">
        <is>
          <t>EL-003</t>
        </is>
      </c>
      <c r="B7" s="17" t="inlineStr">
        <is>
          <t>GET_PARAMS → BULK</t>
        </is>
      </c>
      <c r="C7" s="18" t="inlineStr">
        <is>
          <t>بالا</t>
        </is>
      </c>
      <c r="D7" s="17" t="inlineStr">
        <is>
          <t>پنل باز و دستگاه روشن است</t>
        </is>
      </c>
      <c r="E7" s="17" t="inlineStr">
        <is>
          <t>گام ۱: از پنل فهرست پارامترها را کامل بخوان.
گام ۲: چند مقدار معلوم (مثلاً سقف جریان شارژ) را با رفتار واقعی دستگاه مقایسه کن.</t>
        </is>
      </c>
      <c r="F7" s="19" t="inlineStr">
        <is>
          <t>خواندن کامل پارامترها از پنل</t>
        </is>
      </c>
      <c r="G7" s="19" t="inlineStr">
        <is>
          <t>پنج دقیقه</t>
        </is>
      </c>
      <c r="H7" s="17" t="inlineStr">
        <is>
          <t>همهٔ پارامترها با مقدارهای واقعی دستگاه برمی‌گردند</t>
        </is>
      </c>
      <c r="I7" s="17" t="inlineStr">
        <is>
          <t>—</t>
        </is>
      </c>
      <c r="J7" s="17" t="inlineStr">
        <is>
          <t>کامل و درست برگشتن فهرست = قبول؛ مقدار خالی یا اشتباه = رد</t>
        </is>
      </c>
      <c r="K7" s="17" t="inlineStr"/>
      <c r="L7" s="20" t="inlineStr">
        <is>
          <t>در انتظار</t>
        </is>
      </c>
      <c r="M7" s="17" t="inlineStr"/>
      <c r="N7" s="17" t="inlineStr"/>
      <c r="O7" s="19" t="inlineStr">
        <is>
          <t>TESTER: fill</t>
        </is>
      </c>
      <c r="P7" s="19" t="inlineStr"/>
      <c r="Q7" s="21" t="inlineStr">
        <is>
          <t>2026-09-23</t>
        </is>
      </c>
    </row>
    <row r="8" ht="54" customHeight="1">
      <c r="A8" s="16" t="inlineStr">
        <is>
          <t>EL-004</t>
        </is>
      </c>
      <c r="B8" s="22" t="inlineStr">
        <is>
          <t>SET_PARAM → REPORT</t>
        </is>
      </c>
      <c r="C8" s="23" t="inlineStr">
        <is>
          <t>بالا</t>
        </is>
      </c>
      <c r="D8" s="22" t="inlineStr">
        <is>
          <t>پنل باز و دستگاه روشن است</t>
        </is>
      </c>
      <c r="E8" s="22" t="inlineStr">
        <is>
          <t>گام ۱: یک پارامتر بی‌خطر را از پنل عوض کن (مثلاً بلندی/دورهٔ بوق).
گام ۲: رفتار دستگاه را ببین که همان لحظه عوض شود.
گام ۳: مقدار را به حالت اول برگردان.</t>
        </is>
      </c>
      <c r="F8" s="24" t="inlineStr">
        <is>
          <t>تغییر یک پارامتر از پنل</t>
        </is>
      </c>
      <c r="G8" s="24" t="inlineStr">
        <is>
          <t>پنج دقیقه</t>
        </is>
      </c>
      <c r="H8" s="22" t="inlineStr">
        <is>
          <t>تغییر پنل همان لحظه روی دستگاه اثر می‌گذارد</t>
        </is>
      </c>
      <c r="I8" s="22" t="inlineStr">
        <is>
          <t>تا تغییر بعدی</t>
        </is>
      </c>
      <c r="J8" s="22" t="inlineStr">
        <is>
          <t>اثر فوری = قبول؛ بی‌اثری یا نیاز به ریست = رد</t>
        </is>
      </c>
      <c r="K8" s="22" t="inlineStr"/>
      <c r="L8" s="20" t="inlineStr">
        <is>
          <t>در انتظار</t>
        </is>
      </c>
      <c r="M8" s="22" t="inlineStr"/>
      <c r="N8" s="22" t="inlineStr"/>
      <c r="O8" s="24" t="inlineStr">
        <is>
          <t>TESTER: fill</t>
        </is>
      </c>
      <c r="P8" s="24" t="inlineStr"/>
      <c r="Q8" s="25" t="inlineStr">
        <is>
          <t>2026-09-23</t>
        </is>
      </c>
    </row>
    <row r="9" ht="40.5" customHeight="1">
      <c r="A9" s="16" t="inlineStr">
        <is>
          <t>EL-005</t>
        </is>
      </c>
      <c r="B9" s="17" t="inlineStr">
        <is>
          <t>پارامتر ۱۹ مود دستی</t>
        </is>
      </c>
      <c r="C9" s="18" t="inlineStr">
        <is>
          <t>بالا</t>
        </is>
      </c>
      <c r="D9" s="17" t="inlineStr">
        <is>
          <t>پنل باز و دستگاه روشن است</t>
        </is>
      </c>
      <c r="E9" s="17" t="inlineStr">
        <is>
          <t>گام ۱: پارامتر مود تست دستی شارژر (شمارهٔ ۱۹) را از پنل روشن کن.
گام ۲: ببین شارژر به مود دستی می‌رود.
گام ۳: خاموشش کن و برگشت به شارژ خودکار را ببین.</t>
        </is>
      </c>
      <c r="F9" s="19" t="inlineStr">
        <is>
          <t>روشن/خاموش پارامتر ۱۹ از پنل</t>
        </is>
      </c>
      <c r="G9" s="19" t="inlineStr">
        <is>
          <t>پنج دقیقه</t>
        </is>
      </c>
      <c r="H9" s="17" t="inlineStr">
        <is>
          <t>با روشن‌کردن، شارژر دستی و با خاموش‌کردن، خودکار می‌شود</t>
        </is>
      </c>
      <c r="I9" s="17" t="inlineStr">
        <is>
          <t>تابع پنل</t>
        </is>
      </c>
      <c r="J9" s="17" t="inlineStr">
        <is>
          <t>رفت‌وبرگشت درست مود = قبول؛ گیرکردن در یک مود = رد</t>
        </is>
      </c>
      <c r="K9" s="17" t="inlineStr"/>
      <c r="L9" s="20" t="inlineStr">
        <is>
          <t>در انتظار</t>
        </is>
      </c>
      <c r="M9" s="17" t="inlineStr"/>
      <c r="N9" s="17" t="inlineStr"/>
      <c r="O9" s="19" t="inlineStr">
        <is>
          <t>TESTER: fill</t>
        </is>
      </c>
      <c r="P9" s="19" t="inlineStr"/>
      <c r="Q9" s="21" t="inlineStr">
        <is>
          <t>2026-09-23</t>
        </is>
      </c>
    </row>
    <row r="10" ht="54" customHeight="1">
      <c r="A10" s="16" t="inlineStr">
        <is>
          <t>EL-006</t>
        </is>
      </c>
      <c r="B10" s="22" t="inlineStr">
        <is>
          <t>تغذیه ددمن با هر فریم</t>
        </is>
      </c>
      <c r="C10" s="24" t="inlineStr">
        <is>
          <t>متوسط</t>
        </is>
      </c>
      <c r="D10" s="22" t="inlineStr">
        <is>
          <t>پنل باز است و دستگاه در حال کار عادی</t>
        </is>
      </c>
      <c r="E10" s="22" t="inlineStr">
        <is>
          <t>گام ۱: پنل را نیم ساعت باز نگه دار و دستگاه را به کارش بگذار.
گام ۲: هر از چندی نگاه کن ارتباط زنده مانده یا نه.</t>
        </is>
      </c>
      <c r="F10" s="24" t="inlineStr">
        <is>
          <t>نیم ساعت ارتباط باز</t>
        </is>
      </c>
      <c r="G10" s="24" t="inlineStr">
        <is>
          <t>نیم ساعت</t>
        </is>
      </c>
      <c r="H10" s="22" t="inlineStr">
        <is>
          <t>ارتباط در تمام مدت زنده می‌ماند و عددها تازه می‌شوند</t>
        </is>
      </c>
      <c r="I10" s="22" t="inlineStr">
        <is>
          <t>بدون افتادن</t>
        </is>
      </c>
      <c r="J10" s="22" t="inlineStr">
        <is>
          <t>زنده‌ماندن ارتباط = قبول؛ افتادن بی‌دلیل = رد</t>
        </is>
      </c>
      <c r="K10" s="22" t="inlineStr"/>
      <c r="L10" s="20" t="inlineStr">
        <is>
          <t>در انتظار</t>
        </is>
      </c>
      <c r="M10" s="22" t="inlineStr"/>
      <c r="N10" s="22" t="inlineStr"/>
      <c r="O10" s="24" t="inlineStr">
        <is>
          <t>TESTER: fill</t>
        </is>
      </c>
      <c r="P10" s="24" t="inlineStr"/>
      <c r="Q10" s="25" t="inlineStr">
        <is>
          <t>2026-09-23</t>
        </is>
      </c>
    </row>
    <row r="11" ht="54" customHeight="1">
      <c r="A11" s="16" t="inlineStr">
        <is>
          <t>EL-007</t>
        </is>
      </c>
      <c r="B11" s="17" t="inlineStr">
        <is>
          <t>سرریز ring</t>
        </is>
      </c>
      <c r="C11" s="19" t="inlineStr">
        <is>
          <t>متوسط</t>
        </is>
      </c>
      <c r="D11" s="17" t="inlineStr">
        <is>
          <t>پنل باز و دستگاه روشن است</t>
        </is>
      </c>
      <c r="E11" s="17" t="inlineStr">
        <is>
          <t>گام ۱: چند پارامتر را پشت سر هم و سریع از پنل عوض کن.
گام ۲: بعد همه را یکی‌یکی بخوان و با چیزی که فرستادی مقایسه کن.</t>
        </is>
      </c>
      <c r="F11" s="19" t="inlineStr">
        <is>
          <t>تغییر سریع چند پارامتر</t>
        </is>
      </c>
      <c r="G11" s="19" t="inlineStr">
        <is>
          <t>پنج دقیقه</t>
        </is>
      </c>
      <c r="H11" s="17" t="inlineStr">
        <is>
          <t>هیچ تغییری گم نمی‌شود و پنل و دستگاه هنگ نمی‌کنند</t>
        </is>
      </c>
      <c r="I11" s="17" t="inlineStr">
        <is>
          <t>—</t>
        </is>
      </c>
      <c r="J11" s="17" t="inlineStr">
        <is>
          <t>درست نشستن همهٔ تغییرها = قبول؛ گم‌شدن یا هنگ = رد</t>
        </is>
      </c>
      <c r="K11" s="17" t="inlineStr"/>
      <c r="L11" s="20" t="inlineStr">
        <is>
          <t>در انتظار</t>
        </is>
      </c>
      <c r="M11" s="17" t="inlineStr"/>
      <c r="N11" s="17" t="inlineStr"/>
      <c r="O11" s="19" t="inlineStr">
        <is>
          <t>TESTER: fill</t>
        </is>
      </c>
      <c r="P11" s="19" t="inlineStr"/>
      <c r="Q11" s="21" t="inlineStr">
        <is>
          <t>2026-09-23</t>
        </is>
      </c>
    </row>
    <row r="12" ht="54" customHeight="1">
      <c r="A12" s="16" t="inlineStr">
        <is>
          <t>EL-008</t>
        </is>
      </c>
      <c r="B12" s="22" t="inlineStr">
        <is>
          <t>محدودیت burst</t>
        </is>
      </c>
      <c r="C12" s="24" t="inlineStr">
        <is>
          <t>متوسط</t>
        </is>
      </c>
      <c r="D12" s="22" t="inlineStr">
        <is>
          <t>پنل باز و دستگاه روشن است</t>
        </is>
      </c>
      <c r="E12" s="22" t="inlineStr">
        <is>
          <t>گام ۱: در مدت کوتاه دستورهای زیادی از پنل بفرست (خواندن و نوشتن پشت سر هم).
گام ۲: رفتار دستگاه و پنل را نگاه کن.</t>
        </is>
      </c>
      <c r="F12" s="24" t="inlineStr">
        <is>
          <t>بار زیاد دستور از پنل</t>
        </is>
      </c>
      <c r="G12" s="24" t="inlineStr">
        <is>
          <t>پنج دقیقه</t>
        </is>
      </c>
      <c r="H12" s="22" t="inlineStr">
        <is>
          <t>دستگاه به نوبت و کامل جواب می‌دهد؛ هنگ، ریست یا جواب نصفه نیست</t>
        </is>
      </c>
      <c r="I12" s="22" t="inlineStr">
        <is>
          <t>—</t>
        </is>
      </c>
      <c r="J12" s="22" t="inlineStr">
        <is>
          <t>جواب کامل زیر بار = قبول؛ هنگ یا ریست = رد</t>
        </is>
      </c>
      <c r="K12" s="22" t="inlineStr"/>
      <c r="L12" s="20" t="inlineStr">
        <is>
          <t>در انتظار</t>
        </is>
      </c>
      <c r="M12" s="22" t="inlineStr"/>
      <c r="N12" s="22" t="inlineStr"/>
      <c r="O12" s="24" t="inlineStr">
        <is>
          <t>TESTER: fill</t>
        </is>
      </c>
      <c r="P12" s="24" t="inlineStr"/>
      <c r="Q12" s="25" t="inlineStr">
        <is>
          <t>2026-09-23</t>
        </is>
      </c>
    </row>
    <row r="13" ht="40.5" customHeight="1">
      <c r="A13" s="16" t="inlineStr">
        <is>
          <t>EL-010</t>
        </is>
      </c>
      <c r="B13" s="22" t="inlineStr">
        <is>
          <t>فلگ‌های تله‌متری</t>
        </is>
      </c>
      <c r="C13" s="24" t="inlineStr">
        <is>
          <t>متوسط</t>
        </is>
      </c>
      <c r="D13" s="22" t="inlineStr">
        <is>
          <t>پنل باز؛ دستگاه با برق شهر در حال شارژ باتری است</t>
        </is>
      </c>
      <c r="E13" s="22" t="inlineStr">
        <is>
          <t>گام ۱: حین شارژ سیم باتری را بکش تا خطای ۶ بیاید.
گام ۲: در پنل ببین خطای ۶ و توقف شارژ نشان داده می‌شود.
گام ۳: باتری را وصل کن و پاک‌شدن خطا را در پنل ببین.</t>
        </is>
      </c>
      <c r="F13" s="24" t="inlineStr">
        <is>
          <t>ساختن و پاک‌کردن خطای ۶</t>
        </is>
      </c>
      <c r="G13" s="24" t="inlineStr">
        <is>
          <t>پنج دقیقه</t>
        </is>
      </c>
      <c r="H13" s="22" t="inlineStr">
        <is>
          <t>پرچم خطا در پنل دقیقاً با چراغ‌های دستگاه یکی است</t>
        </is>
      </c>
      <c r="I13" s="22" t="inlineStr">
        <is>
          <t>هم‌گام با دستگاه</t>
        </is>
      </c>
      <c r="J13" s="22" t="inlineStr">
        <is>
          <t>یکی‌بودن پنل و واقعیت = قبول؛ اختلاف = رد</t>
        </is>
      </c>
      <c r="K13" s="22" t="inlineStr"/>
      <c r="L13" s="20" t="inlineStr">
        <is>
          <t>در انتظار</t>
        </is>
      </c>
      <c r="M13" s="22" t="inlineStr"/>
      <c r="N13" s="22" t="inlineStr"/>
      <c r="O13" s="24" t="inlineStr">
        <is>
          <t>TESTER: fill</t>
        </is>
      </c>
      <c r="P13" s="24" t="inlineStr"/>
      <c r="Q13" s="25" t="inlineStr">
        <is>
          <t>2026-09-23</t>
        </is>
      </c>
    </row>
    <row r="14" ht="54" customHeight="1">
      <c r="A14" s="16" t="inlineStr">
        <is>
          <t>EL-011</t>
        </is>
      </c>
      <c r="B14" s="17" t="inlineStr">
        <is>
          <t>state 9 و b5</t>
        </is>
      </c>
      <c r="C14" s="18" t="inlineStr">
        <is>
          <t>بالا</t>
        </is>
      </c>
      <c r="D14" s="17" t="inlineStr">
        <is>
          <t>پنل باز و دستگاه روشن است</t>
        </is>
      </c>
      <c r="E14" s="17" t="inlineStr">
        <is>
          <t>گام ۱: دستگاه را به شارژ بزن و وضعیت شارژر را در پنل بخوان.
گام ۲: شارژ را قطع کن (برق شهر را بکش) و دوباره وضعیت را بخوان.
گام ۳: هر دو را با چیزی که روی دستگاه می‌بینی مقایسه کن.</t>
        </is>
      </c>
      <c r="F14" s="19" t="inlineStr">
        <is>
          <t>شروع و قطع شارژ جلوی پنل</t>
        </is>
      </c>
      <c r="G14" s="19" t="inlineStr">
        <is>
          <t>پنج دقیقه</t>
        </is>
      </c>
      <c r="H14" s="17" t="inlineStr">
        <is>
          <t>وضعیت شارژر در پنل در هر دو حالت با واقعیت یکی است</t>
        </is>
      </c>
      <c r="I14" s="17" t="inlineStr">
        <is>
          <t>—</t>
        </is>
      </c>
      <c r="J14" s="17" t="inlineStr">
        <is>
          <t>یکی‌بودن وضعیت‌ها = قبول؛ وضعیت دروغ در پنل = رد</t>
        </is>
      </c>
      <c r="K14" s="17" t="inlineStr"/>
      <c r="L14" s="20" t="inlineStr">
        <is>
          <t>در انتظار</t>
        </is>
      </c>
      <c r="M14" s="17" t="inlineStr"/>
      <c r="N14" s="17" t="inlineStr"/>
      <c r="O14" s="19" t="inlineStr">
        <is>
          <t>TESTER: fill</t>
        </is>
      </c>
      <c r="P14" s="19" t="inlineStr"/>
      <c r="Q14" s="21" t="inlineStr">
        <is>
          <t>2026-09-23</t>
        </is>
      </c>
    </row>
    <row r="15" ht="54" customHeight="1">
      <c r="A15" s="16" t="inlineStr">
        <is>
          <t>EL-013</t>
        </is>
      </c>
      <c r="B15" s="17" t="inlineStr">
        <is>
          <t>کالیبراسیون و read-back</t>
        </is>
      </c>
      <c r="C15" s="18" t="inlineStr">
        <is>
          <t>بالا</t>
        </is>
      </c>
      <c r="D15" s="17" t="inlineStr">
        <is>
          <t>پنل باز و راهنمای کالیبراسیون را می‌دانی</t>
        </is>
      </c>
      <c r="E15" s="17" t="inlineStr">
        <is>
          <t>گام ۱: از پنل یک نقطهٔ کالیبراسیون را بفرست.
گام ۲: همان را از پنل بخوان (read-back).
گام ۳: عدد برگشتی را با فرستاده مقایسه کن.</t>
        </is>
      </c>
      <c r="F15" s="19" t="inlineStr">
        <is>
          <t>فرستادن و خواندن کالیبراسیون</t>
        </is>
      </c>
      <c r="G15" s="19" t="inlineStr">
        <is>
          <t>پنج دقیقه</t>
        </is>
      </c>
      <c r="H15" s="17" t="inlineStr">
        <is>
          <t>عدد برگشتی دقیقاً همان فرستاده است</t>
        </is>
      </c>
      <c r="I15" s="17" t="inlineStr">
        <is>
          <t>ماندگار</t>
        </is>
      </c>
      <c r="J15" s="17" t="inlineStr">
        <is>
          <t>برابری عددها = قبول؛ اختلاف = رد</t>
        </is>
      </c>
      <c r="K15" s="17" t="inlineStr">
        <is>
          <t>Host PASS: DOM 331 check شامل summary نام‌محور، checkbox انتخاب همهٔ نمونه‌ها، modal یک‌تأییدی و write/readback همهٔ پارامترهای معتبر؛ Charger 53 check؛ برد اجرا نشده</t>
        </is>
      </c>
      <c r="L15" s="20" t="inlineStr">
        <is>
          <t>در انتظار</t>
        </is>
      </c>
      <c r="M15" s="17" t="inlineStr">
        <is>
          <t>Host جای تست برد را نمی‌گیرد؛ برد باید با build جدید فلش شود</t>
        </is>
      </c>
      <c r="N15" s="41" t="inlineStr">
        <is>
          <t>Firmware/Modules/Charger/Tester/host_test_charger.py؛ tools/check_firmware_syntax.sh</t>
        </is>
      </c>
      <c r="O15" s="19" t="inlineStr">
        <is>
          <t>WORKTREE</t>
        </is>
      </c>
      <c r="P15" s="19" t="inlineStr"/>
      <c r="Q15" s="21" t="inlineStr">
        <is>
          <t>2026-10-07</t>
        </is>
      </c>
    </row>
    <row r="16" ht="54" customHeight="1">
      <c r="A16" s="16" t="inlineStr">
        <is>
          <t>EL-014</t>
        </is>
      </c>
      <c r="B16" s="22" t="inlineStr">
        <is>
          <t>LUT readback عددبه‌عدد</t>
        </is>
      </c>
      <c r="C16" s="23" t="inlineStr">
        <is>
          <t>بالا</t>
        </is>
      </c>
      <c r="D16" s="22" t="inlineStr">
        <is>
          <t>پنل باز و یک جدول LUT ذخیره شده است</t>
        </is>
      </c>
      <c r="E16" s="22" t="inlineStr">
        <is>
          <t>گام ۱: جدول را از پنل کامل بخوان.
گام ۲: چند عددش را با جدولی که قبلاً فرستاده بودی مقایسه کن.</t>
        </is>
      </c>
      <c r="F16" s="24" t="inlineStr">
        <is>
          <t>خواندن کامل جدول از پنل</t>
        </is>
      </c>
      <c r="G16" s="24" t="inlineStr">
        <is>
          <t>پنج دقیقه</t>
        </is>
      </c>
      <c r="H16" s="22" t="inlineStr">
        <is>
          <t>جدول عددبه‌عدد همان ذخیره‌شده است؛ هیچ عددی جابه‌جا یا کم نیست</t>
        </is>
      </c>
      <c r="I16" s="22" t="inlineStr">
        <is>
          <t>—</t>
        </is>
      </c>
      <c r="J16" s="22" t="inlineStr">
        <is>
          <t>برابری کامل = قبول؛ هر اختلاف = رد</t>
        </is>
      </c>
      <c r="K16" s="22" t="inlineStr">
        <is>
          <t>Host PASS: CalLut 159 check، ESP 112 check، DOM پنل 324 check؛ شامل preflight، readback همهٔ calibrationهای معتبر، انتخاب انحصاری SWEEP/دستی با گام، تم کلیدهای پنل و update مستقل؛ اجرای برد فیزیکی انجام نشده</t>
        </is>
      </c>
      <c r="L16" s="20" t="inlineStr">
        <is>
          <t>در انتظار</t>
        </is>
      </c>
      <c r="M16" s="22" t="inlineStr">
        <is>
          <t>Host جای تست برد را نمی‌گیرد؛ با firmware جدید روی برد واقعی تکرار شود</t>
        </is>
      </c>
      <c r="N16" s="42" t="inlineStr">
        <is>
          <t>Firmware/Modules/CalLut/Tester/run_host_test_cal_lut.sh؛ esp_link_panel/Tester/run_esp_tests.sh؛ esp_link_panel/Tester/host_test_scenario_cards.js</t>
        </is>
      </c>
      <c r="O16" s="24" t="inlineStr">
        <is>
          <t>WORKTREE</t>
        </is>
      </c>
      <c r="P16" s="24" t="inlineStr"/>
      <c r="Q16" s="25" t="inlineStr">
        <is>
          <t>2026-10-07</t>
        </is>
      </c>
    </row>
    <row r="17" ht="67.5" customHeight="1">
      <c r="A17" s="16" t="inlineStr">
        <is>
          <t>EL-015</t>
        </is>
      </c>
      <c r="B17" s="17" t="inlineStr">
        <is>
          <t>صفرنقطه و کانال نامعتبر</t>
        </is>
      </c>
      <c r="C17" s="18" t="inlineStr">
        <is>
          <t>بالا</t>
        </is>
      </c>
      <c r="D17" s="17" t="inlineStr">
        <is>
          <t>پنل باز و جدول سالمی ذخیره است</t>
        </is>
      </c>
      <c r="E17" s="17" t="inlineStr">
        <is>
          <t>گام ۱: از پنل یک نقطهٔ صفر یا کانال ناموجود بفرست.
گام ۲: جدول را دوباره بخوان.</t>
        </is>
      </c>
      <c r="F17" s="19" t="inlineStr">
        <is>
          <t>فرستادن نقطهٔ صفر/کانال بد</t>
        </is>
      </c>
      <c r="G17" s="19" t="inlineStr">
        <is>
          <t>پنج دقیقه</t>
        </is>
      </c>
      <c r="H17" s="17" t="inlineStr">
        <is>
          <t>دستگاه ورودی خراب را نمی‌پذیرد و جدول قبلی سالم می‌ماند</t>
        </is>
      </c>
      <c r="I17" s="17" t="inlineStr">
        <is>
          <t>حفظ جدول قبلی</t>
        </is>
      </c>
      <c r="J17" s="17" t="inlineStr">
        <is>
          <t>رد ورودی خراب = قبول؛ خراب‌شدن جدول = رد</t>
        </is>
      </c>
      <c r="K17" s="17" t="inlineStr">
        <is>
          <t>Host PASS: CalLut 159 check، ESP 112 check، DOM پنل 324 check؛ شامل گیت readback کالیبراسیون، update مستقل، کلیدهای factory-reset یکدست و summary صفرنقطه؛ اجرای برد فیزیکی انجام نشده</t>
        </is>
      </c>
      <c r="L17" s="20" t="inlineStr">
        <is>
          <t>در انتظار</t>
        </is>
      </c>
      <c r="M17" s="17" t="inlineStr">
        <is>
          <t>Host جای تست برد را نمی‌گیرد؛ transition صفرنقطه و invalid-channel باید روی برد واقعی هم تکرار شود</t>
        </is>
      </c>
      <c r="N17" s="41" t="inlineStr">
        <is>
          <t>esp_link_panel/Tester/host_test_scenario_cards.js؛ Firmware/Modules/CalLut/Tester/run_host_test_cal_lut.sh</t>
        </is>
      </c>
      <c r="O17" s="19" t="inlineStr">
        <is>
          <t>WORKTREE</t>
        </is>
      </c>
      <c r="P17" s="19" t="n"/>
      <c r="Q17" s="21" t="inlineStr">
        <is>
          <t>2026-10-07</t>
        </is>
      </c>
    </row>
    <row r="18" ht="81" customHeight="1">
      <c r="A18" s="16" t="inlineStr">
        <is>
          <t>EL-016</t>
        </is>
      </c>
      <c r="B18" s="22" t="inlineStr">
        <is>
          <t>reset grant و flush NVM</t>
        </is>
      </c>
      <c r="C18" s="23" t="inlineStr">
        <is>
          <t>بالا</t>
        </is>
      </c>
      <c r="D18" s="22" t="inlineStr">
        <is>
          <t>پنل باز و جدولی ذخیره است</t>
        </is>
      </c>
      <c r="E18" s="22" t="inlineStr">
        <is>
          <t>گام ۱: ریست جدول را از پنل با تأیید انجام بده.
گام ۲: برق دستگاه را قطع و وصل کن.
گام ۳: جدول را دوباره بخوان.</t>
        </is>
      </c>
      <c r="F18" s="24" t="inlineStr">
        <is>
          <t>ریست جدول و قطع‌ووصل برق</t>
        </is>
      </c>
      <c r="G18" s="24" t="inlineStr">
        <is>
          <t>پنج دقیقه</t>
        </is>
      </c>
      <c r="H18" s="22" t="inlineStr">
        <is>
          <t>جدول پاک مانده و بعد از روشن‌شدن برنمی‌گردد</t>
        </is>
      </c>
      <c r="I18" s="22" t="inlineStr">
        <is>
          <t>ماندگار</t>
        </is>
      </c>
      <c r="J18" s="22" t="inlineStr">
        <is>
          <t>پاک‌ماندن = قبول؛ برگشتن جدول پاک‌شده = رد</t>
        </is>
      </c>
      <c r="K18" s="22" t="inlineStr">
        <is>
          <t>Host PASS: parser=14، NVM، CalLut=159، ESP=112، DOM=331 و Charger=53؛ audit consistency با stamp و preview رسمی PASS؛ تست فیزیکی برد انجام نشده</t>
        </is>
      </c>
      <c r="L18" s="20" t="inlineStr">
        <is>
          <t>در انتظار</t>
        </is>
      </c>
      <c r="M18" s="22" t="inlineStr">
        <is>
          <t>Host جای تست فیزیکی STM32/ESP، UART، فلش و persistence را نمی‌گیرد؛ روی برد واقعی با تزریق/اندازه‌گیری flush تکرار شود</t>
        </is>
      </c>
      <c r="N18" s="42" t="inlineStr">
        <is>
          <t>Firmware/Modules/EspLink/Tester/run_host_test_parser.sh؛ run_host_test_nvm.sh؛ Firmware/Modules/CalLut/Tester/run_host_test_cal_lut.sh؛ esp_link_panel/Tester/host_test_scenario_cards.js؛ tools/audit_consistency.py</t>
        </is>
      </c>
      <c r="O18" s="24" t="inlineStr">
        <is>
          <t>WORKTREE</t>
        </is>
      </c>
      <c r="P18" s="24" t="n"/>
      <c r="Q18" s="25" t="inlineStr">
        <is>
          <t>2026-10-08</t>
        </is>
      </c>
    </row>
    <row r="19" ht="67.5" customHeight="1">
      <c r="A19" s="16" t="inlineStr">
        <is>
          <t>EL-017</t>
        </is>
      </c>
      <c r="B19" s="17" t="inlineStr">
        <is>
          <t>پنل دیالوگ alert</t>
        </is>
      </c>
      <c r="C19" s="18" t="inlineStr">
        <is>
          <t>بالا</t>
        </is>
      </c>
      <c r="D19" s="17" t="inlineStr">
        <is>
          <t>پنل باز و دستگاه در حال کار است</t>
        </is>
      </c>
      <c r="E19" s="17" t="inlineStr">
        <is>
          <t>گام ۱: کاری کن یک پیام هشدار (alert) در پنل بیاید (مثلاً یک خطای واقعی مثل قطع باتری).
گام ۲: متن پیام را بخوان و تأییدش کن.
گام ۳: ببین کار دستگاه حین پیام مختل نشده.</t>
        </is>
      </c>
      <c r="F19" s="19" t="inlineStr">
        <is>
          <t>هشدار واقعی در پنل</t>
        </is>
      </c>
      <c r="G19" s="19" t="inlineStr">
        <is>
          <t>پنج دقیقه</t>
        </is>
      </c>
      <c r="H19" s="17" t="inlineStr">
        <is>
          <t>پیام درست و خوانا می‌آید، با تأیید بسته می‌شود و کار دستگاه ادامه دارد</t>
        </is>
      </c>
      <c r="I19" s="17" t="inlineStr">
        <is>
          <t>—</t>
        </is>
      </c>
      <c r="J19" s="17" t="inlineStr">
        <is>
          <t>پیام درست بدون اختلال = قبول؛ هنگ یا پیام اشتباه = رد</t>
        </is>
      </c>
      <c r="K19" s="17" t="n"/>
      <c r="L19" s="26" t="inlineStr">
        <is>
          <t>نیاز به تکرار</t>
        </is>
      </c>
      <c r="M19" s="17" t="n"/>
      <c r="N19" s="17" t="inlineStr">
        <is>
          <t>../../../esp_link_panel/Tester/host_test_scenario_cards.js</t>
        </is>
      </c>
      <c r="O19" s="19" t="inlineStr">
        <is>
          <t>62f3782</t>
        </is>
      </c>
      <c r="P19" s="19" t="n"/>
      <c r="Q19" s="21" t="inlineStr">
        <is>
          <t>2026-10-12</t>
        </is>
      </c>
    </row>
    <row r="20" ht="67.5" customHeight="1">
      <c r="A20" s="16" t="inlineStr">
        <is>
          <t>EL-018</t>
        </is>
      </c>
      <c r="B20" s="22" t="inlineStr">
        <is>
          <t>پنل دیالوگ confirm</t>
        </is>
      </c>
      <c r="C20" s="23" t="inlineStr">
        <is>
          <t>بالا</t>
        </is>
      </c>
      <c r="D20" s="22" t="inlineStr">
        <is>
          <t>پنل باز است</t>
        </is>
      </c>
      <c r="E20" s="22" t="inlineStr">
        <is>
          <t>گام ۱: یک تغییر مهم را در پنل شروع کن تا پیام تأیید (confirm) بیاید.
گام ۲: این بار لغو (Cancel) را بزن.
گام ۳: مقدار را دوباره بخوان.</t>
        </is>
      </c>
      <c r="F20" s="24" t="inlineStr">
        <is>
          <t>لغو کردن پیام تأیید</t>
        </is>
      </c>
      <c r="G20" s="24" t="inlineStr">
        <is>
          <t>پنج دقیقه</t>
        </is>
      </c>
      <c r="H20" s="22" t="inlineStr">
        <is>
          <t>با لغو، هیچ تغییری اعمال نشده و مقدار قبلی سر جاست</t>
        </is>
      </c>
      <c r="I20" s="22" t="inlineStr">
        <is>
          <t>—</t>
        </is>
      </c>
      <c r="J20" s="22" t="inlineStr">
        <is>
          <t>اعمال‌نشدن تغییر = قبول؛ اعمال با وجود لغو = رد</t>
        </is>
      </c>
      <c r="K20" s="22" t="n"/>
      <c r="L20" s="26" t="inlineStr">
        <is>
          <t>نیاز به تکرار</t>
        </is>
      </c>
      <c r="M20" s="22" t="n"/>
      <c r="N20" s="22" t="inlineStr">
        <is>
          <t>../../../esp_link_panel/Tester/host_test_scenario_cards.js</t>
        </is>
      </c>
      <c r="O20" s="24" t="inlineStr">
        <is>
          <t>62f3782</t>
        </is>
      </c>
      <c r="P20" s="24" t="n"/>
      <c r="Q20" s="25" t="inlineStr">
        <is>
          <t>2026-10-12</t>
        </is>
      </c>
    </row>
    <row r="21" ht="54" customHeight="1">
      <c r="A21" s="16" t="inlineStr">
        <is>
          <t>EL-019</t>
        </is>
      </c>
      <c r="B21" s="17" t="inlineStr">
        <is>
          <t>صف دیالوگ PMQ</t>
        </is>
      </c>
      <c r="C21" s="19" t="inlineStr">
        <is>
          <t>متوسط</t>
        </is>
      </c>
      <c r="D21" s="17" t="inlineStr">
        <is>
          <t>پنل باز و دستگاه روشن است</t>
        </is>
      </c>
      <c r="E21" s="17" t="inlineStr">
        <is>
          <t>گام ۱: پشت سر هم چند پیام/دیالوگ بساز (چند خطا یا چند تأیید).
گام ۲: ببین به نوبت نشان داده می‌شوند.
گام ۳: همه را ببند.</t>
        </is>
      </c>
      <c r="F21" s="19" t="inlineStr">
        <is>
          <t>چند پیام پشت سر هم</t>
        </is>
      </c>
      <c r="G21" s="19" t="inlineStr">
        <is>
          <t>پنج دقیقه</t>
        </is>
      </c>
      <c r="H21" s="17" t="inlineStr">
        <is>
          <t>پیام‌ها به نوبت و بدون گم‌شدن و قاطی‌شدن نشان داده می‌شوند</t>
        </is>
      </c>
      <c r="I21" s="17" t="inlineStr">
        <is>
          <t>صف مرتب</t>
        </is>
      </c>
      <c r="J21" s="17" t="inlineStr">
        <is>
          <t>نوبت درست = قبول؛ گم‌شدن یا قاطی = رد</t>
        </is>
      </c>
      <c r="K21" s="17" t="n"/>
      <c r="L21" s="26" t="inlineStr">
        <is>
          <t>نیاز به تکرار</t>
        </is>
      </c>
      <c r="M21" s="17" t="n"/>
      <c r="N21" s="17" t="n"/>
      <c r="O21" s="19" t="inlineStr">
        <is>
          <t>62f3782</t>
        </is>
      </c>
      <c r="P21" s="19" t="n"/>
      <c r="Q21" s="21" t="inlineStr">
        <is>
          <t>2026-10-12</t>
        </is>
      </c>
    </row>
    <row r="22" ht="54" customHeight="1">
      <c r="A22" s="16" t="inlineStr">
        <is>
          <t>EL-020</t>
        </is>
      </c>
      <c r="B22" s="22" t="inlineStr">
        <is>
          <t>قفل ترکیب چشمک سبز در پنل</t>
        </is>
      </c>
      <c r="C22" s="23" t="inlineStr">
        <is>
          <t>بالا</t>
        </is>
      </c>
      <c r="D22" s="22" t="inlineStr">
        <is>
          <t>پنل باز؛ تنظیم‌های چراغ سبز شارژ کامل را می‌بینی</t>
        </is>
      </c>
      <c r="E22" s="22" t="inlineStr">
        <is>
          <t>گام ۱: از پنل عددی بفرست که بخواهد سبز ثابتِ «شارژ کامل» را زودتر از پرشدن واقعی باتری روشن کند (ترکیب ناسازگار).
گام ۲: ببین پنل چه می‌کند.
گام ۳: یک ترکیب درست بفرست و قبول‌شدنش را ببین.</t>
        </is>
      </c>
      <c r="F22" s="24" t="inlineStr">
        <is>
          <t>ترکیب ناسازگار و بعد سازگار از پنل</t>
        </is>
      </c>
      <c r="G22" s="24" t="inlineStr">
        <is>
          <t>پنج دقیقه</t>
        </is>
      </c>
      <c r="H22" s="22" t="inlineStr">
        <is>
          <t>پنل جلوی ترکیب ناسازگار را می‌گیرد و نمی‌گذارد به دستگاه برسد؛ ترکیب درست قبول می‌شود</t>
        </is>
      </c>
      <c r="I22" s="22" t="inlineStr">
        <is>
          <t>—</t>
        </is>
      </c>
      <c r="J22" s="22" t="inlineStr">
        <is>
          <t>گرفته‌شدن ترکیب بد و قبول ترکیب خوب = قبول؛ رسیدن ترکیب بد به دستگاه = رد</t>
        </is>
      </c>
      <c r="K22" s="22" t="inlineStr">
        <is>
          <t>هاست 2026-10-15: منطق نگهبان در ۶ حالت (مسدود/آزاد) درست بود و هر دو گیت سبز؛ تست پنل زنده/برد: در انتظار</t>
        </is>
      </c>
      <c r="L22" s="20" t="inlineStr">
        <is>
          <t>در انتظار</t>
        </is>
      </c>
      <c r="M22" s="22" t="n"/>
      <c r="N22" s="22" t="n"/>
      <c r="O22" s="24" t="inlineStr">
        <is>
          <t>8efddaa</t>
        </is>
      </c>
      <c r="P22" s="24" t="n"/>
      <c r="Q22" s="25" t="inlineStr">
        <is>
          <t>2026-10-15</t>
        </is>
      </c>
    </row>
    <row r="23" ht="54" customHeight="1">
      <c r="Q23" s="27">
        <f>IF(OR(L25="",L25="در انتظار"),"",IF(Q25="",TODAY(),Q25))</f>
        <v/>
      </c>
    </row>
    <row r="24" ht="67.5" customHeight="1">
      <c r="Q24" s="27">
        <f>IF(OR(L26="",L26="در انتظار"),"",IF(Q26="",TODAY(),Q26))</f>
        <v/>
      </c>
    </row>
    <row r="25">
      <c r="Q25" s="27">
        <f>IF(OR(L27="",L27="در انتظار"),"",IF(Q27="",TODAY(),Q27))</f>
        <v/>
      </c>
    </row>
    <row r="26">
      <c r="Q26" s="27">
        <f>IF(OR(L28="",L28="در انتظار"),"",IF(Q28="",TODAY(),Q28))</f>
        <v/>
      </c>
    </row>
    <row r="27">
      <c r="Q27" s="27">
        <f>IF(OR(L29="",L29="در انتظار"),"",IF(Q29="",TODAY(),Q29))</f>
        <v/>
      </c>
    </row>
    <row r="28">
      <c r="Q28" s="27">
        <f>IF(OR(L30="",L30="در انتظار"),"",IF(Q30="",TODAY(),Q30))</f>
        <v/>
      </c>
    </row>
    <row r="29">
      <c r="Q29" s="27">
        <f>IF(OR(L31="",L31="در انتظار"),"",IF(Q31="",TODAY(),Q31))</f>
        <v/>
      </c>
    </row>
    <row r="30">
      <c r="Q30" s="27">
        <f>IF(OR(L32="",L32="در انتظار"),"",IF(Q32="",TODAY(),Q32))</f>
        <v/>
      </c>
    </row>
    <row r="31">
      <c r="Q31" s="27">
        <f>IF(OR(L33="",L33="در انتظار"),"",IF(Q33="",TODAY(),Q33))</f>
        <v/>
      </c>
    </row>
    <row r="32">
      <c r="Q32" s="27">
        <f>IF(OR(L34="",L34="در انتظار"),"",IF(Q34="",TODAY(),Q34))</f>
        <v/>
      </c>
    </row>
    <row r="33">
      <c r="Q33" s="27">
        <f>IF(OR(L35="",L35="در انتظار"),"",IF(Q35="",TODAY(),Q35))</f>
        <v/>
      </c>
    </row>
    <row r="34">
      <c r="Q34" s="27">
        <f>IF(OR(L36="",L36="در انتظار"),"",IF(Q36="",TODAY(),Q36))</f>
        <v/>
      </c>
    </row>
    <row r="35">
      <c r="Q35" s="27">
        <f>IF(OR(L37="",L37="در انتظار"),"",IF(Q37="",TODAY(),Q37))</f>
        <v/>
      </c>
    </row>
    <row r="36">
      <c r="Q36" s="27">
        <f>IF(OR(L38="",L38="در انتظار"),"",IF(Q38="",TODAY(),Q38))</f>
        <v/>
      </c>
    </row>
    <row r="37">
      <c r="Q37" s="27">
        <f>IF(OR(L39="",L39="در انتظار"),"",IF(Q39="",TODAY(),Q39))</f>
        <v/>
      </c>
    </row>
    <row r="38">
      <c r="Q38" s="27">
        <f>IF(OR(L40="",L40="در انتظار"),"",IF(Q40="",TODAY(),Q40))</f>
        <v/>
      </c>
    </row>
    <row r="39">
      <c r="Q39" s="27">
        <f>IF(OR(L41="",L41="در انتظار"),"",IF(Q41="",TODAY(),Q41))</f>
        <v/>
      </c>
    </row>
    <row r="40">
      <c r="Q40" s="27">
        <f>IF(OR(L42="",L42="در انتظار"),"",IF(Q42="",TODAY(),Q42))</f>
        <v/>
      </c>
    </row>
    <row r="41">
      <c r="Q41" s="27">
        <f>IF(OR(L43="",L43="در انتظار"),"",IF(Q43="",TODAY(),Q43))</f>
        <v/>
      </c>
    </row>
    <row r="42">
      <c r="Q42" s="27">
        <f>IF(OR(L44="",L44="در انتظار"),"",IF(Q44="",TODAY(),Q44))</f>
        <v/>
      </c>
    </row>
    <row r="43">
      <c r="Q43" s="27">
        <f>IF(OR(L45="",L45="در انتظار"),"",IF(Q45="",TODAY(),Q45))</f>
        <v/>
      </c>
    </row>
    <row r="44">
      <c r="Q44" s="27">
        <f>IF(OR(L46="",L46="در انتظار"),"",IF(Q46="",TODAY(),Q46))</f>
        <v/>
      </c>
    </row>
    <row r="45">
      <c r="Q45" s="27">
        <f>IF(OR(L47="",L47="در انتظار"),"",IF(Q47="",TODAY(),Q47))</f>
        <v/>
      </c>
    </row>
    <row r="46">
      <c r="Q46" s="27">
        <f>IF(OR(L48="",L48="در انتظار"),"",IF(Q48="",TODAY(),Q48))</f>
        <v/>
      </c>
    </row>
    <row r="47">
      <c r="Q47" s="27">
        <f>IF(OR(L49="",L49="در انتظار"),"",IF(Q49="",TODAY(),Q49))</f>
        <v/>
      </c>
    </row>
    <row r="48">
      <c r="Q48" s="27">
        <f>IF(OR(L50="",L50="در انتظار"),"",IF(Q50="",TODAY(),Q50))</f>
        <v/>
      </c>
    </row>
    <row r="49">
      <c r="Q49" s="27">
        <f>IF(OR(L51="",L51="در انتظار"),"",IF(Q51="",TODAY(),Q51))</f>
        <v/>
      </c>
    </row>
    <row r="50">
      <c r="Q50" s="27">
        <f>IF(OR(L52="",L52="در انتظار"),"",IF(Q52="",TODAY(),Q52))</f>
        <v/>
      </c>
    </row>
    <row r="51">
      <c r="Q51" s="27">
        <f>IF(OR(L53="",L53="در انتظار"),"",IF(Q53="",TODAY(),Q53))</f>
        <v/>
      </c>
    </row>
    <row r="52">
      <c r="Q52" s="27">
        <f>IF(OR(L54="",L54="در انتظار"),"",IF(Q54="",TODAY(),Q54))</f>
        <v/>
      </c>
    </row>
    <row r="53">
      <c r="Q53" s="27">
        <f>IF(OR(L55="",L55="در انتظار"),"",IF(Q55="",TODAY(),Q55))</f>
        <v/>
      </c>
    </row>
    <row r="54">
      <c r="Q54" s="27">
        <f>IF(OR(L56="",L56="در انتظار"),"",IF(Q56="",TODAY(),Q56))</f>
        <v/>
      </c>
    </row>
    <row r="55">
      <c r="Q55" s="27">
        <f>IF(OR(L57="",L57="در انتظار"),"",IF(Q57="",TODAY(),Q57))</f>
        <v/>
      </c>
    </row>
    <row r="56">
      <c r="Q56" s="27">
        <f>IF(OR(L58="",L58="در انتظار"),"",IF(Q58="",TODAY(),Q58))</f>
        <v/>
      </c>
    </row>
    <row r="57">
      <c r="Q57" s="27">
        <f>IF(OR(L59="",L59="در انتظار"),"",IF(Q59="",TODAY(),Q59))</f>
        <v/>
      </c>
    </row>
    <row r="58">
      <c r="Q58" s="27">
        <f>IF(OR(L60="",L60="در انتظار"),"",IF(Q60="",TODAY(),Q60))</f>
        <v/>
      </c>
    </row>
    <row r="59">
      <c r="Q59" s="27">
        <f>IF(OR(L61="",L61="در انتظار"),"",IF(Q61="",TODAY(),Q61))</f>
        <v/>
      </c>
    </row>
    <row r="60">
      <c r="Q60" s="27">
        <f>IF(OR(L62="",L62="در انتظار"),"",IF(Q62="",TODAY(),Q62))</f>
        <v/>
      </c>
    </row>
    <row r="61">
      <c r="Q61" s="27">
        <f>IF(OR(L63="",L63="در انتظار"),"",IF(Q63="",TODAY(),Q63))</f>
        <v/>
      </c>
    </row>
    <row r="62">
      <c r="Q62" s="27">
        <f>IF(OR(L64="",L64="در انتظار"),"",IF(Q64="",TODAY(),Q64))</f>
        <v/>
      </c>
    </row>
  </sheetData>
  <autoFilter ref="A4:Q62"/>
  <mergeCells count="3">
    <mergeCell ref="A3:Q3"/>
    <mergeCell ref="A2:Q2"/>
    <mergeCell ref="A1:Q1"/>
  </mergeCells>
  <dataValidations count="2">
    <dataValidation sqref="C5:C104" showDropDown="0" showInputMessage="0" showErrorMessage="0" allowBlank="1" type="list">
      <formula1>='فهرست‌ها'!$B$9:$B$11</formula1>
    </dataValidation>
    <dataValidation sqref="L5:L104" showDropDown="0" showInputMessage="0" showErrorMessage="0" allowBlank="1" prompt="وضعیت تست را از فهرست انتخاب کنید" type="list">
      <formula1>='فهرست‌ها'!$A$2:$A$7</formula1>
    </dataValidation>
  </dataValidations>
  <hyperlinks>
    <hyperlink xmlns:r="http://schemas.openxmlformats.org/officeDocument/2006/relationships" ref="N17" r:id="rId1"/>
    <hyperlink xmlns:r="http://schemas.openxmlformats.org/officeDocument/2006/relationships" ref="N18" r:id="rId2"/>
    <hyperlink xmlns:r="http://schemas.openxmlformats.org/officeDocument/2006/relationships" ref="N19" r:id="rId3"/>
    <hyperlink xmlns:r="http://schemas.openxmlformats.org/officeDocument/2006/relationships" ref="N20" r:id="rId4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Q25"/>
  <sheetViews>
    <sheetView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22" customWidth="1" min="4" max="4"/>
    <col width="62" customWidth="1" min="5" max="5"/>
    <col width="22" customWidth="1" min="6" max="6"/>
    <col width="10" customWidth="1" min="7" max="7"/>
    <col width="42" customWidth="1" min="8" max="8"/>
    <col width="12" customWidth="1" min="9" max="9"/>
    <col width="34" customWidth="1" min="10" max="10"/>
    <col width="34" customWidth="1" min="11" max="11"/>
    <col width="13" customWidth="1" min="12" max="12"/>
    <col width="24" customWidth="1" min="13" max="13"/>
    <col width="16" customWidth="1" min="14" max="14"/>
    <col width="12" customWidth="1" min="15" max="15"/>
    <col width="13" customWidth="1" min="16" max="16"/>
    <col width="12" customWidth="1" min="17" max="17"/>
  </cols>
  <sheetData>
    <row r="1">
      <c r="A1" s="44" t="inlineStr">
        <is>
          <t>تست‌های آزمایشگاهی (پایه، اسیلوسکوپ و زمان‌بندی دقیق — جدا از تست عملی)</t>
        </is>
      </c>
    </row>
    <row r="2" ht="42" customHeight="1">
      <c r="A2" s="45" t="inlineStr">
        <is>
          <t>این شیت جدا از تست عملی است: اندازه‌گیری روی پایه‌ها، اسیلوسکوپ و تلرانس‌های دقیق میلی‌ثانیه/میکروثانیه. برای بررسی عملکرد واقعی دستگاه لازم نیست؛ برای اعتبارسنجی دقیق سخت‌افزار و زمان‌بندی‌هاست.</t>
        </is>
      </c>
    </row>
    <row r="3"/>
    <row r="4" ht="30" customHeight="1">
      <c r="A4" s="14" t="inlineStr">
        <is>
          <t>شناسه</t>
        </is>
      </c>
      <c r="B4" s="14" t="inlineStr">
        <is>
          <t>دسته</t>
        </is>
      </c>
      <c r="C4" s="14" t="inlineStr">
        <is>
          <t>اولویت</t>
        </is>
      </c>
      <c r="D4" s="14" t="inlineStr">
        <is>
          <t>پیش‌شرط</t>
        </is>
      </c>
      <c r="E4" s="14" t="inlineStr">
        <is>
          <t>روش اجرای دقیق</t>
        </is>
      </c>
      <c r="F4" s="14" t="inlineStr">
        <is>
          <t>ورودی‌ها / شرایط</t>
        </is>
      </c>
      <c r="G4" s="14" t="inlineStr">
        <is>
          <t>مدت مشاهده</t>
        </is>
      </c>
      <c r="H4" s="14" t="inlineStr">
        <is>
          <t>رفتار مورد انتظار</t>
        </is>
      </c>
      <c r="I4" s="14" t="inlineStr">
        <is>
          <t>وضعیت حفظ / latch</t>
        </is>
      </c>
      <c r="J4" s="14" t="inlineStr">
        <is>
          <t>معیار قبولی</t>
        </is>
      </c>
      <c r="K4" s="14" t="inlineStr">
        <is>
          <t>نتیجهٔ واقعی / اندازه‌گیری</t>
        </is>
      </c>
      <c r="L4" s="14" t="inlineStr">
        <is>
          <t>وضعیت</t>
        </is>
      </c>
      <c r="M4" s="14" t="inlineStr">
        <is>
          <t>شرح ایراد / تفاوت</t>
        </is>
      </c>
      <c r="N4" s="14" t="inlineStr">
        <is>
          <t>مدرک تست / scope</t>
        </is>
      </c>
      <c r="O4" s="14" t="inlineStr">
        <is>
          <t>commit</t>
        </is>
      </c>
      <c r="P4" s="14" t="inlineStr">
        <is>
          <t>نام تست‌کننده</t>
        </is>
      </c>
      <c r="Q4" s="14" t="inlineStr">
        <is>
          <t>تاریخ</t>
        </is>
      </c>
    </row>
    <row r="5" ht="40.5" customHeight="1">
      <c r="A5" s="16" t="inlineStr">
        <is>
          <t>EL-009</t>
        </is>
      </c>
      <c r="B5" s="17" t="inlineStr">
        <is>
          <t>فیزیکال 921600</t>
        </is>
      </c>
      <c r="C5" s="18" t="inlineStr">
        <is>
          <t>بالا</t>
        </is>
      </c>
      <c r="D5" s="17" t="inlineStr">
        <is>
          <t>اسکوپ روی PA9/PA10</t>
        </is>
      </c>
      <c r="E5" s="17" t="inlineStr">
        <is>
          <t>گام ۱: اسیلوسکوپ را روی پایه‌های PA9 و PA10 (UART) بگذار.
گام ۲: شکل موج و نرخ باد را بخوان: باید 921600 با قالب 8N1 باشد.
گام ۳: 60 ثانیه تبادل واقعی را زیر نظر بگیر؛ هیچ فریم خرابی نباید دیده شود.</t>
        </is>
      </c>
      <c r="F5" s="19" t="inlineStr">
        <is>
          <t>—</t>
        </is>
      </c>
      <c r="G5" s="19" t="inlineStr">
        <is>
          <t>—</t>
        </is>
      </c>
      <c r="H5" s="17" t="inlineStr">
        <is>
          <t>921600 8N1 با درام DDR و بدون خطا</t>
        </is>
      </c>
      <c r="I5" s="17" t="inlineStr">
        <is>
          <t>—</t>
        </is>
      </c>
      <c r="J5" s="17" t="inlineStr">
        <is>
          <t>بدون فریم خراب در 60s</t>
        </is>
      </c>
      <c r="K5" s="17" t="n"/>
      <c r="L5" s="20" t="inlineStr">
        <is>
          <t>در انتظار</t>
        </is>
      </c>
      <c r="M5" s="17" t="n"/>
      <c r="N5" s="17" t="n"/>
      <c r="O5" s="19" t="inlineStr">
        <is>
          <t>TESTER: fill</t>
        </is>
      </c>
      <c r="P5" s="19" t="n"/>
      <c r="Q5" s="21" t="inlineStr">
        <is>
          <t>2026-09-23</t>
        </is>
      </c>
    </row>
    <row r="6">
      <c r="Q6" s="27">
        <f>IF(OR(L6="",L6="در انتظار"),"",IF(Q6="",TODAY(),Q6))</f>
        <v/>
      </c>
    </row>
    <row r="7">
      <c r="Q7" s="27">
        <f>IF(OR(L7="",L7="در انتظار"),"",IF(Q7="",TODAY(),Q7))</f>
        <v/>
      </c>
    </row>
    <row r="8">
      <c r="Q8" s="27">
        <f>IF(OR(L8="",L8="در انتظار"),"",IF(Q8="",TODAY(),Q8))</f>
        <v/>
      </c>
    </row>
    <row r="9">
      <c r="Q9" s="27">
        <f>IF(OR(L9="",L9="در انتظار"),"",IF(Q9="",TODAY(),Q9))</f>
        <v/>
      </c>
    </row>
    <row r="10">
      <c r="Q10" s="27">
        <f>IF(OR(L10="",L10="در انتظار"),"",IF(Q10="",TODAY(),Q10))</f>
        <v/>
      </c>
    </row>
    <row r="11">
      <c r="Q11" s="27">
        <f>IF(OR(L11="",L11="در انتظار"),"",IF(Q11="",TODAY(),Q11))</f>
        <v/>
      </c>
    </row>
    <row r="12">
      <c r="Q12" s="27">
        <f>IF(OR(L12="",L12="در انتظار"),"",IF(Q12="",TODAY(),Q12))</f>
        <v/>
      </c>
    </row>
    <row r="13">
      <c r="Q13" s="27">
        <f>IF(OR(L13="",L13="در انتظار"),"",IF(Q13="",TODAY(),Q13))</f>
        <v/>
      </c>
    </row>
    <row r="14">
      <c r="Q14" s="27">
        <f>IF(OR(L14="",L14="در انتظار"),"",IF(Q14="",TODAY(),Q14))</f>
        <v/>
      </c>
    </row>
    <row r="15">
      <c r="Q15" s="27">
        <f>IF(OR(L15="",L15="در انتظار"),"",IF(Q15="",TODAY(),Q15))</f>
        <v/>
      </c>
    </row>
    <row r="16">
      <c r="Q16" s="27">
        <f>IF(OR(L16="",L16="در انتظار"),"",IF(Q16="",TODAY(),Q16))</f>
        <v/>
      </c>
    </row>
    <row r="17">
      <c r="Q17" s="27">
        <f>IF(OR(L17="",L17="در انتظار"),"",IF(Q17="",TODAY(),Q17))</f>
        <v/>
      </c>
    </row>
    <row r="18">
      <c r="Q18" s="27">
        <f>IF(OR(L18="",L18="در انتظار"),"",IF(Q18="",TODAY(),Q18))</f>
        <v/>
      </c>
    </row>
    <row r="19">
      <c r="Q19" s="27">
        <f>IF(OR(L19="",L19="در انتظار"),"",IF(Q19="",TODAY(),Q19))</f>
        <v/>
      </c>
    </row>
    <row r="20">
      <c r="Q20" s="27">
        <f>IF(OR(L20="",L20="در انتظار"),"",IF(Q20="",TODAY(),Q20))</f>
        <v/>
      </c>
    </row>
    <row r="21">
      <c r="Q21" s="27">
        <f>IF(OR(L21="",L21="در انتظار"),"",IF(Q21="",TODAY(),Q21))</f>
        <v/>
      </c>
    </row>
    <row r="22">
      <c r="Q22" s="27">
        <f>IF(OR(L22="",L22="در انتظار"),"",IF(Q22="",TODAY(),Q22))</f>
        <v/>
      </c>
    </row>
    <row r="23">
      <c r="Q23" s="27">
        <f>IF(OR(L23="",L23="در انتظار"),"",IF(Q23="",TODAY(),Q23))</f>
        <v/>
      </c>
    </row>
    <row r="24">
      <c r="Q24" s="27">
        <f>IF(OR(L24="",L24="در انتظار"),"",IF(Q24="",TODAY(),Q24))</f>
        <v/>
      </c>
    </row>
    <row r="25">
      <c r="Q25" s="27">
        <f>IF(OR(L25="",L25="در انتظار"),"",IF(Q25="",TODAY(),Q25))</f>
        <v/>
      </c>
    </row>
  </sheetData>
  <autoFilter ref="A4:Q5"/>
  <dataValidations count="1">
    <dataValidation sqref="L5 L6 L7 L8 L9 L10 L11 L12 L13 L14 L15 L16 L17 L18 L19 L20 L21 L22 L23 L24 L25" showDropDown="0" showInputMessage="0" showErrorMessage="0" allowBlank="1" type="list">
      <formula1>='فهرست‌ها'!$A$2:$A$7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Q25"/>
  <sheetViews>
    <sheetView rightToLeft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22" customWidth="1" min="4" max="4"/>
    <col width="62" customWidth="1" min="5" max="5"/>
    <col width="22" customWidth="1" min="6" max="6"/>
    <col width="10" customWidth="1" min="7" max="7"/>
    <col width="42" customWidth="1" min="8" max="8"/>
    <col width="12" customWidth="1" min="9" max="9"/>
    <col width="34" customWidth="1" min="10" max="10"/>
    <col width="34" customWidth="1" min="11" max="11"/>
    <col width="13" customWidth="1" min="12" max="12"/>
    <col width="24" customWidth="1" min="13" max="13"/>
    <col width="16" customWidth="1" min="14" max="14"/>
    <col width="12" customWidth="1" min="15" max="15"/>
    <col width="13" customWidth="1" min="16" max="16"/>
    <col width="12" customWidth="1" min="17" max="17"/>
  </cols>
  <sheetData>
    <row r="1">
      <c r="A1" s="44" t="inlineStr">
        <is>
          <t>تست‌های برنامه‌نویسی و هاست (جدا از ولیدیشن عملی برد)</t>
        </is>
      </c>
    </row>
    <row r="2" ht="42" customHeight="1">
      <c r="B2" s="45" t="inlineStr">
        <is>
          <t>این شیت جدا از ولیدیشن عملی برد است: چک‌های کدنویسی، تست‌های هاست، بازبینی کد و تزریق با دیباگر. این‌ها با گیت‌های check_ai_rules و check_firmware_syntax و تست‌های هاست پوشش داده می‌شوند؛ برای بررسی عملکرد روی برد واقعی لازم نیستند.</t>
        </is>
      </c>
    </row>
    <row r="3"/>
    <row r="4" ht="30" customHeight="1">
      <c r="A4" s="14" t="inlineStr">
        <is>
          <t>شناسه</t>
        </is>
      </c>
      <c r="B4" s="14" t="inlineStr">
        <is>
          <t>دسته</t>
        </is>
      </c>
      <c r="C4" s="14" t="inlineStr">
        <is>
          <t>اولویت</t>
        </is>
      </c>
      <c r="D4" s="14" t="inlineStr">
        <is>
          <t>پیش‌شرط</t>
        </is>
      </c>
      <c r="E4" s="14" t="inlineStr">
        <is>
          <t>روش اجرای دقیق</t>
        </is>
      </c>
      <c r="F4" s="14" t="inlineStr">
        <is>
          <t>ورودی‌ها / شرایط</t>
        </is>
      </c>
      <c r="G4" s="14" t="inlineStr">
        <is>
          <t>مدت مشاهده</t>
        </is>
      </c>
      <c r="H4" s="14" t="inlineStr">
        <is>
          <t>رفتار مورد انتظار</t>
        </is>
      </c>
      <c r="I4" s="14" t="inlineStr">
        <is>
          <t>وضعیت حفظ / latch</t>
        </is>
      </c>
      <c r="J4" s="14" t="inlineStr">
        <is>
          <t>معیار قبولی</t>
        </is>
      </c>
      <c r="K4" s="14" t="inlineStr">
        <is>
          <t>نتیجهٔ واقعی / اندازه‌گیری</t>
        </is>
      </c>
      <c r="L4" s="14" t="inlineStr">
        <is>
          <t>وضعیت</t>
        </is>
      </c>
      <c r="M4" s="14" t="inlineStr">
        <is>
          <t>شرح ایراد / تفاوت</t>
        </is>
      </c>
      <c r="N4" s="14" t="inlineStr">
        <is>
          <t>مدرک تست / scope</t>
        </is>
      </c>
      <c r="O4" s="14" t="inlineStr">
        <is>
          <t>commit</t>
        </is>
      </c>
      <c r="P4" s="14" t="inlineStr">
        <is>
          <t>نام تست‌کننده</t>
        </is>
      </c>
      <c r="Q4" s="14" t="inlineStr">
        <is>
          <t>تاریخ</t>
        </is>
      </c>
    </row>
    <row r="5" ht="54" customHeight="1">
      <c r="A5" s="16" t="inlineStr">
        <is>
          <t>EL-012</t>
        </is>
      </c>
      <c r="B5" s="22" t="inlineStr">
        <is>
          <t>فعال‌سازی یک‌خطی</t>
        </is>
      </c>
      <c r="C5" s="23" t="inlineStr">
        <is>
          <t>بالا</t>
        </is>
      </c>
      <c r="D5" s="22" t="inlineStr">
        <is>
          <t>MODULE_ESP=0</t>
        </is>
      </c>
      <c r="E5" s="22" t="inlineStr">
        <is>
          <t>گام ۱: بیلد را با MODULE_ESP=0 بگیر و رفتار عادی برد را یک بار ببین.
گام ۲: فقط MODULE_ESP را 1 کن و دوباره بیلد بگیر (هیچ تغییر دیگری نده).
گام ۳: برد را بوت کن (60 ثانیه).
گام ۴: لینک باید بدون دست‌کاری بقیهٔ ماژول‌ها بالا بیاید و پنل آنلاین شود.</t>
        </is>
      </c>
      <c r="F5" s="24" t="inlineStr">
        <is>
          <t>—</t>
        </is>
      </c>
      <c r="G5" s="24" t="inlineStr">
        <is>
          <t>60s</t>
        </is>
      </c>
      <c r="H5" s="22" t="inlineStr">
        <is>
          <t>لینک بدون هیچ تغییر دیگر بالا می‌آید؛ سایر ماژول‌ها دست‌نخورده</t>
        </is>
      </c>
      <c r="I5" s="22" t="inlineStr">
        <is>
          <t>—</t>
        </is>
      </c>
      <c r="J5" s="22" t="inlineStr">
        <is>
          <t>پنل آنلاین</t>
        </is>
      </c>
      <c r="K5" s="22" t="n"/>
      <c r="L5" s="20" t="inlineStr">
        <is>
          <t>در انتظار</t>
        </is>
      </c>
      <c r="M5" s="22" t="n"/>
      <c r="N5" s="22" t="n"/>
      <c r="O5" s="24" t="inlineStr">
        <is>
          <t>TESTER: fill</t>
        </is>
      </c>
      <c r="P5" s="24" t="n"/>
      <c r="Q5" s="25" t="inlineStr">
        <is>
          <t>2026-09-23</t>
        </is>
      </c>
    </row>
    <row r="6">
      <c r="Q6" s="27">
        <f>IF(OR(L6="",L6="در انتظار"),"",IF(Q6="",TODAY(),Q6))</f>
        <v/>
      </c>
    </row>
    <row r="7">
      <c r="Q7" s="27">
        <f>IF(OR(L7="",L7="در انتظار"),"",IF(Q7="",TODAY(),Q7))</f>
        <v/>
      </c>
    </row>
    <row r="8">
      <c r="Q8" s="27">
        <f>IF(OR(L8="",L8="در انتظار"),"",IF(Q8="",TODAY(),Q8))</f>
        <v/>
      </c>
    </row>
    <row r="9">
      <c r="Q9" s="27">
        <f>IF(OR(L9="",L9="در انتظار"),"",IF(Q9="",TODAY(),Q9))</f>
        <v/>
      </c>
    </row>
    <row r="10">
      <c r="Q10" s="27">
        <f>IF(OR(L10="",L10="در انتظار"),"",IF(Q10="",TODAY(),Q10))</f>
        <v/>
      </c>
    </row>
    <row r="11">
      <c r="Q11" s="27">
        <f>IF(OR(L11="",L11="در انتظار"),"",IF(Q11="",TODAY(),Q11))</f>
        <v/>
      </c>
    </row>
    <row r="12">
      <c r="Q12" s="27">
        <f>IF(OR(L12="",L12="در انتظار"),"",IF(Q12="",TODAY(),Q12))</f>
        <v/>
      </c>
    </row>
    <row r="13">
      <c r="Q13" s="27">
        <f>IF(OR(L13="",L13="در انتظار"),"",IF(Q13="",TODAY(),Q13))</f>
        <v/>
      </c>
    </row>
    <row r="14">
      <c r="Q14" s="27">
        <f>IF(OR(L14="",L14="در انتظار"),"",IF(Q14="",TODAY(),Q14))</f>
        <v/>
      </c>
    </row>
    <row r="15">
      <c r="Q15" s="27">
        <f>IF(OR(L15="",L15="در انتظار"),"",IF(Q15="",TODAY(),Q15))</f>
        <v/>
      </c>
    </row>
    <row r="16">
      <c r="Q16" s="27">
        <f>IF(OR(L16="",L16="در انتظار"),"",IF(Q16="",TODAY(),Q16))</f>
        <v/>
      </c>
    </row>
    <row r="17">
      <c r="Q17" s="27">
        <f>IF(OR(L17="",L17="در انتظار"),"",IF(Q17="",TODAY(),Q17))</f>
        <v/>
      </c>
    </row>
    <row r="18">
      <c r="Q18" s="27">
        <f>IF(OR(L18="",L18="در انتظار"),"",IF(Q18="",TODAY(),Q18))</f>
        <v/>
      </c>
    </row>
    <row r="19">
      <c r="Q19" s="27">
        <f>IF(OR(L19="",L19="در انتظار"),"",IF(Q19="",TODAY(),Q19))</f>
        <v/>
      </c>
    </row>
    <row r="20">
      <c r="Q20" s="27">
        <f>IF(OR(L20="",L20="در انتظار"),"",IF(Q20="",TODAY(),Q20))</f>
        <v/>
      </c>
    </row>
    <row r="21">
      <c r="Q21" s="27">
        <f>IF(OR(L21="",L21="در انتظار"),"",IF(Q21="",TODAY(),Q21))</f>
        <v/>
      </c>
    </row>
    <row r="22">
      <c r="Q22" s="27">
        <f>IF(OR(L22="",L22="در انتظار"),"",IF(Q22="",TODAY(),Q22))</f>
        <v/>
      </c>
    </row>
    <row r="23">
      <c r="Q23" s="27">
        <f>IF(OR(L23="",L23="در انتظار"),"",IF(Q23="",TODAY(),Q23))</f>
        <v/>
      </c>
    </row>
    <row r="24">
      <c r="Q24" s="27">
        <f>IF(OR(L24="",L24="در انتظار"),"",IF(Q24="",TODAY(),Q24))</f>
        <v/>
      </c>
    </row>
    <row r="25">
      <c r="Q25" s="27">
        <f>IF(OR(L25="",L25="در انتظار"),"",IF(Q25="",TODAY(),Q25))</f>
        <v/>
      </c>
    </row>
  </sheetData>
  <autoFilter ref="A4:Q5"/>
  <dataValidations count="1">
    <dataValidation sqref="L5 L6 L7 L8 L9 L10 L11 L12 L13 L14 L15 L16 L17 L18 L19 L20 L21 L22 L23 L24 L25" showDropDown="0" showInputMessage="0" showErrorMessage="0" allowBlank="1" type="list">
      <formula1>='فهرست‌ها'!$A$2:$A$7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E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0" customHeight="1">
      <c r="A1" s="14" t="inlineStr">
        <is>
          <t>مرجع سریع سناریوها و ثابت‌های ماژول EspLink</t>
        </is>
      </c>
      <c r="B1" s="38" t="n"/>
      <c r="C1" s="38" t="n"/>
      <c r="D1" s="38" t="n"/>
      <c r="E1" s="39" t="n"/>
    </row>
    <row r="2"/>
    <row r="3">
      <c r="A3" s="28" t="inlineStr">
        <is>
          <t>موضوع</t>
        </is>
      </c>
      <c r="B3" s="28" t="inlineStr">
        <is>
          <t>شرط / مقدار</t>
        </is>
      </c>
      <c r="C3" s="28" t="inlineStr">
        <is>
          <t>رفتار مورد انتظار</t>
        </is>
      </c>
      <c r="D3" s="28" t="inlineStr">
        <is>
          <t>ثابت / محل کد</t>
        </is>
      </c>
      <c r="E3" s="28" t="inlineStr">
        <is>
          <t>توضیح</t>
        </is>
      </c>
    </row>
    <row r="4">
      <c r="A4" s="29" t="inlineStr">
        <is>
          <t>سرعت لینک</t>
        </is>
      </c>
      <c r="B4" s="29" t="inlineStr">
        <is>
          <t>921600 8N1، DMA دوطرفه</t>
        </is>
      </c>
      <c r="C4" s="29" t="inlineStr">
        <is>
          <t>بدون بار CPU</t>
        </is>
      </c>
      <c r="D4" s="43" t="inlineStr">
        <is>
          <t>bsp_uart.c</t>
        </is>
      </c>
      <c r="E4" s="29" t="inlineStr">
        <is>
          <t>پروتکل v1.2</t>
        </is>
      </c>
    </row>
    <row r="5">
      <c r="A5" s="29" t="inlineStr">
        <is>
          <t>فریم</t>
        </is>
      </c>
      <c r="B5" s="29" t="inlineStr">
        <is>
          <t>AA 55 type len payload XOR، payload≤112</t>
        </is>
      </c>
      <c r="C5" s="29" t="inlineStr">
        <is>
          <t>TLM=84B، BULK=101B</t>
        </is>
      </c>
      <c r="D5" s="43" t="inlineStr">
        <is>
          <t>ESP_AGENT_SPEC.md §2</t>
        </is>
      </c>
      <c r="E5" s="29" t="inlineStr">
        <is>
          <t>اندیان کوچک</t>
        </is>
      </c>
    </row>
    <row r="6">
      <c r="A6" s="29" t="inlineStr">
        <is>
          <t>ددمن مود دستی</t>
        </is>
      </c>
      <c r="B6" s="29" t="inlineStr">
        <is>
          <t>هر فریم معتبر، سقف 3s سکوت</t>
        </is>
      </c>
      <c r="C6" s="29" t="inlineStr">
        <is>
          <t>خروج خودکار + duty صفر</t>
        </is>
      </c>
      <c r="D6" s="29" t="inlineStr">
        <is>
          <t>CHG_MANUAL_WATCHDOG_MS</t>
        </is>
      </c>
      <c r="E6" s="29" t="inlineStr">
        <is>
          <t>keepalive پنل = 1s</t>
        </is>
      </c>
    </row>
    <row r="7">
      <c r="A7" s="29" t="inlineStr">
        <is>
          <t>پارامترها</t>
        </is>
      </c>
      <c r="B7" s="29" t="inlineStr">
        <is>
          <t>ID0..19 فقط RAM</t>
        </is>
      </c>
      <c r="C7" s="29" t="inlineStr">
        <is>
          <t>کلمپ + PARAM_REPORT</t>
        </is>
      </c>
      <c r="D7" s="29" t="inlineStr">
        <is>
          <t>README محدودیت‌های سمت ESP</t>
        </is>
      </c>
      <c r="E7" s="29" t="inlineStr">
        <is>
          <t>ری‌استارت → پیش‌فرض</t>
        </is>
      </c>
    </row>
    <row r="8">
      <c r="A8" s="29" t="inlineStr">
        <is>
          <t>پنل</t>
        </is>
      </c>
      <c r="B8" s="29" t="inlineStr">
        <is>
          <t>esp_link_panel/ نسخهٔ ممیزی 32098b4</t>
        </is>
      </c>
      <c r="C8" s="29" t="inlineStr">
        <is>
          <t>keepalive مستقل از مرورگر + محافظ پنل بسته 10s</t>
        </is>
      </c>
      <c r="D8" s="29" t="inlineStr">
        <is>
          <t>README EspLink</t>
        </is>
      </c>
      <c r="E8" s="29" t="inlineStr">
        <is>
          <t>به‌روزرسانی فونت با /f.css?v=2</t>
        </is>
      </c>
    </row>
    <row r="9">
      <c r="A9" s="29" t="inlineStr">
        <is>
          <t>reset grant و flush NVM</t>
        </is>
      </c>
      <c r="B9" s="29" t="inlineStr">
        <is>
          <t>magic + commit grant؛ flush NVM پیش از arm</t>
        </is>
      </c>
      <c r="C9" s="29" t="inlineStr">
        <is>
          <t>flush failure = no reset و grant retained؛ success = reset one-shot</t>
        </is>
      </c>
      <c r="D9" s="43" t="inlineStr">
        <is>
          <t>cal_lut.c / esp_link.c / esp_link_nvm.c</t>
        </is>
      </c>
      <c r="E9" s="29" t="inlineStr">
        <is>
          <t>zero-point commit حتی بدون active table معتبر است</t>
        </is>
      </c>
    </row>
  </sheetData>
  <mergeCells count="1">
    <mergeCell ref="A1:E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9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M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2" t="inlineStr">
        <is>
          <t>ثبت ایرادهای مشاهده‌شده — ماژول EspLink</t>
        </is>
      </c>
    </row>
    <row r="2" ht="30" customHeight="1">
      <c r="A2" s="14" t="inlineStr">
        <is>
          <t>برای هر وضعیت «رد» یا تفاوت مهم، یک ردیف با شناسهٔ یکتا ثبت و پس از اصلاح دوباره تست شود.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9" t="n"/>
    </row>
    <row r="3">
      <c r="A3" s="28" t="inlineStr">
        <is>
          <t>شماره ایراد</t>
        </is>
      </c>
      <c r="B3" s="28" t="inlineStr">
        <is>
          <t>شناسه تست</t>
        </is>
      </c>
      <c r="C3" s="28" t="inlineStr">
        <is>
          <t>تاریخ کشف</t>
        </is>
      </c>
      <c r="D3" s="28" t="inlineStr">
        <is>
          <t>شدت</t>
        </is>
      </c>
      <c r="E3" s="28" t="inlineStr">
        <is>
          <t>شرح کوتاه ایراد</t>
        </is>
      </c>
      <c r="F3" s="28" t="inlineStr">
        <is>
          <t>مراحل بازتولید</t>
        </is>
      </c>
      <c r="G3" s="28" t="inlineStr">
        <is>
          <t>انتظار</t>
        </is>
      </c>
      <c r="H3" s="28" t="inlineStr">
        <is>
          <t>واقعیت</t>
        </is>
      </c>
      <c r="I3" s="28" t="inlineStr">
        <is>
          <t>مدرک/مسیر عکس یا scope</t>
        </is>
      </c>
      <c r="J3" s="28" t="inlineStr">
        <is>
          <t>commit firmware</t>
        </is>
      </c>
      <c r="K3" s="28" t="inlineStr">
        <is>
          <t>محل احتمالی</t>
        </is>
      </c>
      <c r="L3" s="28" t="inlineStr">
        <is>
          <t>وضعیت ایراد</t>
        </is>
      </c>
      <c r="M3" s="28" t="inlineStr">
        <is>
          <t>تأیید رفع / توضیحات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C1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30" customWidth="1" min="3" max="3"/>
  </cols>
  <sheetData>
    <row r="1">
      <c r="A1" s="12" t="inlineStr">
        <is>
          <t>تأیید نهایی اعتبارسنجی — ماژول EspLink</t>
        </is>
      </c>
    </row>
    <row r="2">
      <c r="A2" s="13" t="inlineStr">
        <is>
          <t>این صفحه فقط پس از تکمیل تست‌ها و بسته‌شدن ایرادها پر می‌شود.</t>
        </is>
      </c>
    </row>
    <row r="3">
      <c r="A3" s="13" t="inlineStr">
        <is>
          <t>مشخصات تست</t>
        </is>
      </c>
    </row>
    <row r="4">
      <c r="A4" s="13" t="inlineStr">
        <is>
          <t>پروژه</t>
        </is>
      </c>
      <c r="B4" s="13" t="inlineStr">
        <is>
          <t>ChangeOver</t>
        </is>
      </c>
    </row>
    <row r="5">
      <c r="A5" s="13" t="inlineStr">
        <is>
          <t>ماژول</t>
        </is>
      </c>
      <c r="B5" s="13" t="inlineStr">
        <is>
          <t>EspLink — پل ESP و پروتکل v1.2</t>
        </is>
      </c>
    </row>
    <row r="6">
      <c r="A6" s="13" t="inlineStr">
        <is>
          <t>تاریخ ساخت فرم</t>
        </is>
      </c>
      <c r="B6" s="13" t="inlineStr">
        <is>
          <t>2026-09-23 (1.0 — پوشش v1.2)</t>
        </is>
      </c>
    </row>
    <row r="7">
      <c r="A7" s="13" t="inlineStr">
        <is>
          <t>نسخه فرم</t>
        </is>
      </c>
      <c r="B7" s="13" t="inlineStr">
        <is>
          <t>1.0</t>
        </is>
      </c>
    </row>
    <row r="8">
      <c r="A8" s="13" t="inlineStr">
        <is>
          <t>commit firmware</t>
        </is>
      </c>
      <c r="B8" s="13" t="inlineStr">
        <is>
          <t>TESTER: fill</t>
        </is>
      </c>
    </row>
    <row r="9">
      <c r="A9" s="13" t="inlineStr">
        <is>
          <t>ابزار</t>
        </is>
      </c>
      <c r="B9" s="13" t="inlineStr">
        <is>
          <t>پنل ESP + اسکوپ + مانیتور UART</t>
        </is>
      </c>
    </row>
    <row r="10"/>
    <row r="11">
      <c r="A11" s="30" t="inlineStr">
        <is>
          <t>خلاصهٔ خودکار وضعیت تست‌ها</t>
        </is>
      </c>
    </row>
    <row r="12">
      <c r="A12" s="28" t="inlineStr">
        <is>
          <t>شاخص</t>
        </is>
      </c>
      <c r="B12" s="28" t="inlineStr">
        <is>
          <t>مقدار</t>
        </is>
      </c>
      <c r="C12" s="28" t="inlineStr">
        <is>
          <t>توضیح</t>
        </is>
      </c>
    </row>
    <row r="13">
      <c r="A13" s="31" t="inlineStr">
        <is>
          <t>کل تست‌ها</t>
        </is>
      </c>
      <c r="B13" s="31" t="inlineStr">
        <is>
          <t>16</t>
        </is>
      </c>
      <c r="C13" s="31" t="inlineStr">
        <is>
          <t>همهٔ ردیف‌های برنامه تست</t>
        </is>
      </c>
    </row>
    <row r="14">
      <c r="A14" s="31" t="inlineStr">
        <is>
          <t>قبول</t>
        </is>
      </c>
      <c r="B14" s="31">
        <f>COUNTIF('برنامه تست'!L:L,"قبول")</f>
        <v/>
      </c>
      <c r="C14" s="31" t="inlineStr">
        <is>
          <t>COUNTIF برنامه تست</t>
        </is>
      </c>
    </row>
    <row r="15">
      <c r="A15" s="31" t="inlineStr">
        <is>
          <t>رد</t>
        </is>
      </c>
      <c r="B15" s="31">
        <f>COUNTIF('برنامه تست'!L:L,"رد")</f>
        <v/>
      </c>
      <c r="C15" s="31" t="inlineStr">
        <is>
          <t>COUNTIF رد</t>
        </is>
      </c>
    </row>
    <row r="16">
      <c r="A16" s="31" t="inlineStr">
        <is>
          <t>در انتظار</t>
        </is>
      </c>
      <c r="B16" s="31">
        <f>IF(16=0,0,COUNTIF('برنامه تست'!L:L,"قبول")/16)</f>
        <v/>
      </c>
      <c r="C16" s="31" t="inlineStr">
        <is>
          <t>پیش از تست برد</t>
        </is>
      </c>
    </row>
    <row r="17">
      <c r="A17" s="31" t="inlineStr">
        <is>
          <t>نرخ قبولی</t>
        </is>
      </c>
      <c r="B17" s="31">
        <f>IF(15=0,0,COUNTIF('برنامه تست'!L:L,"قبول")/15)</f>
        <v/>
      </c>
      <c r="C17" s="31" t="inlineStr">
        <is>
          <t>قبول/کل</t>
        </is>
      </c>
    </row>
    <row r="18"/>
    <row r="19">
      <c r="A19" s="30" t="inlineStr">
        <is>
          <t>امضا و تأیید: تست‌کننده ______  بازبین ______  تاریخ ______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B1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32" t="inlineStr">
        <is>
          <t>وضعیت</t>
        </is>
      </c>
    </row>
    <row r="2">
      <c r="A2" s="33" t="inlineStr">
        <is>
          <t>در انتظار</t>
        </is>
      </c>
    </row>
    <row r="3">
      <c r="A3" s="33" t="inlineStr">
        <is>
          <t>انجام شد</t>
        </is>
      </c>
    </row>
    <row r="4">
      <c r="A4" s="33" t="inlineStr">
        <is>
          <t>قبول</t>
        </is>
      </c>
    </row>
    <row r="5">
      <c r="A5" s="33" t="inlineStr">
        <is>
          <t>رد</t>
        </is>
      </c>
    </row>
    <row r="6">
      <c r="A6" s="33" t="inlineStr">
        <is>
          <t>مسدود</t>
        </is>
      </c>
    </row>
    <row r="7">
      <c r="A7" t="inlineStr">
        <is>
          <t>نیاز به تکرار</t>
        </is>
      </c>
    </row>
    <row r="8">
      <c r="A8" s="32" t="inlineStr">
        <is>
          <t>اولویت</t>
        </is>
      </c>
    </row>
    <row r="9">
      <c r="B9" s="33" t="inlineStr">
        <is>
          <t>بالا</t>
        </is>
      </c>
    </row>
    <row r="10">
      <c r="B10" s="33" t="inlineStr">
        <is>
          <t>متوسط</t>
        </is>
      </c>
    </row>
    <row r="11">
      <c r="B11" s="33" t="inlineStr">
        <is>
          <t>پایین</t>
        </is>
      </c>
    </row>
    <row r="12"/>
    <row r="13">
      <c r="A13" s="32" t="inlineStr">
        <is>
          <t>شدت</t>
        </is>
      </c>
    </row>
    <row r="14">
      <c r="A14" s="33" t="inlineStr">
        <is>
          <t>بحرانی</t>
        </is>
      </c>
    </row>
    <row r="15">
      <c r="A15" s="33" t="inlineStr">
        <is>
          <t>بالا</t>
        </is>
      </c>
    </row>
    <row r="16">
      <c r="A16" s="33" t="inlineStr">
        <is>
          <t>متوسط</t>
        </is>
      </c>
    </row>
    <row r="17">
      <c r="A17" s="33" t="inlineStr">
        <is>
          <t>پایین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 ht="30" customHeight="1">
      <c r="A1" s="34" t="inlineStr">
        <is>
          <t>ماشین حالت ماژول لینک ESP (EspLink)</t>
        </is>
      </c>
    </row>
    <row r="2"/>
    <row r="3" ht="24" customHeight="1">
      <c r="A3" s="35" t="inlineStr">
        <is>
          <t>حالت‌ها و گذارهای همین ماژول</t>
        </is>
      </c>
      <c r="B3" s="36" t="inlineStr">
        <is>
          <t>EspLink_State_Machine.xlsx</t>
        </is>
      </c>
    </row>
    <row r="4" ht="24" customHeight="1">
      <c r="A4" s="35" t="inlineStr">
        <is>
          <t>ماشین حالت کل برنامه (نمای سیستمی)</t>
        </is>
      </c>
      <c r="B4" s="36" t="inlineStr">
        <is>
          <t>../../../Documentation/System_State_Machine.xlsx</t>
        </is>
      </c>
    </row>
    <row r="5" ht="24" customHeight="1">
      <c r="A5" s="35" t="inlineStr">
        <is>
          <t>راهنمای رنگ‌ها</t>
        </is>
      </c>
      <c r="B5" s="37" t="inlineStr">
        <is>
          <t>سبز = عادی/سالم · زرد = هشدار یا انتظار · قرمز = خطا یا قفل · نارنجی = در حال کار · خاکستری = بی‌کار · آبی = اطلاعاتی</t>
        </is>
      </c>
    </row>
    <row r="6" ht="24" customHeight="1">
      <c r="A6" s="35" t="inlineStr">
        <is>
          <t>بازتولید</t>
        </is>
      </c>
      <c r="B6" s="36" t="inlineStr">
        <is>
          <t>python3 tools/make_module_state_machines.py</t>
        </is>
      </c>
    </row>
  </sheetData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2026-09-23T12:47:22Z</dcterms:created>
  <dcterms:modified xsi:type="dcterms:W3CDTF">2026-10-16T17:06:58Z</dcterms:modified>
</cp:coreProperties>
</file>