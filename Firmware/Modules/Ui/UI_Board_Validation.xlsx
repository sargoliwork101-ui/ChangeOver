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8">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color rgb="00808080"/>
      <sz val="11"/>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5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xf numFmtId="0" fontId="17" fillId="12" borderId="0" applyAlignment="1" pivotButton="0" quotePrefix="0" xfId="0">
      <alignment horizontal="center" vertical="center" wrapText="1"/>
    </xf>
    <xf numFmtId="0" fontId="49" fillId="17" borderId="7" applyAlignment="1" pivotButton="0" quotePrefix="0" xfId="0">
      <alignment horizontal="center" vertical="center" wrapText="1"/>
    </xf>
    <xf numFmtId="0" fontId="51" fillId="13" borderId="1" applyAlignment="1" pivotButton="0" quotePrefix="0" xfId="0">
      <alignment horizontal="right" vertical="center" wrapText="1"/>
    </xf>
    <xf numFmtId="0" fontId="20" fillId="18" borderId="7" applyAlignment="1" pivotButton="0" quotePrefix="0" xfId="0">
      <alignment horizontal="right" vertical="center" wrapText="1"/>
    </xf>
    <xf numFmtId="0" fontId="20" fillId="18" borderId="7" applyAlignment="1" pivotButton="0" quotePrefix="0" xfId="0">
      <alignment horizontal="center" vertical="center" wrapText="1"/>
    </xf>
    <xf numFmtId="164" fontId="20" fillId="18" borderId="7" applyAlignment="1" pivotButton="0" quotePrefix="0" xfId="0">
      <alignment horizontal="center" vertical="center" wrapText="1"/>
    </xf>
    <xf numFmtId="0" fontId="55" fillId="18" borderId="7" applyAlignment="1" pivotButton="0" quotePrefix="0" xfId="0">
      <alignment horizontal="center" vertical="center" wrapText="1"/>
    </xf>
    <xf numFmtId="0" fontId="19" fillId="18" borderId="7" applyAlignment="1" pivotButton="0" quotePrefix="0" xfId="0">
      <alignment horizontal="right" vertical="center" wrapText="1"/>
    </xf>
    <xf numFmtId="0" fontId="17" fillId="12" borderId="0" pivotButton="0" quotePrefix="0" xfId="0"/>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58" fillId="15" borderId="1" applyAlignment="1" pivotButton="0" quotePrefix="0" xfId="0">
      <alignment horizontal="center" vertical="center" wrapText="1"/>
    </xf>
    <xf numFmtId="0" fontId="47" fillId="15" borderId="1" applyAlignment="1" pivotButton="0" quotePrefix="0" xfId="0">
      <alignment horizontal="center" vertical="center" wrapText="1"/>
    </xf>
    <xf numFmtId="0" fontId="59" fillId="13" borderId="1" applyAlignment="1" pivotButton="0" quotePrefix="0" xfId="0">
      <alignment horizontal="right" vertical="center" wrapText="1"/>
    </xf>
    <xf numFmtId="0" fontId="59" fillId="15" borderId="1" applyAlignment="1" pivotButton="0" quotePrefix="0" xfId="0">
      <alignment horizontal="right" vertical="center" wrapText="1"/>
    </xf>
    <xf numFmtId="0" fontId="59" fillId="18" borderId="1" applyAlignment="1" pivotButton="0" quotePrefix="0" xfId="0">
      <alignment horizontal="right" vertical="center" wrapText="1"/>
    </xf>
    <xf numFmtId="0" fontId="57" fillId="18" borderId="1" applyAlignment="1" pivotButton="0" quotePrefix="0" xfId="0">
      <alignment horizontal="center" vertical="center" wrapText="1"/>
    </xf>
    <xf numFmtId="0" fontId="60" fillId="18" borderId="1" applyAlignment="1" pivotButton="0" quotePrefix="0" xfId="0">
      <alignment horizontal="righ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1" fillId="14" borderId="1" applyAlignment="1" pivotButton="0" quotePrefix="0" xfId="0">
      <alignment horizontal="center" vertical="center" wrapText="1"/>
    </xf>
    <xf numFmtId="0" fontId="49" fillId="17" borderId="7" applyAlignment="1" pivotButton="0" quotePrefix="0" xfId="0">
      <alignment horizontal="right" vertical="center" wrapText="1"/>
    </xf>
    <xf numFmtId="0" fontId="64" fillId="0" borderId="7" applyAlignment="1" pivotButton="0" quotePrefix="0" xfId="0">
      <alignment horizontal="right" vertical="center" wrapText="1"/>
    </xf>
    <xf numFmtId="0" fontId="49" fillId="12" borderId="0" applyAlignment="1" pivotButton="0" quotePrefix="0" xfId="0">
      <alignment horizontal="center" vertical="center" wrapText="1"/>
    </xf>
    <xf numFmtId="0" fontId="66" fillId="15" borderId="7" applyAlignment="1" pivotButton="0" quotePrefix="0" xfId="0">
      <alignment horizontal="right" vertical="center" wrapText="1"/>
    </xf>
    <xf numFmtId="0" fontId="66" fillId="19" borderId="7" applyAlignment="1" pivotButton="0" quotePrefix="0" xfId="0">
      <alignment horizontal="center" vertical="center"/>
    </xf>
    <xf numFmtId="0" fontId="65" fillId="0" borderId="7" applyAlignment="1" pivotButton="0" quotePrefix="0" xfId="0">
      <alignment horizontal="right" vertical="center" wrapText="1"/>
    </xf>
    <xf numFmtId="0" fontId="67"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onfig/Inc/board_pins.h" TargetMode="External" Id="rId2" /><Relationship Type="http://schemas.openxmlformats.org/officeDocument/2006/relationships/hyperlink" Target="../../Config/Inc/board_pins.h" TargetMode="External" Id="rId3" /></Relationships>
</file>

<file path=xl/worksheets/_rels/sheet9.xml.rels><Relationships xmlns="http://schemas.openxmlformats.org/package/2006/relationships"><Relationship Type="http://schemas.openxmlformats.org/officeDocument/2006/relationships/hyperlink" Target="Ui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2"/>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1" t="inlineStr">
        <is>
          <t>برگه تست و اعتبارسنجی عملی ماژول UI — BatteryRun 2%+0/1, Charging 5%, InputOk 100/95</t>
        </is>
      </c>
    </row>
    <row r="2">
      <c r="A2" s="81" t="inlineStr">
        <is>
          <t>پایهٔ PA3 (ADC1_IN3) عدد خام دوم (raw2) را می‌دهد و از آن ولتاژ باتری (v_bat24_mv) حساب می‌شود.
پایهٔ PA2 (ADC1_IN2) عدد خام اول (raw1) را می‌دهد و از آن ولتاژ ورودی حساب می‌شود.
از باتری، درصد کار روی باتری (BatteryRun) و درصد شارژ (Charging) حساب می‌شود.
پایهٔ PB4 وقفهٔ ورودی است. PB5 کلید Q1 است. PB11 کلید Q17 است.</t>
        </is>
      </c>
    </row>
    <row r="3" ht="30" customHeight="1">
      <c r="A3" s="13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این فایل UI را با دادهٔ واقعی چک می‌کند:
برای درصد روی باتری، هیسترزیس ۲ درصد داریم و برای درصد 0 و 1 قانون جدا داریم.
برای درصد شارژ، هیسترزیس ۵ درصد داریم.
شارژ کامل (InputOk) وقتی است که درصد به 100 برسد و تا زیر 95 نیاید، همان می‌ماند.
فاز چشمک سبز و زرد حفظ می‌شود. هیچ کاری برنامه را متوقف نمی‌کند (non-blocking).</t>
        </is>
      </c>
      <c r="B4" s="28" t="n"/>
      <c r="C4" s="28" t="n"/>
      <c r="D4" s="28" t="n"/>
      <c r="E4" s="28" t="n"/>
      <c r="F4" s="28" t="n"/>
      <c r="G4" s="28" t="n"/>
      <c r="H4" s="28" t="n"/>
      <c r="I4" s="28" t="n"/>
      <c r="J4" s="28" t="n"/>
      <c r="K4" s="28" t="n"/>
      <c r="L4" s="28" t="n"/>
      <c r="M4" s="28" t="n"/>
      <c r="N4" s="28" t="n"/>
      <c r="O4" s="28" t="n"/>
      <c r="P4" s="29" t="n"/>
    </row>
    <row r="5" ht="14" customHeight="1">
      <c r="A5" s="133"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مسیر داده این است:
پایهٔ PA3 (پایهٔ 13) از کانال ADC1_IN3 خوانده می‌شود (شاخص 2، BSP_ADC_CHANNEL_24V_BAT) و می‌شود عدد خام دوم (raw2) و بعد ولتاژ باتری (v_bat24_mv). UI فقط از همین پایه (PA3) استفاده می‌کند.
پایهٔ PA2 (پایهٔ 12) از کانال ADC1_IN2 خوانده می‌شود (شاخص 1) و می‌شود عدد خام اول (raw1) و بعد ولتاژ ورودی (v_in_mv).
پایهٔ PB4 وقفهٔ ورودی است. PB5 کلید Q1 مال McuPowerPath است. PB11 کلید Q17 مال Changeover است و اینجا دست نمی‌خورد.</t>
        </is>
      </c>
      <c r="B6" s="28" t="n"/>
      <c r="C6" s="28" t="n"/>
      <c r="D6" s="28" t="n"/>
      <c r="E6" s="28" t="n"/>
      <c r="F6" s="28" t="n"/>
      <c r="G6" s="28" t="n"/>
      <c r="H6" s="28" t="n"/>
      <c r="I6" s="28" t="n"/>
      <c r="J6" s="28" t="n"/>
      <c r="K6" s="28" t="n"/>
      <c r="L6" s="28" t="n"/>
      <c r="M6" s="28" t="n"/>
      <c r="N6" s="28" t="n"/>
      <c r="O6" s="28" t="n"/>
      <c r="P6" s="29" t="n"/>
    </row>
    <row r="7" ht="14" customHeight="1">
      <c r="A7" s="133"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درصد پایدار روی باتری این‌طور می‌ماند:
اگر درصد پایدار 57 باشد و عدد خام 56 یا 58 بیاید، همان 57 می‌ماند. یعنی 57 تکان نمی‌خورد.
عدد 55 بیاید، درصد می‌شود 55. عدد 59 بیاید، می‌شود 59.
اگر درصد پایدار 0 باشد: تا وقتی عدد خام زیر 2 است، همان 0 می‌ماند. به 2 که رسید، می‌شود 1.
اگر درصد پایدار 1 باشد: عدد خام 0 بیاید، می‌شود 0. عدد 3 یا بیشتر بیاید، می‌شود 2. وگرنه همان 1 می‌ماند.
ثابت‌ها: هیسترزیس کار (RUN_HYSTERESIS) برابر 2، خروج از صفر (ZERO_EXIT) برابر 2 و خروج از یک (ONE_EXIT) برابر 3 است.</t>
        </is>
      </c>
      <c r="B8" s="28" t="n"/>
      <c r="C8" s="28" t="n"/>
      <c r="D8" s="28" t="n"/>
      <c r="E8" s="28" t="n"/>
      <c r="F8" s="28" t="n"/>
      <c r="G8" s="28" t="n"/>
      <c r="H8" s="28" t="n"/>
      <c r="I8" s="28" t="n"/>
      <c r="J8" s="28" t="n"/>
      <c r="K8" s="28" t="n"/>
      <c r="L8" s="28" t="n"/>
      <c r="M8" s="28" t="n"/>
      <c r="N8" s="28" t="n"/>
      <c r="O8" s="28" t="n"/>
      <c r="P8" s="29" t="n"/>
    </row>
    <row r="9" ht="14" customHeight="1">
      <c r="A9" s="133"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درصد پایدار شارژ این‌طور می‌ماند:
اگر درصد پایدار 57 باشد و عدد خام بین 53 تا 61 بیاید، همان 57 می‌ماند (اختلاف کمتر از ۵ است).
اگر عدد خام 52 یا 62 بیاید، درصد عوض می‌شود.
زمان روشن‌ماندن زرد از درصد باقی‌مانده حساب می‌شود: 100 منهای درصد پایدار، با پله‌های ۵ درصدی.
لرزش کوچک ولتاژ (مثل 25 ولت) درصد را تکان نمی‌دهد.
ثابت: هیسترزیس شارژ (CHARGING_HYSTERESIS) برابر 5 است.</t>
        </is>
      </c>
      <c r="B10" s="28" t="n"/>
      <c r="C10" s="28" t="n"/>
      <c r="D10" s="28" t="n"/>
      <c r="E10" s="28" t="n"/>
      <c r="F10" s="28" t="n"/>
      <c r="G10" s="28" t="n"/>
      <c r="H10" s="28" t="n"/>
      <c r="I10" s="28" t="n"/>
      <c r="J10" s="28" t="n"/>
      <c r="K10" s="28" t="n"/>
      <c r="L10" s="28" t="n"/>
      <c r="M10" s="28" t="n"/>
      <c r="N10" s="28" t="n"/>
      <c r="O10" s="28" t="n"/>
      <c r="P10" s="29" t="n"/>
    </row>
    <row r="11" ht="14" customHeight="1">
      <c r="A11" s="133"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شارژ کامل (InputOk) فقط وقتی شروع می‌شود که درصد خام به 100 برسد.
بعد تا وقتی درصد خام زیر 95 نیامده، همان می‌ماند. زیر 95 که آمد، برمی‌گردد به حالت شارژ (Charging).
این کار جلوی پرش درصد در ولتاژ 28 ولت را می‌گیرد.
ثابت‌ها: ورود به کامل (FULL_ENTER) برابر 100 و خروج (FULL_EXIT) برابر 95 است.</t>
        </is>
      </c>
      <c r="B12" s="28" t="n"/>
      <c r="C12" s="28" t="n"/>
      <c r="D12" s="28" t="n"/>
      <c r="E12" s="28" t="n"/>
      <c r="F12" s="28" t="n"/>
      <c r="G12" s="28" t="n"/>
      <c r="H12" s="28" t="n"/>
      <c r="I12" s="28" t="n"/>
      <c r="J12" s="28" t="n"/>
      <c r="K12" s="28" t="n"/>
      <c r="L12" s="28" t="n"/>
      <c r="M12" s="28" t="n"/>
      <c r="N12" s="28" t="n"/>
      <c r="O12" s="28" t="n"/>
      <c r="P12" s="29" t="n"/>
    </row>
    <row r="13" ht="14" customHeight="1">
      <c r="A13" s="133"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وقتی درصد پایدار عوض می‌شود، فاز چشمک از اول شروع نمی‌شود. زمان تازه از مرز بعدی حساب می‌شود.
فقط وقتی سناریو عوض می‌شود یا داده نامعتبر می‌شود، فاز کامل از نو شروع می‌شود.
سبزِ روی باتری و زردِ شارژ، هر کدام زمان روشن و خاموش و شروع خودشان را دارند.</t>
        </is>
      </c>
      <c r="B14" s="28" t="n"/>
      <c r="C14" s="28" t="n"/>
      <c r="D14" s="28" t="n"/>
      <c r="E14" s="28" t="n"/>
      <c r="F14" s="28" t="n"/>
      <c r="G14" s="28" t="n"/>
      <c r="H14" s="28" t="n"/>
      <c r="I14" s="28" t="n"/>
      <c r="J14" s="28" t="n"/>
      <c r="K14" s="28" t="n"/>
      <c r="L14" s="28" t="n"/>
      <c r="M14" s="28" t="n"/>
      <c r="N14" s="28" t="n"/>
      <c r="O14" s="28" t="n"/>
      <c r="P14" s="29" t="n"/>
    </row>
    <row r="15" ht="14" customHeight="1">
      <c r="A15" s="133"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قبلاً سناریوهای شارژ کامل و شارژ، تأخیر ثابت 500 میلی‌ثانیه و 1 ثانیه داشتند.
حالا فاز-محورند و داخل سناریو هیچ تأخیری نیست.
هر اجرای Ui_Tick کمتر از 1 میلی‌ثانیه طول می‌کشد، حلقه هر 10 میلی‌ثانیه است و هیچ تسکی گرسنه نمی‌ماند.
تست برد یک بار مقداردهی می‌شود.</t>
        </is>
      </c>
      <c r="B16" s="28" t="n"/>
      <c r="C16" s="28" t="n"/>
      <c r="D16" s="28" t="n"/>
      <c r="E16" s="28" t="n"/>
      <c r="F16" s="28" t="n"/>
      <c r="G16" s="28" t="n"/>
      <c r="H16" s="28" t="n"/>
      <c r="I16" s="28" t="n"/>
      <c r="J16" s="28" t="n"/>
      <c r="K16" s="28" t="n"/>
      <c r="L16" s="28" t="n"/>
      <c r="M16" s="28" t="n"/>
      <c r="N16" s="28" t="n"/>
      <c r="O16" s="28" t="n"/>
      <c r="P16" s="29" t="n"/>
    </row>
    <row r="17" ht="14" customHeight="1">
      <c r="A17" s="133"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حافظه فقط استاتیک است (DYNAMIC=0).
استک تسک‌ها: 128 و 192 و 256 کلمه؛ یعنی 512 و 768 و 1024 بایت.
پرترین جای استک (high-water) خوانده می‌شود.
برای هیسترزیس هیچ صف، تایمر یا موتکس تازه‌ای ساخته نشده است.
خواندن عکس لحظه‌ای از Measurement کپی امن است.</t>
        </is>
      </c>
      <c r="B18" s="28" t="n"/>
      <c r="C18" s="28" t="n"/>
      <c r="D18" s="28" t="n"/>
      <c r="E18" s="28" t="n"/>
      <c r="F18" s="28" t="n"/>
      <c r="G18" s="28" t="n"/>
      <c r="H18" s="28" t="n"/>
      <c r="I18" s="28" t="n"/>
      <c r="J18" s="28" t="n"/>
      <c r="K18" s="28" t="n"/>
      <c r="L18" s="28" t="n"/>
      <c r="M18" s="28" t="n"/>
      <c r="N18" s="28" t="n"/>
      <c r="O18" s="28" t="n"/>
      <c r="P18" s="29" t="n"/>
    </row>
    <row r="20">
      <c r="A20" s="12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2">
      <c r="A22" s="152" t="inlineStr">
        <is>
          <t>پیش‌بینی زندهٔ برنامه</t>
        </is>
      </c>
      <c r="B22" s="153"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U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1" t="inlineStr">
        <is>
          <t>برنامهٔ تست عملی — UI 2.2 (BatteryRun 2%+0/1, Charging 5%, Full 100/95, فاز preserve, non-blocking)</t>
        </is>
      </c>
      <c r="T1" s="154" t="inlineStr">
        <is>
          <t>ورودی‌های پیش‌بینی — خانه‌های زرد را عوض کن و ستون «پیش‌بینی زنده» را ببین</t>
        </is>
      </c>
    </row>
    <row r="2">
      <c r="A2" s="90" t="inlineStr">
        <is>
          <t>ورودی mV، درصد 0-100، زمان ms. BatteryRun PA3 stable2%، Charging PA3 stable5% و زرد، Full 100/95 با raw.</t>
        </is>
      </c>
      <c r="T2" s="155" t="inlineStr">
        <is>
          <t>درصد باتری (0 تا 100)</t>
        </is>
      </c>
      <c r="U2" s="156" t="n">
        <v>57</v>
      </c>
    </row>
    <row r="3">
      <c r="A3" s="91" t="inlineStr">
        <is>
          <t>هر ردیف: snapshot.valid, v_bat/v_in, raw/stable, ورودی present/overvoltage, فاز LED/بوق با اسکوپ 10ms. InputOk/Charging سریع برگردد.</t>
        </is>
      </c>
      <c r="T3" s="155" t="inlineStr">
        <is>
          <t>ورودی حاضر است؟ (1=بله، 0=نه)</t>
        </is>
      </c>
      <c r="U3" s="156" t="n">
        <v>1</v>
      </c>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 شرایط</t>
        </is>
      </c>
      <c r="G4" s="132" t="inlineStr">
        <is>
          <t>مدت مشاهده</t>
        </is>
      </c>
      <c r="H4" s="132" t="inlineStr">
        <is>
          <t>LED/بوق — انتظار</t>
        </is>
      </c>
      <c r="I4" s="132" t="inlineStr">
        <is>
          <t>فاز چشمک — انتظار</t>
        </is>
      </c>
      <c r="J4" s="132" t="inlineStr">
        <is>
          <t>چه چیزی باید ببینید تا بگویید درست است</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c r="R4" s="132" t="inlineStr">
        <is>
          <t>پیش‌بینی زندهٔ برنامه (فرمول)</t>
        </is>
      </c>
      <c r="T4" s="155" t="inlineStr">
        <is>
          <t>در حال شارژ؟ (1=بله، 0=نه)</t>
        </is>
      </c>
      <c r="U4" s="156" t="n">
        <v>1</v>
      </c>
    </row>
    <row r="5" ht="54" customHeight="1">
      <c r="A5" s="92" t="inlineStr">
        <is>
          <t>UI-036</t>
        </is>
      </c>
      <c r="B5" s="93" t="inlineStr">
        <is>
          <t>رفتار کلی چراغ سبز</t>
        </is>
      </c>
      <c r="C5" s="99" t="inlineStr">
        <is>
          <t>بالا</t>
        </is>
      </c>
      <c r="D5" s="93" t="inlineStr">
        <is>
          <t>دستگاه سالم؛ باتری وصل؛ منبع آزمایشگاهی برای ورودی؛ باتری نیمه‌پُر</t>
        </is>
      </c>
      <c r="E5" s="93"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95" t="inlineStr">
        <is>
          <t>ورودی قطع و ۲۴ ولت؛ قطع باتری حین شارژ</t>
        </is>
      </c>
      <c r="G5" s="95" t="inlineStr">
        <is>
          <t>چند دقیقه</t>
        </is>
      </c>
      <c r="H5" s="93" t="inlineStr">
        <is>
          <t>روی باتری: سبز چشمک‌زن.
با ورودی: سبز ثابت.
شارژ کامل: سبز ثابت و زرد خاموش.
قطع ورودی: سبز دوباره چشمک‌زن.
خطای قطع باتری: سبز ثابت می‌ماند.</t>
        </is>
      </c>
      <c r="I5" s="93" t="inlineStr">
        <is>
          <t>چشمک روی باتری، ثابت با ورودی</t>
        </is>
      </c>
      <c r="J5" s="93" t="inlineStr">
        <is>
          <t>باید ببینید:
روی باتری، سبز چشمک می‌زند.
به‌محض وصل ورودی، سبز ثابت می‌شود و تا کامل‌شدن شارژ ثابت می‌ماند.
با قطع ورودی، سبز دوباره چشمک می‌زند.
اگر جایی سبز خاموش بود یا برعکس رفتار کرد، قبول نیست.</t>
        </is>
      </c>
      <c r="K5" s="98" t="n"/>
      <c r="L5" s="96" t="inlineStr">
        <is>
          <t>در انتظار</t>
        </is>
      </c>
      <c r="M5" s="98" t="n"/>
      <c r="N5" s="98" t="n"/>
      <c r="O5" s="101" t="n"/>
      <c r="P5" s="101" t="n"/>
      <c r="Q5" s="97">
        <f>IF(OR(L5="",L5="در انتظار"),"",IF(Q5="",TODAY(),Q5))</f>
        <v/>
      </c>
      <c r="R5"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c r="T5" s="155" t="inlineStr">
        <is>
          <t>خطا (0=نداریم، 6=قطع باتری، 7=فنی)</t>
        </is>
      </c>
      <c r="U5" s="156" t="n">
        <v>0</v>
      </c>
    </row>
    <row r="6" ht="54" customHeight="1">
      <c r="A6" s="92" t="inlineStr">
        <is>
          <t>UI-005</t>
        </is>
      </c>
      <c r="B6" s="134" t="inlineStr">
        <is>
          <t>باتری خالیِ کامل (درصد صفر)</t>
        </is>
      </c>
      <c r="C6" s="99" t="inlineStr">
        <is>
          <t>بالا</t>
        </is>
      </c>
      <c r="D6" s="134" t="inlineStr">
        <is>
          <t>دستگاه فقط روی باتری؛ منبع آزمایشگاهی به‌جای باتری</t>
        </is>
      </c>
      <c r="E6" s="134"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35" t="inlineStr">
        <is>
          <t>باتری نزدیک خالی کامل (درصد صفر)</t>
        </is>
      </c>
      <c r="G6" s="135" t="inlineStr">
        <is>
          <t>یک دقیقه</t>
        </is>
      </c>
      <c r="H6" s="134" t="inlineStr">
        <is>
          <t>یک بوق بلند حدود ده ثانیه می‌آید و بعد همهٔ چراغ‌ها خاموش و سکوت می‌شود تا وقتی باتری از خالیِ کامل بیرون بیاید</t>
        </is>
      </c>
      <c r="I6" s="134" t="inlineStr">
        <is>
          <t>بعد از بوق: همه خاموش</t>
        </is>
      </c>
      <c r="J6" s="134"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36">
        <f>IF(OR(L6="",L6="در انتظار"),"",IF(Q6="",TODAY(),Q6))</f>
        <v/>
      </c>
      <c r="R6" s="153">
        <f>IF($U$2=0,"درصد صفر: بوق بحرانی و چشمک سریع سبز (باتری کاملاً خالی)",IF($U$2&lt;2,"درصد ۱: سه بوق دوره‌ای و برق کوتاه سبز","درصد بالاتر از ۱: رفتار عادی همان درصد"))</f>
        <v/>
      </c>
      <c r="T6" s="155" t="inlineStr">
        <is>
          <t>اضافه‌ولتاژ ورودی؟ (1=بله، 0=نه)</t>
        </is>
      </c>
      <c r="U6" s="156" t="n">
        <v>0</v>
      </c>
    </row>
    <row r="7" ht="40.5" customHeight="1">
      <c r="A7" s="92" t="inlineStr">
        <is>
          <t>UI-015</t>
        </is>
      </c>
      <c r="B7" s="93" t="inlineStr">
        <is>
          <t>Full 100/95 enter</t>
        </is>
      </c>
      <c r="C7" s="99" t="inlineStr">
        <is>
          <t>بالا</t>
        </is>
      </c>
      <c r="D7" s="93" t="inlineStr">
        <is>
          <t>باتری در حال شارژ و نزدیک پر شدن است</t>
        </is>
      </c>
      <c r="E7" s="93"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95" t="inlineStr">
        <is>
          <t>رسیدن درصد شارژ از ۹۹ به ۱۰۰</t>
        </is>
      </c>
      <c r="G7" s="95" t="inlineStr">
        <is>
          <t>تا پر شدن باتری</t>
        </is>
      </c>
      <c r="H7" s="93" t="inlineStr">
        <is>
          <t>فقط روی ۱۰۰ ورودی خوب می‌شود: سبز ثابت و زرد خاموش؛ روی ۹۹ هنوز زرد چشمک می‌زند</t>
        </is>
      </c>
      <c r="I7" s="93" t="inlineStr">
        <is>
          <t>۱۰۰: سبز ثابت</t>
        </is>
      </c>
      <c r="J7" s="93"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97">
        <f>IF(OR(L7="",L7="در انتظار"),"",IF(Q7="",TODAY(),Q7))</f>
        <v/>
      </c>
      <c r="R7" s="153">
        <f>IF($U$2&gt;=100,"شارژ کامل: سبز ثابت و زرد خاموش",IF($U$2&gt;=95,"هنوز کامل نیست: زرد چشمک‌زن می‌ماند تا درصد به ۱۰۰ برسد","در حال شارژ عادی"))</f>
        <v/>
      </c>
      <c r="T7" s="155" t="inlineStr">
        <is>
          <t>درصد خام (برای هیسترزیس)</t>
        </is>
      </c>
      <c r="U7" s="156" t="n">
        <v>57</v>
      </c>
    </row>
    <row r="8">
      <c r="A8" s="92" t="inlineStr">
        <is>
          <t>UI-032</t>
        </is>
      </c>
      <c r="B8" s="134" t="inlineStr">
        <is>
          <t>خطای ۶: قطع باتری حین شارژ</t>
        </is>
      </c>
      <c r="C8" s="135" t="inlineStr">
        <is>
          <t>بالا</t>
        </is>
      </c>
      <c r="D8" s="134" t="inlineStr">
        <is>
          <t>دستگاه با برق شهر روشن و باتری واقعی در حال شارژ است (زرد چشمک می‌زند)</t>
        </is>
      </c>
      <c r="E8" s="134"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8" s="134" t="inlineStr">
        <is>
          <t>کشیدن و وصل‌کردن سیم باتری حین شارژ</t>
        </is>
      </c>
      <c r="G8" s="135" t="inlineStr">
        <is>
          <t>دو دقیقه</t>
        </is>
      </c>
      <c r="H8" s="134" t="inlineStr">
        <is>
          <t>هنگام خطا: قرمز چشمک‌تند، سبز ثابت، زرد خاموش، سه بوق دوره‌ای و شارژ متوقف است.
با وصل‌کردن باتری، همه‌چیز پاک می‌شود و شارژ برمی‌گردد.</t>
        </is>
      </c>
      <c r="I8" s="134" t="inlineStr">
        <is>
          <t>قرمز حدود نیم‌ثانیه‌ای روشن/خاموش</t>
        </is>
      </c>
      <c r="J8" s="134" t="inlineStr">
        <is>
          <t>باید ببینید:
با کشیدن سیم باتری هنگام شارژ، قرمز تند چشمک می‌زند (حدود نیم‌ثانیه روشن، نیم‌ثانیه خاموش).
سبز ثابت می‌ماند و زرد خاموش است.
سه بوق دوره‌ای می‌آید و شارژ صفر می‌شود.
با وصل دوبارهٔ باتری، همه‌چیز پاک می‌شود و شارژ برمی‌گردد.
اگر چراغی اشتباه بود یا خطا پاک نشد، قبول نیست.</t>
        </is>
      </c>
      <c r="K8" s="98" t="n"/>
      <c r="L8" s="96" t="inlineStr">
        <is>
          <t>در انتظار</t>
        </is>
      </c>
      <c r="M8" s="98" t="n"/>
      <c r="N8" s="98" t="n"/>
      <c r="O8" s="101" t="n"/>
      <c r="P8" s="101" t="n"/>
      <c r="Q8" s="136">
        <f>IF(OR(L8="",L8="در انتظار"),"",IF(Q8="",TODAY(),Q8))</f>
        <v/>
      </c>
      <c r="R8" s="153">
        <f>IF($U$5=6,"خطای ۶ فعال: سبز ثابت، زرد خاموش، قرمز چشمک تند و سه بوق دوره‌ای؛ شارژ صفر",IF($U$5=0,"خطا را بساز: هنگام شارژ سیم باتری را بکش تا این چهره بیاید","خطای دیگری فعال است؛ اول خطا را ۶ کن"))</f>
        <v/>
      </c>
      <c r="T8" s="155" t="inlineStr">
        <is>
          <t>درصد پایدار فعلی</t>
        </is>
      </c>
      <c r="U8" s="156" t="n">
        <v>57</v>
      </c>
    </row>
    <row r="9">
      <c r="A9" s="92" t="inlineStr">
        <is>
          <t>UI-033</t>
        </is>
      </c>
      <c r="B9" s="93" t="inlineStr">
        <is>
          <t>خطای ۷: خرابی یک کانال شارژ</t>
        </is>
      </c>
      <c r="C9" s="95" t="inlineStr">
        <is>
          <t>بالا</t>
        </is>
      </c>
      <c r="D9" s="93" t="inlineStr">
        <is>
          <t>دستگاه در حال شارژ باتری است؛ فیوز یا سیم خروجی یک کانال شارژ را می‌شناسی</t>
        </is>
      </c>
      <c r="E9" s="93"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9" s="93" t="inlineStr">
        <is>
          <t>دربیاوردن فیوز یک کانال و خاموش/روشن</t>
        </is>
      </c>
      <c r="G9" s="95" t="inlineStr">
        <is>
          <t>پنج دقیقه</t>
        </is>
      </c>
      <c r="H9" s="93" t="inlineStr">
        <is>
          <t>خطای ۷ قفل می‌شود: هر سه چراغ هم‌زمان چشمک‌زن و شارژ متوقف؛ فقط با خاموش/روشن پاک می‌شود</t>
        </is>
      </c>
      <c r="I9" s="93" t="inlineStr">
        <is>
          <t>هر سه چراغ با یک ریتم مشترک</t>
        </is>
      </c>
      <c r="J9" s="93"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9" s="98" t="n"/>
      <c r="L9" s="96" t="inlineStr">
        <is>
          <t>در انتظار</t>
        </is>
      </c>
      <c r="M9" s="98" t="n"/>
      <c r="N9" s="98" t="n"/>
      <c r="O9" s="101" t="n"/>
      <c r="P9" s="101" t="n"/>
      <c r="Q9" s="97">
        <f>IF(OR(L9="",L9="در انتظار"),"",IF(Q9="",TODAY(),Q9))</f>
        <v/>
      </c>
      <c r="R9" s="153">
        <f>IF($U$5=7,"خطای ۷ فعال: هر سه چراغ هم‌فاز چشمک می‌زنند و شارژ قفل است؛ فقط با خاموش و روشن‌کردن پاک می‌شود","خطای ۷ نیست: این چهره دیده نمی‌شود؛ خطا را ۷ کن")</f>
        <v/>
      </c>
      <c r="T9" s="155" t="inlineStr">
        <is>
          <t>ولتاژ باتری (میلی‌ولت)</t>
        </is>
      </c>
      <c r="U9" s="156" t="n">
        <v>24000</v>
      </c>
    </row>
    <row r="10" ht="54" customHeight="1">
      <c r="A10" s="92" t="inlineStr">
        <is>
          <t>UI-019</t>
        </is>
      </c>
      <c r="B10" s="134" t="inlineStr">
        <is>
          <t>InputOk non-blocking</t>
        </is>
      </c>
      <c r="C10" s="99" t="inlineStr">
        <is>
          <t>متوسط</t>
        </is>
      </c>
      <c r="D10" s="134" t="inlineStr">
        <is>
          <t>برق شهر وصل و دستگاه در وضعیت ورودی خوب است (سبز ثابت)</t>
        </is>
      </c>
      <c r="E10" s="134" t="inlineStr">
        <is>
          <t>گام ۱: هم‌زمان که سبز ثابت است، با پنل کار کن و چند پارامتر را بخوان و عوض کن.
گام ۲: به چراغ‌ها و واکنش پنل دقت کن؛ هیچ مکث و هنگی نباید باشد.</t>
        </is>
      </c>
      <c r="F10" s="135" t="inlineStr">
        <is>
          <t>کار هم‌زمان با پنل روی ورودی خوب</t>
        </is>
      </c>
      <c r="G10" s="135" t="inlineStr">
        <is>
          <t>یک دقیقه</t>
        </is>
      </c>
      <c r="H10" s="134" t="inlineStr">
        <is>
          <t>سبز ثابت می‌ماند، بوقی نیست و دستگاه و پنل روان و بدون مکث کار می‌کنند</t>
        </is>
      </c>
      <c r="I10" s="134" t="inlineStr">
        <is>
          <t>سبز ثابت</t>
        </is>
      </c>
      <c r="J10" s="134" t="inlineStr">
        <is>
          <t>باید ببینید: سبز ثابت است، بوقی نیست و دستگاه و پنل روان و بدون مکث کار می‌کنند. اگر هنگ، مکث یا ریست دیدید، قبول نیست.</t>
        </is>
      </c>
      <c r="K10" s="98" t="n"/>
      <c r="L10" s="96" t="inlineStr">
        <is>
          <t>در انتظار</t>
        </is>
      </c>
      <c r="M10" s="98" t="n"/>
      <c r="N10" s="98" t="n"/>
      <c r="O10" s="101" t="n"/>
      <c r="P10" s="101" t="n"/>
      <c r="Q10" s="136">
        <f>IF(OR(L10="",L10="در انتظار"),"",IF(Q10="",TODAY(),Q10))</f>
        <v/>
      </c>
      <c r="R10" s="157" t="inlineStr">
        <is>
          <t>—</t>
        </is>
      </c>
      <c r="T10" s="158" t="inlineStr">
        <is>
          <t>پیش‌بینی برای حالت پایدار است؛ چشمک و زمان‌بندی را با چشم و کرنومتر چک کن و با برد مقایسه کن.</t>
        </is>
      </c>
    </row>
    <row r="11" ht="54" customHeight="1">
      <c r="A11" s="92" t="inlineStr">
        <is>
          <t>UI-021</t>
        </is>
      </c>
      <c r="B11" s="93" t="inlineStr">
        <is>
          <t>InputOverVoltage</t>
        </is>
      </c>
      <c r="C11" s="99" t="inlineStr">
        <is>
          <t>متوسط</t>
        </is>
      </c>
      <c r="D11" s="93" t="inlineStr">
        <is>
          <t>ورودی از منبع آزمایشگاهی می‌آید تا بتوانی ولتاژش را بالا ببری؛ باتری وصل است</t>
        </is>
      </c>
      <c r="E11" s="93"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11" s="95" t="inlineStr">
        <is>
          <t>ورودی حدود ۲۸٫۵ بعد ۲۷٫۵ بعد ۲۶ ولت</t>
        </is>
      </c>
      <c r="G11" s="95" t="inlineStr">
        <is>
          <t>دو دقیقه</t>
        </is>
      </c>
      <c r="H11" s="93" t="inlineStr">
        <is>
          <t>روی ولتاژ بالا: سبز ثابت، زرد خاموش، قرمز چشمک‌زن و بوق گهگاه؛ روی ۲۷٫۵ می‌ماند و روی ۲۶ پاک می‌شود</t>
        </is>
      </c>
      <c r="I11" s="93" t="inlineStr">
        <is>
          <t>قرمز چشمک‌زن با سبز ثابت</t>
        </is>
      </c>
      <c r="J11" s="93"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11" s="98" t="n"/>
      <c r="L11" s="96" t="inlineStr">
        <is>
          <t>در انتظار</t>
        </is>
      </c>
      <c r="M11" s="98" t="n"/>
      <c r="N11" s="98" t="n"/>
      <c r="O11" s="101" t="n"/>
      <c r="P11" s="101" t="n"/>
      <c r="Q11" s="97">
        <f>IF(OR(L11="",L11="در انتظار"),"",IF(Q11="",TODAY(),Q11))</f>
        <v/>
      </c>
      <c r="R11" s="153">
        <f>IF($U$6=1,"اضافه‌ولتاژ ورودی: سبز ثابت، زرد خاموش، قرمز چشمک‌زن و گهگاه بوق","ولتاژ عادی است: چهرهٔ اضافه‌ولتاژ نیست")</f>
        <v/>
      </c>
    </row>
    <row r="12">
      <c r="A12" s="92" t="inlineStr">
        <is>
          <t>UI-034</t>
        </is>
      </c>
      <c r="B12" s="134" t="inlineStr">
        <is>
          <t>باتری خراب (سناریوی ۶): قرمز ثابت</t>
        </is>
      </c>
      <c r="C12" s="135" t="inlineStr">
        <is>
          <t>متوسط</t>
        </is>
      </c>
      <c r="D12" s="134" t="inlineStr">
        <is>
          <t>از پنل، زمان سناریوی باتری خراب را موقتاً روی چند دقیقه بگذار (مقدار واقعی یک شبانه‌روز است)؛ یک باتری خالی داری</t>
        </is>
      </c>
      <c r="E12" s="134"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134" t="inlineStr">
        <is>
          <t>شارژ باتری خالی با زمان کوتاه‌شده از پنل</t>
        </is>
      </c>
      <c r="G12" s="135" t="inlineStr">
        <is>
          <t>چند دقیقه + زمان تنظیم‌شده</t>
        </is>
      </c>
      <c r="H12" s="134" t="inlineStr">
        <is>
          <t>قرمز ثابت می‌ماند، شارژ آن باتری برای همیشه می‌ایستد و فقط با تعویض باتری پاک می‌شود</t>
        </is>
      </c>
      <c r="I12" s="134" t="inlineStr">
        <is>
          <t>قرمز ثابت، بدون چشمک</t>
        </is>
      </c>
      <c r="J12" s="134"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36">
        <f>IF(OR(L12="",L12="در انتظار"),"",IF(Q12="",TODAY(),Q12))</f>
        <v/>
      </c>
      <c r="R12" s="153">
        <f>IF($U$4=1,"در حال شارژ: شمارندهٔ باتری خراب جلو می‌رود؛ به حدش (پارامتر ۱۲۵) برسد قرمز ثابت و قفل شارژ","بدون شارژ فعال: شمارنده جلو نمی‌رود")</f>
        <v/>
      </c>
    </row>
    <row r="13" ht="54" customHeight="1">
      <c r="A13" s="92" t="inlineStr">
        <is>
          <t>UI-007</t>
        </is>
      </c>
      <c r="B13" s="93" t="inlineStr">
        <is>
          <t>درصد ۱ (نزدیک خالی)</t>
        </is>
      </c>
      <c r="C13" s="99" t="inlineStr">
        <is>
          <t>متوسط</t>
        </is>
      </c>
      <c r="D13" s="93" t="inlineStr">
        <is>
          <t>دستگاه فقط روی باتری؛ منبع آزمایشگاهی به‌جای باتری</t>
        </is>
      </c>
      <c r="E13" s="93" t="inlineStr">
        <is>
          <t>گام ۱: ولتاژ را طوری تنظیم کن که درصد روی ۱ بایستد (باتری تقریباً خالی ولی نه صفر).
گام ۲: دو دقیقه چراغ سبز و بوق را زیر نظر بگیر.</t>
        </is>
      </c>
      <c r="F13" s="95" t="inlineStr">
        <is>
          <t>درصد پایدار ۱</t>
        </is>
      </c>
      <c r="G13" s="95" t="inlineStr">
        <is>
          <t>دو دقیقه</t>
        </is>
      </c>
      <c r="H13" s="93" t="inlineStr">
        <is>
          <t>هر از چندی سه بوق می‌آید و سبز تقریباً همیشه خاموش است و فقط گهگاه یک برق خیلی کوتاه می‌زند</t>
        </is>
      </c>
      <c r="I13" s="93" t="inlineStr">
        <is>
          <t>برق‌های کوتاه و کم</t>
        </is>
      </c>
      <c r="J13" s="93"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97">
        <f>IF(OR(L13="",L13="در انتظار"),"",IF(Q13="",TODAY(),Q13))</f>
        <v/>
      </c>
      <c r="R13" s="153">
        <f>IF($U$2&lt;=1,"درصد ۱ یا صفر: سه بوق دوره‌ای و برق کوتاه سبز",IF($U$2=2,"درصد ۲: الگوی درصد ۲","درصد بالاتر: الگوی همان درصد"))</f>
        <v/>
      </c>
    </row>
    <row r="14" ht="54" customHeight="1">
      <c r="A14" s="92" t="inlineStr">
        <is>
          <t>UI-016</t>
        </is>
      </c>
      <c r="B14" s="134" t="inlineStr">
        <is>
          <t>Full 100/95 stay</t>
        </is>
      </c>
      <c r="C14" s="137" t="inlineStr">
        <is>
          <t>متوسط</t>
        </is>
      </c>
      <c r="D14" s="138" t="inlineStr">
        <is>
          <t>ادامهٔ UI-015؛ درصد روی ۱۰۰ و سبز ثابت است</t>
        </is>
      </c>
      <c r="E14" s="134" t="inlineStr">
        <is>
          <t>گام ۱: با یک مصرف کوچک درصد را بین ۹۵ و ۱۰۰ نگه دار و چند بار بالا پایینش کن.
گام ۲: چراغ‌ها را نگاه کن.</t>
        </is>
      </c>
      <c r="F14" s="135" t="inlineStr">
        <is>
          <t>درصد بین ۹۵ تا ۱۰۰</t>
        </is>
      </c>
      <c r="G14" s="135" t="inlineStr">
        <is>
          <t>دو دقیقه</t>
        </is>
      </c>
      <c r="H14" s="134" t="inlineStr">
        <is>
          <t>تا وقتی درصد بالای ۹۵ است همان ورودی خوب می‌ماند: سبز ثابت و زرد خاموش</t>
        </is>
      </c>
      <c r="I14" s="134" t="inlineStr">
        <is>
          <t>سبز ثابت</t>
        </is>
      </c>
      <c r="J14" s="134"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136">
        <f>IF(OR(L14="",L14="در انتظار"),"",IF(Q14="",TODAY(),Q14))</f>
        <v/>
      </c>
      <c r="R14" s="153">
        <f>IF($U$2&gt;=95,"کامل می‌ماند: سبز ثابت و زرد خاموش","زیر ۹۵: از کامل خارج می‌شود و شارژ از سر گرفته می‌شود")</f>
        <v/>
      </c>
    </row>
    <row r="15" ht="54" customHeight="1">
      <c r="A15" s="92" t="inlineStr">
        <is>
          <t>UI-017</t>
        </is>
      </c>
      <c r="B15" s="93" t="inlineStr">
        <is>
          <t>Full 95 exit</t>
        </is>
      </c>
      <c r="C15" s="99" t="inlineStr">
        <is>
          <t>متوسط</t>
        </is>
      </c>
      <c r="D15" s="103" t="inlineStr">
        <is>
          <t>ادامهٔ UI-016؛ درصد بالای ۹۵ و سبز ثابت است</t>
        </is>
      </c>
      <c r="E15" s="93" t="inlineStr">
        <is>
          <t>گام ۱: یک بار واقعی روی باتری بکش تا درصد زیر ۹۵ بیاید.
گام ۲: چراغ‌ها را نگاه کن.</t>
        </is>
      </c>
      <c r="F15" s="95" t="inlineStr">
        <is>
          <t>افت درصد شارژ به زیر ۹۵</t>
        </is>
      </c>
      <c r="G15" s="95" t="inlineStr">
        <is>
          <t>یک دقیقه</t>
        </is>
      </c>
      <c r="H15" s="93" t="inlineStr">
        <is>
          <t>برمی‌گردد به وضعیت شارژ: سبز از ثابت درمی‌آید و زرد دوباره چشمک می‌زند</t>
        </is>
      </c>
      <c r="I15" s="93" t="inlineStr">
        <is>
          <t>برگشت به چشمک زرد</t>
        </is>
      </c>
      <c r="J15" s="93"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97">
        <f>IF(OR(L15="",L15="در انتظار"),"",IF(Q15="",TODAY(),Q15))</f>
        <v/>
      </c>
      <c r="R15" s="153">
        <f>IF($U$2&lt;95,"خروج از کامل: زرد برمی‌گردد و شارژ ادامه می‌یابد","هنوز کامل است: سبز ثابت و زرد خاموش")</f>
        <v/>
      </c>
    </row>
    <row r="16" ht="54" customHeight="1">
      <c r="A16" s="92" t="inlineStr">
        <is>
          <t>UI-020</t>
        </is>
      </c>
      <c r="B16" s="134" t="inlineStr">
        <is>
          <t>Charging non-blocking</t>
        </is>
      </c>
      <c r="C16" s="137" t="inlineStr">
        <is>
          <t>متوسط</t>
        </is>
      </c>
      <c r="D16" s="134" t="inlineStr">
        <is>
          <t>برق شهر وصل و باتری در حال شارژ است (زرد چشمک‌زن)</t>
        </is>
      </c>
      <c r="E16" s="134" t="inlineStr">
        <is>
          <t>گام ۱: حین شارژ با پنل کار کن و چند پارامتر بخوان.
گام ۲: دو دقیقه دستگاه را زیر نظر بگیر.</t>
        </is>
      </c>
      <c r="F16" s="135" t="inlineStr">
        <is>
          <t>کار با پنل حین شارژ</t>
        </is>
      </c>
      <c r="G16" s="135" t="inlineStr">
        <is>
          <t>دو دقیقه</t>
        </is>
      </c>
      <c r="H16" s="134" t="inlineStr">
        <is>
          <t>زرد منظم چشمک می‌زند و هیچ هنگ، مکث یا ریستی در دستگاه و پنل نیست</t>
        </is>
      </c>
      <c r="I16" s="134" t="inlineStr">
        <is>
          <t>چشمک منظم زرد</t>
        </is>
      </c>
      <c r="J16" s="134"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136">
        <f>IF(OR(L16="",L16="در انتظار"),"",IF(Q16="",TODAY(),Q16))</f>
        <v/>
      </c>
      <c r="R16" s="157" t="inlineStr">
        <is>
          <t>—</t>
        </is>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c r="R17" s="157" t="inlineStr">
        <is>
          <t>—</t>
        </is>
      </c>
    </row>
    <row r="18" ht="54" customHeight="1">
      <c r="A18" s="92" t="inlineStr">
        <is>
          <t>UI-024</t>
        </is>
      </c>
      <c r="B18" s="134" t="inlineStr">
        <is>
          <t>Input switch 20/21</t>
        </is>
      </c>
      <c r="C18" s="137" t="inlineStr">
        <is>
          <t>متوسط</t>
        </is>
      </c>
      <c r="D18" s="134" t="inlineStr">
        <is>
          <t>ورودی از منبع آزمایشگاهی می‌آید؛ باتری وصل است</t>
        </is>
      </c>
      <c r="E18" s="134" t="inlineStr">
        <is>
          <t>گام ۱: ولتاژ ورودی را آرام بین ۲۰ و ۲۱ ولت بالا و پایین کن.
گام ۲: به چهرهٔ ورودی (سبز و رفتار شارژ) نگاه کن که تندتند عوض نشود.</t>
        </is>
      </c>
      <c r="F18" s="135" t="inlineStr">
        <is>
          <t>ورودی بازی‌کنان دور ۲۰ تا ۲۱ ولت</t>
        </is>
      </c>
      <c r="G18" s="135" t="inlineStr">
        <is>
          <t>دو دقیقه</t>
        </is>
      </c>
      <c r="H18" s="134" t="inlineStr">
        <is>
          <t>وضعیت ورودی فقط وقتی واقعاً از مرز رد می‌شوی عوض می‌شود؛ وسط راه هیچ رفت‌وبرگشت بی‌دلیلی نیست</t>
        </is>
      </c>
      <c r="I18" s="134" t="inlineStr">
        <is>
          <t>گذار تکی و تمیز</t>
        </is>
      </c>
      <c r="J18" s="134"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136">
        <f>IF(OR(L18="",L18="در انتظار"),"",IF(Q18="",TODAY(),Q18))</f>
        <v/>
      </c>
      <c r="R18"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19" ht="54" customHeight="1">
      <c r="A19" s="92" t="inlineStr">
        <is>
          <t>UI-031</t>
        </is>
      </c>
      <c r="B19" s="93" t="inlineStr">
        <is>
          <t>عملکرد واقعی درصد</t>
        </is>
      </c>
      <c r="C19" s="95" t="inlineStr">
        <is>
          <t>متوسط</t>
        </is>
      </c>
      <c r="D19" s="93" t="inlineStr">
        <is>
          <t>دستگاه روی باتری در حال کار، درصد شارژ معلوم</t>
        </is>
      </c>
      <c r="E19" s="93"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3" t="inlineStr">
        <is>
          <t>تغییر جدا جدا ورودی و باتری</t>
        </is>
      </c>
      <c r="G19" s="95" t="inlineStr">
        <is>
          <t>یک دقیقه</t>
        </is>
      </c>
      <c r="H19" s="93" t="inlineStr">
        <is>
          <t>درصد فقط از باتری می‌آید، نه از ورودی</t>
        </is>
      </c>
      <c r="I19" s="93" t="inlineStr">
        <is>
          <t>—</t>
        </is>
      </c>
      <c r="J19" s="93"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97">
        <f>IF(OR(L19="",L19="در انتظار"),"",IF(Q19="",TODAY(),Q19))</f>
        <v/>
      </c>
      <c r="R19"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20">
      <c r="A20" s="92" t="inlineStr">
        <is>
          <t>UI-035</t>
        </is>
      </c>
      <c r="B20" s="134" t="inlineStr">
        <is>
          <t>عدم‌توازن باتری: قرمز چشمک‌زن تنها</t>
        </is>
      </c>
      <c r="C20" s="135" t="inlineStr">
        <is>
          <t>متوسط</t>
        </is>
      </c>
      <c r="D20" s="134" t="inlineStr">
        <is>
          <t>دو باتری ۱۲ ولت داری. یکی را با لامپ ۱۲ ولت کمی خالی کرده‌ای.
برای زودتر دیدن نتیجه، از پنل حد رویداد مجاز را موقتاً کم کن.</t>
        </is>
      </c>
      <c r="E20" s="134"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134" t="inlineStr">
        <is>
          <t>باتری‌های نابرابر و بعد تعویض با سالم</t>
        </is>
      </c>
      <c r="G20" s="135" t="inlineStr">
        <is>
          <t>نیم ساعت</t>
        </is>
      </c>
      <c r="H20" s="134" t="inlineStr">
        <is>
          <t>در قفل: قرمز چشمک‌زنِ تنها بدون سبز و زرد؛ با تعویض باتری قفل خودکار پاک می‌شود</t>
        </is>
      </c>
      <c r="I20" s="134" t="inlineStr">
        <is>
          <t>قرمز چشمک‌زن، بقیه خاموش</t>
        </is>
      </c>
      <c r="J20" s="134"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36">
        <f>IF(OR(L20="",L20="در انتظار"),"",IF(Q20="",TODAY(),Q20))</f>
        <v/>
      </c>
      <c r="R20" s="153">
        <f>IF($U$5=0,"قفل عدم‌توازن: فقط قرمز چشمک می‌زند و خروجی قطع است (ربطی به خطای ۶ و ۷ ندارد)","اول خطای فعال را صفر کن؛ قفل عدم‌توازن چهرهٔ خودش را دارد")</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c r="R21" s="153">
        <f>"درصد پایدار می‌شود: "&amp;IF(AND($U$8=0,$U$7&lt;2),0,IF(AND($U$8=0,$U$7&gt;=2),1,IF(AND($U$8=1,$U$7=0),0,IF(AND($U$8=1,$U$7&gt;=3),2,IF(ABS($U$7-$U$8)&lt;2,$U$8,$U$7)))))&amp;" (خام "&amp;$U$7&amp;"، پایدار قبلی "&amp;$U$8&amp;")"</f>
        <v/>
      </c>
    </row>
    <row r="22" ht="54" customHeight="1">
      <c r="A22" s="92" t="inlineStr">
        <is>
          <t>UI-003</t>
        </is>
      </c>
      <c r="B22" s="134" t="inlineStr">
        <is>
          <t>BatteryRun 57→55</t>
        </is>
      </c>
      <c r="C22" s="99" t="inlineStr">
        <is>
          <t>پایین</t>
        </is>
      </c>
      <c r="D22" s="138" t="inlineStr">
        <is>
          <t>ادامهٔ UI-002؛ درصد حدود ۵۷ و چشمک سبز جا افتاده</t>
        </is>
      </c>
      <c r="E22" s="134"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35" t="inlineStr">
        <is>
          <t>کم‌کردن آرام ولتاژ باتری تا درصد ۵۵</t>
        </is>
      </c>
      <c r="G22" s="135" t="inlineStr">
        <is>
          <t>نیم دقیقه</t>
        </is>
      </c>
      <c r="H22" s="134" t="inlineStr">
        <is>
          <t>درصد روی ۵۵ می‌ایستد و چشمک سبز کمی تندتر می‌شود (خاموشی‌اش بیشتر از قبل)</t>
        </is>
      </c>
      <c r="I22" s="138" t="inlineStr">
        <is>
          <t>تندتر از UI-002، بدون پرش ناگهانی</t>
        </is>
      </c>
      <c r="J22" s="134"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36">
        <f>IF(OR(L22="",L22="در انتظار"),"",IF(Q22="",TODAY(),Q22))</f>
        <v/>
      </c>
      <c r="R22" s="153">
        <f>"درصد پایدار می‌شود: "&amp;IF(AND($U$8=0,$U$7&lt;2),0,IF(AND($U$8=0,$U$7&gt;=2),1,IF(AND($U$8=1,$U$7=0),0,IF(AND($U$8=1,$U$7&gt;=3),2,IF(ABS($U$7-$U$8)&lt;2,$U$8,$U$7)))))&amp;" (خام "&amp;$U$7&amp;"، پایدار قبلی "&amp;$U$8&amp;")"</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c r="R23" s="153">
        <f>"درصد پایدار می‌شود: "&amp;IF(AND($U$8=0,$U$7&lt;2),0,IF(AND($U$8=0,$U$7&gt;=2),1,IF(AND($U$8=1,$U$7=0),0,IF(AND($U$8=1,$U$7&gt;=3),2,IF(ABS($U$7-$U$8)&lt;2,$U$8,$U$7)))))&amp;" (خام "&amp;$U$7&amp;"، پایدار قبلی "&amp;$U$8&amp;")"</f>
        <v/>
      </c>
    </row>
    <row r="24" ht="54" customHeight="1">
      <c r="A24" s="92" t="inlineStr">
        <is>
          <t>UI-006</t>
        </is>
      </c>
      <c r="B24" s="134" t="inlineStr">
        <is>
          <t>0↔1 نویز</t>
        </is>
      </c>
      <c r="C24" s="137" t="inlineStr">
        <is>
          <t>پایین</t>
        </is>
      </c>
      <c r="D24" s="138" t="inlineStr">
        <is>
          <t>ادامهٔ UI-005؛ درصد روی صفر و بوق بحرانی تمام شده</t>
        </is>
      </c>
      <c r="E24" s="134" t="inlineStr">
        <is>
          <t>گام ۱: ولتاژ منبع را خیلی کم بالا و پایین کن، دور مرز صفر و یک درصد.
گام ۲: دو دقیقه به چراغ‌ها و بوق گوش بده.</t>
        </is>
      </c>
      <c r="F24" s="135" t="inlineStr">
        <is>
          <t>بازی ولتاژ دور مرز ۰ و ۱ درصد</t>
        </is>
      </c>
      <c r="G24" s="135" t="inlineStr">
        <is>
          <t>دو دقیقه</t>
        </is>
      </c>
      <c r="H24" s="134" t="inlineStr">
        <is>
          <t>بوق بحرانی دوباره شروع نمی‌شود و چراغ‌ها بی‌دلیل روشن و خاموش نمی‌شوند</t>
        </is>
      </c>
      <c r="I24" s="134" t="inlineStr">
        <is>
          <t>خاموش و آرام</t>
        </is>
      </c>
      <c r="J24" s="134"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136">
        <f>IF(OR(L24="",L24="در انتظار"),"",IF(Q24="",TODAY(),Q24))</f>
        <v/>
      </c>
      <c r="R24" s="153">
        <f>"درصد پایدار می‌شود: "&amp;IF(AND($U$8=0,$U$7&lt;2),0,IF(AND($U$8=0,$U$7&gt;=2),1,IF(AND($U$8=1,$U$7=0),0,IF(AND($U$8=1,$U$7&gt;=3),2,IF(ABS($U$7-$U$8)&lt;2,$U$8,$U$7)))))&amp;" (خام "&amp;$U$7&amp;"، پایدار قبلی "&amp;$U$8&amp;")"</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c r="R25" s="153">
        <f>"درصد پایدار می‌شود: "&amp;IF(AND($U$8=0,$U$7&lt;2),0,IF(AND($U$8=0,$U$7&gt;=2),1,IF(AND($U$8=1,$U$7=0),0,IF(AND($U$8=1,$U$7&gt;=3),2,IF(ABS($U$7-$U$8)&lt;2,$U$8,$U$7)))))&amp;" (خام "&amp;$U$7&amp;"، پایدار قبلی "&amp;$U$8&amp;")"</f>
        <v/>
      </c>
    </row>
    <row r="26" ht="40.5" customHeight="1">
      <c r="A26" s="92" t="inlineStr">
        <is>
          <t>UI-009</t>
        </is>
      </c>
      <c r="B26" s="134" t="inlineStr">
        <is>
          <t>1% →2 خروج با3</t>
        </is>
      </c>
      <c r="C26" s="99" t="inlineStr">
        <is>
          <t>پایین</t>
        </is>
      </c>
      <c r="D26" s="138" t="inlineStr">
        <is>
          <t>ادامهٔ UI-007؛ درصد روی ۱</t>
        </is>
      </c>
      <c r="E26" s="134" t="inlineStr">
        <is>
          <t>گام ۱: ولتاژ را آرام بالا ببر تا درصد به ۲ برسد و ثابت شود.
گام ۲: یک دقیقه به الگوی بوق گوش بده و با درصد ۱ مقایسه کن.</t>
        </is>
      </c>
      <c r="F26" s="135" t="inlineStr">
        <is>
          <t>بالا بردن ولتاژ تا درصد ۲</t>
        </is>
      </c>
      <c r="G26" s="135" t="inlineStr">
        <is>
          <t>یک دقیقه</t>
        </is>
      </c>
      <c r="H26" s="134" t="inlineStr">
        <is>
          <t>الگوی بوق به الگوی ملایم‌ترِ درصد ۲ عوض می‌شود و سبز بیشتر از قبل روشن می‌ماند</t>
        </is>
      </c>
      <c r="I26" s="134" t="inlineStr">
        <is>
          <t>روشن‌تر از درصد ۱</t>
        </is>
      </c>
      <c r="J26" s="134"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36">
        <f>IF(OR(L26="",L26="در انتظار"),"",IF(Q26="",TODAY(),Q26))</f>
        <v/>
      </c>
      <c r="R26" s="153">
        <f>"درصد پایدار می‌شود: "&amp;IF(AND($U$8=0,$U$7&lt;2),0,IF(AND($U$8=0,$U$7&gt;=2),1,IF(AND($U$8=1,$U$7=0),0,IF(AND($U$8=1,$U$7&gt;=3),2,IF(ABS($U$7-$U$8)&lt;2,$U$8,$U$7)))))&amp;" (خام "&amp;$U$7&amp;"، پایدار قبلی "&amp;$U$8&amp;")"</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c r="R27" s="153">
        <f>"درصد پایدار می‌شود: "&amp;IF(AND($U$8=0,$U$7&lt;2),0,IF(AND($U$8=0,$U$7&gt;=2),1,IF(AND($U$8=1,$U$7=0),0,IF(AND($U$8=1,$U$7&gt;=3),2,IF(ABS($U$7-$U$8)&lt;2,$U$8,$U$7)))))&amp;" (خام "&amp;$U$7&amp;"، پایدار قبلی "&amp;$U$8&amp;")"</f>
        <v/>
      </c>
    </row>
    <row r="28" ht="54" customHeight="1">
      <c r="A28" s="92" t="inlineStr">
        <is>
          <t>UI-011</t>
        </is>
      </c>
      <c r="B28" s="134" t="inlineStr">
        <is>
          <t>Charging 5% 56/57/58</t>
        </is>
      </c>
      <c r="C28" s="99" t="inlineStr">
        <is>
          <t>پایین</t>
        </is>
      </c>
      <c r="D28" s="134" t="inlineStr">
        <is>
          <t>برق شهر وصل و باتری واقعی در حال شارژ است؛ درصد حدود نصف</t>
        </is>
      </c>
      <c r="E28" s="134" t="inlineStr">
        <is>
          <t>گام ۱: دستگاه را به شارژ بزن و صبر کن درصد دور ۵۷ ثابت شود.
گام ۲: یک دقیقه فقط چراغ زرد را نگاه کن.</t>
        </is>
      </c>
      <c r="F28" s="135" t="inlineStr">
        <is>
          <t>شارژ عادی با درصد میانی</t>
        </is>
      </c>
      <c r="G28" s="135" t="inlineStr">
        <is>
          <t>یک دقیقه</t>
        </is>
      </c>
      <c r="H28" s="134" t="inlineStr">
        <is>
          <t>زرد منظم و با ریتم ثابت چشمک می‌زند؛ نه ریتمش می‌پرد نه خاموش می‌ماند</t>
        </is>
      </c>
      <c r="I28" s="134" t="inlineStr">
        <is>
          <t>ریتم ثابت</t>
        </is>
      </c>
      <c r="J28" s="134"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36">
        <f>IF(OR(L28="",L28="در انتظار"),"",IF(Q28="",TODAY(),Q28))</f>
        <v/>
      </c>
      <c r="R28" s="153">
        <f>"درصد پایدار شارژ می‌شود: "&amp;IF(ABS($U$7-$U$8)&lt;5,$U$8,$U$7)&amp;" (اختلاف کمتر از ۵ یعنی همان قبلی)"</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c r="R29" s="153">
        <f>"درصد پایدار شارژ می‌شود: "&amp;IF(ABS($U$7-$U$8)&lt;5,$U$8,$U$7)&amp;" (اختلاف کمتر از ۵ یعنی همان قبلی)"</f>
        <v/>
      </c>
    </row>
    <row r="30" ht="40.5" customHeight="1">
      <c r="A30" s="92" t="inlineStr">
        <is>
          <t>UI-013</t>
        </is>
      </c>
      <c r="B30" s="134" t="inlineStr">
        <is>
          <t>Charging 5% خروج</t>
        </is>
      </c>
      <c r="C30" s="99" t="inlineStr">
        <is>
          <t>پایین</t>
        </is>
      </c>
      <c r="D30" s="134" t="inlineStr">
        <is>
          <t>برق شهر وصل و دستگاه در حال شارژ؛ درصد حدود ۵۷</t>
        </is>
      </c>
      <c r="E30" s="134"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35" t="inlineStr">
        <is>
          <t>درصد شارژ ۵۷ بعد ۵۲ بعد ۶۲</t>
        </is>
      </c>
      <c r="G30" s="135" t="inlineStr">
        <is>
          <t>دو دقیقه</t>
        </is>
      </c>
      <c r="H30" s="134" t="inlineStr">
        <is>
          <t>ریتم زرد با درصد عوض می‌شود ولی چشمک از اول شروع نمی‌شود و قطع‌ووصل ناگهانی ندارد</t>
        </is>
      </c>
      <c r="I30" s="134" t="inlineStr">
        <is>
          <t>ریتم تازه، بدون راه‌اندازی از صفر</t>
        </is>
      </c>
      <c r="J30" s="134"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36">
        <f>IF(OR(L30="",L30="در انتظار"),"",IF(Q30="",TODAY(),Q30))</f>
        <v/>
      </c>
      <c r="R30" s="153">
        <f>"درصد پایدار شارژ می‌شود: "&amp;IF(ABS($U$7-$U$8)&lt;5,$U$8,$U$7)&amp;" (اختلاف کمتر از ۵ یعنی همان قبلی)"</f>
        <v/>
      </c>
    </row>
    <row r="31" ht="54" customHeight="1">
      <c r="A31" s="92" t="inlineStr">
        <is>
          <t>UI-023</t>
        </is>
      </c>
      <c r="B31" s="93" t="inlineStr">
        <is>
          <t>Low Alarm 21/21.2</t>
        </is>
      </c>
      <c r="C31" s="99" t="inlineStr">
        <is>
          <t>پایین</t>
        </is>
      </c>
      <c r="D31" s="93" t="inlineStr">
        <is>
          <t>دستگاه روی باتری کار می‌کند؛ منبع آزمایشگاهی به‌جای باتری</t>
        </is>
      </c>
      <c r="E31" s="93" t="inlineStr">
        <is>
          <t>گام ۱: ولتاژ باتری را آرام تا نزدیک مرز باتری کم (حدود ۲۱ ولت) پایین بیاور.
گام ۲: کمی دور همان مرز بالا و پایینش کن و چراغ‌ها را نگاه کن.</t>
        </is>
      </c>
      <c r="F31" s="95" t="inlineStr">
        <is>
          <t>باتری دور مرز ۲۱ ولت</t>
        </is>
      </c>
      <c r="G31" s="95" t="inlineStr">
        <is>
          <t>دو دقیقه</t>
        </is>
      </c>
      <c r="H31" s="93" t="inlineStr">
        <is>
          <t>چهرهٔ دستگاه پرپر نمی‌زند و با هر نوسان کوچک عوض نمی‌شود</t>
        </is>
      </c>
      <c r="I31" s="93" t="inlineStr">
        <is>
          <t>پایدار، بدون فلیکر</t>
        </is>
      </c>
      <c r="J31" s="93"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97">
        <f>IF(OR(L31="",L31="در انتظار"),"",IF(Q31="",TODAY(),Q31))</f>
        <v/>
      </c>
      <c r="R31" s="153">
        <f>IF($U$9&lt;21000,"آلارم باتری کم فعال می‌شود",IF($U$9&gt;21200,"آلارم باتری کم پاک می‌شود","بین ۲۱ تا ۲۱٫۲ ولت: آلارم همان قبلی می‌ماند (هیسترزیس)"))</f>
        <v/>
      </c>
    </row>
    <row r="32" ht="54" customHeight="1">
      <c r="A32" s="92" t="inlineStr">
        <is>
          <t>UI-030</t>
        </is>
      </c>
      <c r="B32" s="134" t="inlineStr">
        <is>
          <t>پنل دیالوگ مستقل</t>
        </is>
      </c>
      <c r="C32" s="135" t="inlineStr">
        <is>
          <t>پایین</t>
        </is>
      </c>
      <c r="D32" s="134" t="inlineStr">
        <is>
          <t>پنل به دستگاه وصل و دستگاه در حال کار عادی است</t>
        </is>
      </c>
      <c r="E32" s="134" t="inlineStr">
        <is>
          <t>گام ۱: در پنل یک پیام یا دیالوگ باز کن.
گام ۲: هم‌زمان چراغ‌های دستگاه را نگاه کن.
گام ۳: دیالوگ را ببند.</t>
        </is>
      </c>
      <c r="F32" s="135" t="inlineStr">
        <is>
          <t>باز و بسته‌کردن دیالوگ پنل</t>
        </is>
      </c>
      <c r="G32" s="135" t="inlineStr">
        <is>
          <t>یک دقیقه</t>
        </is>
      </c>
      <c r="H32" s="134" t="inlineStr">
        <is>
          <t>دیالوگ پنل چراغ‌ها و بوق دستگاه را به هم نمی‌ریزد؛ رفتار عادی ادامه دارد</t>
        </is>
      </c>
      <c r="I32" s="134" t="inlineStr">
        <is>
          <t>بدون تغییر</t>
        </is>
      </c>
      <c r="J32" s="134"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135" t="inlineStr">
        <is>
          <t>62f3782</t>
        </is>
      </c>
      <c r="P32" s="95" t="n"/>
      <c r="Q32" s="136">
        <f>IF(OR(L32="",L32="در انتظار"),"",IF(Q32="",TODAY(),Q32))</f>
        <v/>
      </c>
      <c r="R32" s="157" t="inlineStr">
        <is>
          <t>—</t>
        </is>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5">
    <mergeCell ref="T10:U10"/>
    <mergeCell ref="A3:Q3"/>
    <mergeCell ref="T1:U1"/>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UI-001</t>
        </is>
      </c>
      <c r="B5" s="93" t="inlineStr">
        <is>
          <t>Mapping PA3→v_bat</t>
        </is>
      </c>
      <c r="C5" s="99" t="inlineStr">
        <is>
          <t>بالا</t>
        </is>
      </c>
      <c r="D5" s="93" t="inlineStr">
        <is>
          <t>برد روشن, valid</t>
        </is>
      </c>
      <c r="E5" s="93"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95" t="inlineStr">
        <is>
          <t>PA3 2.0V pin → v_bat≈22352mV, v_in 24V</t>
        </is>
      </c>
      <c r="G5" s="95" t="inlineStr">
        <is>
          <t>100ms</t>
        </is>
      </c>
      <c r="H5" s="93" t="inlineStr">
        <is>
          <t>v_bat≈22352, percent ~17% (21000=0). PA3 فقط v_bat</t>
        </is>
      </c>
      <c r="I5" s="93" t="inlineStr">
        <is>
          <t>—</t>
        </is>
      </c>
      <c r="J5" s="93" t="inlineStr">
        <is>
          <t>PASS: PA3/raw2/v_bat. FAIL: v_in استفاده</t>
        </is>
      </c>
      <c r="K5" s="98" t="n"/>
      <c r="L5" s="96" t="inlineStr">
        <is>
          <t>در انتظار</t>
        </is>
      </c>
      <c r="M5" s="98" t="n"/>
      <c r="N5" s="98" t="n"/>
      <c r="O5" s="101" t="n"/>
      <c r="P5" s="101" t="n"/>
      <c r="Q5" s="97">
        <f>IF(OR(L5="",L5="در انتظار"),"",IF(Q5="",TODAY(),Q5))</f>
        <v/>
      </c>
    </row>
    <row r="6" ht="54" customHeight="1">
      <c r="A6" s="92" t="inlineStr">
        <is>
          <t>UI-014</t>
        </is>
      </c>
      <c r="B6" s="134" t="inlineStr">
        <is>
          <t>Charging yellow phase</t>
        </is>
      </c>
      <c r="C6" s="137" t="inlineStr">
        <is>
          <t>بالا</t>
        </is>
      </c>
      <c r="D6" s="134" t="inlineStr">
        <is>
          <t>Charging 25V On430</t>
        </is>
      </c>
      <c r="E6" s="134"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135" t="inlineStr">
        <is>
          <t>On430 jitter56</t>
        </is>
      </c>
      <c r="G6" s="135" t="inlineStr">
        <is>
          <t>600ms</t>
        </is>
      </c>
      <c r="H6" s="134" t="inlineStr">
        <is>
          <t>ON تا 430 حفظ سپس OFF</t>
        </is>
      </c>
      <c r="I6" s="134" t="inlineStr">
        <is>
          <t>ON حفظ</t>
        </is>
      </c>
      <c r="J6" s="134" t="inlineStr">
        <is>
          <t>PASS: restart نشد. FAIL: restart</t>
        </is>
      </c>
      <c r="K6" s="93" t="n"/>
      <c r="L6" s="96" t="inlineStr">
        <is>
          <t>در انتظار</t>
        </is>
      </c>
      <c r="M6" s="93" t="n"/>
      <c r="N6" s="93" t="n"/>
      <c r="O6" s="95" t="n"/>
      <c r="P6" s="95" t="n"/>
      <c r="Q6" s="136">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134" t="inlineStr">
        <is>
          <t>Mapping PA3/PA2</t>
        </is>
      </c>
      <c r="C8" s="99" t="inlineStr">
        <is>
          <t>بالا</t>
        </is>
      </c>
      <c r="D8" s="134" t="inlineStr">
        <is>
          <t>Measurement</t>
        </is>
      </c>
      <c r="E8" s="134" t="inlineStr">
        <is>
          <t>گام ۱: از Measurement شروع کن: روی PA3 دقیقاً 1 ولت و روی PA2 هم دقیقاً 1 ولت بده.
گام ۲: 100 میلی‌ثانیه صبر کن و این‌ها را بخوان: raw1 باید ولتاژ ورودی باشد و raw2 باید ولتاژ باتری. هر دو باید حدود 11176 میلی‌ولت خوانده شوند.
گام ۳: چک کن v_bat از PA3 و raw2 می‌آید و v_in از PA2 و raw1.
گام ۴: BatteryRun فقط باید بر اساس v_bat کار کند. جابه‌جا بودن این دو یعنی رد تست.</t>
        </is>
      </c>
      <c r="F8" s="135" t="inlineStr">
        <is>
          <t>PA2/PA3 1V</t>
        </is>
      </c>
      <c r="G8" s="135" t="inlineStr">
        <is>
          <t>100ms</t>
        </is>
      </c>
      <c r="H8" s="134" t="inlineStr">
        <is>
          <t>v_bat PA3/raw2 v_in PA2/raw1 BatteryRun فقط v_bat</t>
        </is>
      </c>
      <c r="I8" s="134" t="inlineStr">
        <is>
          <t>—</t>
        </is>
      </c>
      <c r="J8" s="134" t="inlineStr">
        <is>
          <t>PASS: mapping. FAIL: جابجایی</t>
        </is>
      </c>
      <c r="K8" s="98" t="n"/>
      <c r="L8" s="96" t="inlineStr">
        <is>
          <t>در انتظار</t>
        </is>
      </c>
      <c r="M8" s="98" t="n"/>
      <c r="N8" s="98" t="n"/>
      <c r="O8" s="101" t="n"/>
      <c r="P8" s="101" t="n"/>
      <c r="Q8" s="136">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اندازهٔ استک‌ها را چک کن: UI برابر 512 بایت، Measurement برابر 768 بایت و Control برابر 1024 بایت (همان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134" t="inlineStr">
        <is>
          <t>No extra RTOS</t>
        </is>
      </c>
      <c r="C6" s="99" t="inlineStr">
        <is>
          <t>بالا</t>
        </is>
      </c>
      <c r="D6" s="134" t="inlineStr">
        <is>
          <t>hysteresis UI</t>
        </is>
      </c>
      <c r="E6" s="134"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35" t="inlineStr">
        <is>
          <t>—</t>
        </is>
      </c>
      <c r="G6" s="135" t="inlineStr">
        <is>
          <t>—</t>
        </is>
      </c>
      <c r="H6" s="134" t="inlineStr">
        <is>
          <t>هیچ شئ جدید برای hysteresis</t>
        </is>
      </c>
      <c r="I6" s="134" t="inlineStr">
        <is>
          <t>—</t>
        </is>
      </c>
      <c r="J6" s="134" t="inlineStr">
        <is>
          <t>PASS: بدون شئ. FAIL: شئ جدید</t>
        </is>
      </c>
      <c r="K6" s="98" t="n"/>
      <c r="L6" s="96" t="inlineStr">
        <is>
          <t>در انتظار</t>
        </is>
      </c>
      <c r="M6" s="98" t="n"/>
      <c r="N6" s="98" t="n"/>
      <c r="O6" s="101" t="n"/>
      <c r="P6" s="101" t="n"/>
      <c r="Q6" s="136">
        <f>IF(OR(L6="",L6="در انتظار"),"",IF(Q6="",TODAY(),Q6))</f>
        <v/>
      </c>
    </row>
    <row r="7" ht="40.5" customHeight="1">
      <c r="A7" s="92" t="inlineStr">
        <is>
          <t>UI-029</t>
        </is>
      </c>
      <c r="B7" s="93" t="inlineStr">
        <is>
          <t>snapshot zeroing task_ui</t>
        </is>
      </c>
      <c r="C7" s="94" t="inlineStr">
        <is>
          <t>بالا</t>
        </is>
      </c>
      <c r="D7" s="93" t="inlineStr">
        <is>
          <t>valid=false</t>
        </is>
      </c>
      <c r="E7" s="93" t="inlineStr">
        <is>
          <t>گام ۱: task_ui را با snapshot صفرشده صدا بزن: valid=false و هر 9 فیلد صفر.
گام ۲: 2 ثانیه نگاه کن.
گام ۳: UI باید خاموش و امن (safe-off) بماند: همهٔ چراغ‌ها خاموش باشند و هیچ درصد کاذبی از روی v_bat24 زباله حساب نشود.
گام ۴: روشن‌شدن LED یعنی رد تست.</t>
        </is>
      </c>
      <c r="F7" s="95" t="inlineStr">
        <is>
          <t>valid=false</t>
        </is>
      </c>
      <c r="G7" s="95" t="inlineStr">
        <is>
          <t>2s</t>
        </is>
      </c>
      <c r="H7" s="93" t="inlineStr">
        <is>
          <t>UI باید safe-off بماند؛ چراغ‌ها خاموش؛ بدون خواندن v_bat24 زباله</t>
        </is>
      </c>
      <c r="I7" s="93" t="inlineStr">
        <is>
          <t>safe-off</t>
        </is>
      </c>
      <c r="J7" s="93" t="inlineStr">
        <is>
          <t>LED خاموش بدون درصد کاذب</t>
        </is>
      </c>
      <c r="K7" s="98" t="n"/>
      <c r="L7" s="104" t="inlineStr">
        <is>
          <t>نیاز به تکرار</t>
        </is>
      </c>
      <c r="M7" s="98" t="n"/>
      <c r="N7" s="98" t="n"/>
      <c r="O7" s="95" t="inlineStr">
        <is>
          <t>62f3782</t>
        </is>
      </c>
      <c r="P7" s="101" t="n"/>
      <c r="Q7" s="97"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131" t="inlineStr">
        <is>
          <t>مرجع سریع UI — هیسترزیس 2%/5%/100.95 و نگاشت</t>
        </is>
      </c>
    </row>
    <row r="2">
      <c r="A2" s="90" t="inlineStr">
        <is>
          <t>هیسترزیس: ورودی 20/21 (1000mV), BatteryRun 2%+0/1, Charging 5%, Full 100/95, Low 21/21.2, Overvoltage 27/28</t>
        </is>
      </c>
    </row>
    <row r="3" ht="22" customHeight="1">
      <c r="A3" s="140" t="inlineStr">
        <is>
          <t>موضوع</t>
        </is>
      </c>
      <c r="B3" s="140" t="inlineStr">
        <is>
          <t>شرط / مقدار</t>
        </is>
      </c>
      <c r="C3" s="140" t="inlineStr">
        <is>
          <t>رفتار</t>
        </is>
      </c>
      <c r="D3" s="140" t="inlineStr">
        <is>
          <t>ثابت / محل</t>
        </is>
      </c>
      <c r="E3" s="140" t="inlineStr">
        <is>
          <t>توضیح</t>
        </is>
      </c>
      <c r="F3" s="140" t="inlineStr">
        <is>
          <t>وابستگی</t>
        </is>
      </c>
    </row>
    <row r="4" ht="18" customHeight="1">
      <c r="A4" s="141" t="inlineStr">
        <is>
          <t>PA3 mapping</t>
        </is>
      </c>
      <c r="B4" s="141" t="inlineStr">
        <is>
          <t>PA3 pin13 ADC1_IN3 → raw2 → v_bat24_mv → BatteryRun/Charging</t>
        </is>
      </c>
      <c r="C4" s="141" t="inlineStr">
        <is>
          <t>فقط v_bat</t>
        </is>
      </c>
      <c r="D4" s="142" t="inlineStr">
        <is>
          <t>board_pins.h:PIN_ADC_24_BAT</t>
        </is>
      </c>
      <c r="E4" s="141" t="inlineStr">
        <is>
          <t>PA3→BatteryRun</t>
        </is>
      </c>
      <c r="F4" s="142"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41" t="inlineStr">
        <is>
          <t>PB4</t>
        </is>
      </c>
      <c r="B6" s="141" t="inlineStr">
        <is>
          <t>MCU_INT_24_IN EXTI دو لبه</t>
        </is>
      </c>
      <c r="C6" s="141" t="inlineStr">
        <is>
          <t>فقط ورودی</t>
        </is>
      </c>
      <c r="D6" s="142" t="inlineStr">
        <is>
          <t>board_pins.h</t>
        </is>
      </c>
      <c r="E6" s="141" t="inlineStr">
        <is>
          <t>PB4→ورودی</t>
        </is>
      </c>
      <c r="F6" s="142"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41" t="inlineStr">
        <is>
          <t>Battery 2%+0/1</t>
        </is>
      </c>
      <c r="B8" s="141" t="inlineStr">
        <is>
          <t>stable0→raw&gt;=2→1, stable1:0→0 &gt;=3→2 else1</t>
        </is>
      </c>
      <c r="C8" s="141" t="inlineStr">
        <is>
          <t>جلوگیری 0↔1</t>
        </is>
      </c>
      <c r="D8" s="141" t="inlineStr">
        <is>
          <t>RUN_HYSTERESIS 2 ZERO2 ONE3</t>
        </is>
      </c>
      <c r="E8" s="141" t="inlineStr">
        <is>
          <t>0/1 جدا</t>
        </is>
      </c>
      <c r="F8" s="142"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41" t="inlineStr">
        <is>
          <t>Charging 5%</t>
        </is>
      </c>
      <c r="B10" s="141" t="inlineStr">
        <is>
          <t>|raw-stable|&gt;=5 → update else keep, 53..61 حفظ</t>
        </is>
      </c>
      <c r="C10" s="141" t="inlineStr">
        <is>
          <t>پایدار زرد</t>
        </is>
      </c>
      <c r="D10" s="141" t="inlineStr">
        <is>
          <t>CHARGING_HYSTERESIS 5</t>
        </is>
      </c>
      <c r="E10" s="141" t="inlineStr">
        <is>
          <t>فقط Charging</t>
        </is>
      </c>
      <c r="F10" s="142"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41" t="inlineStr">
        <is>
          <t>Full 100/95</t>
        </is>
      </c>
      <c r="B12" s="141" t="inlineStr">
        <is>
          <t>&gt;=100 InputOk, &lt;95 Charging, else hold</t>
        </is>
      </c>
      <c r="C12" s="141" t="inlineStr">
        <is>
          <t>جلوگیری 28V پرش</t>
        </is>
      </c>
      <c r="D12" s="141" t="inlineStr">
        <is>
          <t>FULL_ENTER 100 FULL_EXIT95</t>
        </is>
      </c>
      <c r="E12" s="141" t="inlineStr">
        <is>
          <t>stateful</t>
        </is>
      </c>
      <c r="F12" s="142"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41" t="inlineStr">
        <is>
          <t>Yellow phase</t>
        </is>
      </c>
      <c r="B14" s="141" t="inlineStr">
        <is>
          <t>stable5 تغییر فاز reset نه</t>
        </is>
      </c>
      <c r="C14" s="141" t="inlineStr">
        <is>
          <t>پایدار</t>
        </is>
      </c>
      <c r="D14" s="141" t="inlineStr">
        <is>
          <t>UpdateChargingYellowBlink</t>
        </is>
      </c>
      <c r="E14" s="141" t="inlineStr">
        <is>
          <t>5%</t>
        </is>
      </c>
      <c r="F14" s="142"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41" t="inlineStr">
        <is>
          <t>Overvoltage</t>
        </is>
      </c>
      <c r="B16" s="141" t="inlineStr">
        <is>
          <t>&gt;28000 خطا &lt;=27000 پاک</t>
        </is>
      </c>
      <c r="C16" s="141" t="inlineStr">
        <is>
          <t>قرمز50%+بوق10s</t>
        </is>
      </c>
      <c r="D16" s="141" t="inlineStr">
        <is>
          <t>OVERVOLTAGE</t>
        </is>
      </c>
      <c r="E16" s="141" t="inlineStr">
        <is>
          <t>27/28</t>
        </is>
      </c>
      <c r="F16" s="142"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41" t="inlineStr">
        <is>
          <t>0% critical</t>
        </is>
      </c>
      <c r="B18" s="141" t="inlineStr">
        <is>
          <t>&lt;1% 10s یک بار سپس خاموش</t>
        </is>
      </c>
      <c r="C18" s="141" t="inlineStr">
        <is>
          <t>تا خروج 0 تکرار نه</t>
        </is>
      </c>
      <c r="D18" s="141" t="inlineStr">
        <is>
          <t>CRITICAL 1</t>
        </is>
      </c>
      <c r="E18" s="141" t="inlineStr">
        <is>
          <t>stable0</t>
        </is>
      </c>
      <c r="F18" s="142"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41" t="inlineStr">
        <is>
          <t>RTOS static</t>
        </is>
      </c>
      <c r="B20" s="141" t="inlineStr">
        <is>
          <t>DYNAMIC 0 cb/stack</t>
        </is>
      </c>
      <c r="C20" s="141" t="inlineStr">
        <is>
          <t>همه static</t>
        </is>
      </c>
      <c r="D20" s="141" t="inlineStr">
        <is>
          <t>FreeRTOSConfig</t>
        </is>
      </c>
      <c r="E20" s="141" t="inlineStr">
        <is>
          <t>word/byte</t>
        </is>
      </c>
      <c r="F20" s="142"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11"/>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1"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132" t="inlineStr">
        <is>
          <t>شماره ایراد</t>
        </is>
      </c>
      <c r="B3" s="132" t="inlineStr">
        <is>
          <t>شناسه تست</t>
        </is>
      </c>
      <c r="C3" s="132" t="inlineStr">
        <is>
          <t>تاریخ کشف</t>
        </is>
      </c>
      <c r="D3" s="132" t="inlineStr">
        <is>
          <t>شدت</t>
        </is>
      </c>
      <c r="E3" s="132" t="inlineStr">
        <is>
          <t>شرح کوتاه</t>
        </is>
      </c>
      <c r="F3" s="132" t="inlineStr">
        <is>
          <t>مراحل بازتولید</t>
        </is>
      </c>
      <c r="G3" s="132" t="inlineStr">
        <is>
          <t>انتظار</t>
        </is>
      </c>
      <c r="H3" s="132" t="inlineStr">
        <is>
          <t>واقعیت</t>
        </is>
      </c>
      <c r="I3" s="132" t="inlineStr">
        <is>
          <t>مدرک/عکس</t>
        </is>
      </c>
      <c r="J3" s="132" t="inlineStr">
        <is>
          <t>نسخهٔ برنامه</t>
        </is>
      </c>
      <c r="K3" s="132" t="inlineStr">
        <is>
          <t>محل احتمالی</t>
        </is>
      </c>
      <c r="L3" s="132" t="inlineStr">
        <is>
          <t>وضعیت</t>
        </is>
      </c>
      <c r="M3" s="132" t="inlineStr">
        <is>
          <t>تأیید رفع</t>
        </is>
      </c>
    </row>
    <row r="4" ht="16" customHeight="1">
      <c r="A4" s="143" t="inlineStr"/>
      <c r="B4" s="143" t="inlineStr"/>
      <c r="C4" s="143" t="inlineStr"/>
      <c r="D4" s="143" t="inlineStr"/>
      <c r="E4" s="143" t="inlineStr"/>
      <c r="F4" s="143" t="inlineStr"/>
      <c r="G4" s="143" t="inlineStr"/>
      <c r="H4" s="143" t="inlineStr"/>
      <c r="I4" s="143" t="inlineStr"/>
      <c r="J4" s="143" t="inlineStr"/>
      <c r="K4" s="143" t="inlineStr"/>
      <c r="L4" s="143" t="inlineStr"/>
      <c r="M4" s="143"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43" t="inlineStr"/>
      <c r="B6" s="143" t="inlineStr"/>
      <c r="C6" s="143" t="inlineStr"/>
      <c r="D6" s="143" t="inlineStr"/>
      <c r="E6" s="143" t="inlineStr"/>
      <c r="F6" s="143" t="inlineStr"/>
      <c r="G6" s="143" t="inlineStr"/>
      <c r="H6" s="143" t="inlineStr"/>
      <c r="I6" s="143" t="inlineStr"/>
      <c r="J6" s="143" t="inlineStr"/>
      <c r="K6" s="143" t="inlineStr"/>
      <c r="L6" s="143" t="inlineStr"/>
      <c r="M6" s="143"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43" t="inlineStr"/>
      <c r="B8" s="143" t="inlineStr"/>
      <c r="C8" s="143" t="inlineStr"/>
      <c r="D8" s="143" t="inlineStr"/>
      <c r="E8" s="143" t="inlineStr"/>
      <c r="F8" s="143" t="inlineStr"/>
      <c r="G8" s="143" t="inlineStr"/>
      <c r="H8" s="143" t="inlineStr"/>
      <c r="I8" s="143" t="inlineStr"/>
      <c r="J8" s="143" t="inlineStr"/>
      <c r="K8" s="143" t="inlineStr"/>
      <c r="L8" s="143" t="inlineStr"/>
      <c r="M8" s="143"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43" t="inlineStr"/>
      <c r="B10" s="143" t="inlineStr"/>
      <c r="C10" s="143" t="inlineStr"/>
      <c r="D10" s="143" t="inlineStr"/>
      <c r="E10" s="143" t="inlineStr"/>
      <c r="F10" s="143" t="inlineStr"/>
      <c r="G10" s="143" t="inlineStr"/>
      <c r="H10" s="143" t="inlineStr"/>
      <c r="I10" s="143" t="inlineStr"/>
      <c r="J10" s="143" t="inlineStr"/>
      <c r="K10" s="143" t="inlineStr"/>
      <c r="L10" s="143" t="inlineStr"/>
      <c r="M10" s="143"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43" t="inlineStr"/>
      <c r="B12" s="143" t="inlineStr"/>
      <c r="C12" s="143" t="inlineStr"/>
      <c r="D12" s="143" t="inlineStr"/>
      <c r="E12" s="143" t="inlineStr"/>
      <c r="F12" s="143" t="inlineStr"/>
      <c r="G12" s="143" t="inlineStr"/>
      <c r="H12" s="143" t="inlineStr"/>
      <c r="I12" s="143" t="inlineStr"/>
      <c r="J12" s="143" t="inlineStr"/>
      <c r="K12" s="143" t="inlineStr"/>
      <c r="L12" s="143" t="inlineStr"/>
      <c r="M12" s="143"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1" t="inlineStr">
        <is>
          <t>تأیید نهایی اعتبارسنجی روی برد — UI — 2%/5%/100.95</t>
        </is>
      </c>
    </row>
    <row r="2">
      <c r="A2" s="114" t="inlineStr">
        <is>
          <t>فقط پس از تکمیل تست‌ها و بستن ایرادهای بحرانی/بالا.</t>
        </is>
      </c>
    </row>
    <row r="3" ht="16" customHeight="1">
      <c r="A3" s="140"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نسخهٔ برنامه</t>
        </is>
      </c>
      <c r="B6" s="112" t="inlineStr">
        <is>
          <t>(بعد از تست پر شود)</t>
        </is>
      </c>
      <c r="C6" s="80" t="n"/>
      <c r="D6" s="117" t="inlineStr">
        <is>
          <t>شناسه برد</t>
        </is>
      </c>
      <c r="E6" s="112" t="inlineStr"/>
      <c r="F6" s="80" t="n"/>
    </row>
    <row r="7" ht="16" customHeight="1">
      <c r="A7" s="144" t="inlineStr">
        <is>
          <t>تست‌کننده اصلی</t>
        </is>
      </c>
      <c r="B7" s="112" t="inlineStr"/>
      <c r="C7" s="80" t="n"/>
      <c r="D7" s="145" t="inlineStr">
        <is>
          <t>تاریخ شروع</t>
        </is>
      </c>
      <c r="E7" s="112" t="inlineStr"/>
      <c r="F7" s="80" t="n"/>
    </row>
    <row r="8" ht="16" customHeight="1">
      <c r="A8" s="144" t="inlineStr">
        <is>
          <t>تاریخ پایان</t>
        </is>
      </c>
      <c r="B8" s="112" t="inlineStr"/>
      <c r="C8" s="80" t="n"/>
      <c r="D8" s="146" t="inlineStr">
        <is>
          <t>ابزار</t>
        </is>
      </c>
      <c r="E8" s="147" t="inlineStr">
        <is>
          <t>منبع آزمایشگاهی + DMM + اسکوپ + تایمر10ms</t>
        </is>
      </c>
      <c r="F8" s="80" t="n"/>
    </row>
    <row r="9" ht="16" customHeight="1">
      <c r="A9" s="144" t="inlineStr">
        <is>
          <t>فرکانس تیک</t>
        </is>
      </c>
      <c r="B9" s="141" t="inlineStr">
        <is>
          <t>1000Hz (osKernelGetTickFreq)</t>
        </is>
      </c>
      <c r="C9" s="80" t="n"/>
      <c r="D9" s="145" t="inlineStr">
        <is>
          <t>دوره UI</t>
        </is>
      </c>
      <c r="E9" s="141" t="inlineStr">
        <is>
          <t>10ms</t>
        </is>
      </c>
      <c r="F9" s="80" t="n"/>
    </row>
    <row r="10" ht="16" customHeight="1">
      <c r="A10" s="144" t="inlineStr">
        <is>
          <t>آستانه‌ها</t>
        </is>
      </c>
      <c r="B10" s="147" t="inlineStr">
        <is>
          <t>BatteryRun2%+0/1, Charging5%, Full100/95, Low21/21.2</t>
        </is>
      </c>
      <c r="C10" s="80" t="n"/>
      <c r="D10" s="146" t="inlineStr">
        <is>
          <t>فیلتر</t>
        </is>
      </c>
      <c r="E10" s="147" t="inlineStr">
        <is>
          <t>سبزOff(100-stable)*10 زردOn(100-stable5)*10</t>
        </is>
      </c>
      <c r="F10" s="80" t="n"/>
    </row>
    <row r="11" ht="16" customHeight="1">
      <c r="A11" s="117" t="inlineStr"/>
      <c r="B11" s="112" t="inlineStr"/>
      <c r="C11" s="80" t="n"/>
      <c r="D11" s="117" t="inlineStr"/>
      <c r="E11" s="112" t="inlineStr"/>
      <c r="F11" s="80" t="n"/>
    </row>
    <row r="12" ht="16" customHeight="1">
      <c r="A12" s="140" t="inlineStr">
        <is>
          <t>خلاصه وضعیت تست‌ها</t>
        </is>
      </c>
      <c r="B12" s="28" t="n"/>
      <c r="C12" s="28" t="n"/>
      <c r="D12" s="28" t="n"/>
      <c r="E12" s="28" t="n"/>
      <c r="F12" s="29" t="n"/>
    </row>
    <row r="13" ht="16" customHeight="1">
      <c r="A13" s="144" t="inlineStr">
        <is>
          <t>شاخص</t>
        </is>
      </c>
      <c r="B13" s="141" t="inlineStr">
        <is>
          <t>مقدار</t>
        </is>
      </c>
      <c r="C13" s="80" t="n"/>
      <c r="D13" s="145" t="inlineStr">
        <is>
          <t>توضیح</t>
        </is>
      </c>
      <c r="E13" s="112" t="inlineStr"/>
      <c r="F13" s="80" t="n"/>
    </row>
    <row r="14" ht="16" customHeight="1">
      <c r="A14" s="144" t="inlineStr">
        <is>
          <t>کل تست‌ها</t>
        </is>
      </c>
      <c r="B14" s="147" t="inlineStr">
        <is>
          <t>28</t>
        </is>
      </c>
      <c r="C14" s="80" t="n"/>
      <c r="D14" s="148" t="inlineStr">
        <is>
          <t>UI-001 تا UI-028</t>
        </is>
      </c>
      <c r="E14" s="112" t="inlineStr"/>
      <c r="F14" s="80" t="n"/>
    </row>
    <row r="15" ht="16" customHeight="1">
      <c r="A15" s="144" t="inlineStr">
        <is>
          <t>قبول</t>
        </is>
      </c>
      <c r="B15" s="141" t="inlineStr">
        <is>
          <t>0</t>
        </is>
      </c>
      <c r="C15" s="80" t="n"/>
      <c r="D15" s="145" t="inlineStr">
        <is>
          <t>COUNTIF</t>
        </is>
      </c>
      <c r="E15" s="112" t="inlineStr"/>
      <c r="F15" s="80" t="n"/>
    </row>
    <row r="16" ht="16" customHeight="1">
      <c r="A16" s="144" t="inlineStr">
        <is>
          <t>رد</t>
        </is>
      </c>
      <c r="B16" s="147" t="inlineStr">
        <is>
          <t>0</t>
        </is>
      </c>
      <c r="C16" s="80" t="n"/>
      <c r="D16" s="117" t="inlineStr"/>
      <c r="E16" s="112" t="inlineStr"/>
      <c r="F16" s="80" t="n"/>
    </row>
    <row r="17" ht="16" customHeight="1">
      <c r="A17" s="144" t="inlineStr">
        <is>
          <t>در انتظار</t>
        </is>
      </c>
      <c r="B17" s="141" t="inlineStr">
        <is>
          <t>28</t>
        </is>
      </c>
      <c r="C17" s="80" t="n"/>
      <c r="D17" s="117" t="inlineStr"/>
      <c r="E17" s="112" t="inlineStr"/>
      <c r="F17" s="80" t="n"/>
    </row>
    <row r="18" ht="16" customHeight="1">
      <c r="A18" s="144" t="inlineStr">
        <is>
          <t>نرخ قبولی</t>
        </is>
      </c>
      <c r="B18" s="147" t="inlineStr">
        <is>
          <t>0%</t>
        </is>
      </c>
      <c r="C18" s="80" t="n"/>
      <c r="D18" s="117" t="inlineStr"/>
      <c r="E18" s="112" t="inlineStr"/>
      <c r="F18" s="80" t="n"/>
    </row>
    <row r="19">
      <c r="A19" s="80" t="n"/>
      <c r="B19" s="80" t="n"/>
      <c r="C19" s="80" t="n"/>
      <c r="D19" s="80" t="n"/>
      <c r="E19" s="80" t="n"/>
      <c r="F19" s="80" t="n"/>
    </row>
    <row r="20">
      <c r="A20" s="149"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50" t="inlineStr">
        <is>
          <t>وضعیت</t>
        </is>
      </c>
    </row>
    <row r="2">
      <c r="A2" s="151"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50" t="inlineStr">
        <is>
          <t>اولویت</t>
        </is>
      </c>
    </row>
    <row r="9">
      <c r="A9" s="123" t="inlineStr">
        <is>
          <t>بالا</t>
        </is>
      </c>
    </row>
    <row r="10">
      <c r="A10" s="123" t="inlineStr">
        <is>
          <t>متوسط</t>
        </is>
      </c>
    </row>
    <row r="11">
      <c r="A11" s="123" t="inlineStr">
        <is>
          <t>پایین</t>
        </is>
      </c>
    </row>
    <row r="12">
      <c r="A12" s="80" t="n"/>
    </row>
    <row r="13">
      <c r="A13" s="150"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3" ht="24" customHeight="1">
      <c r="A3" s="31" t="inlineStr">
        <is>
          <t>حالت‌ها و گذارهای همین ماژول</t>
        </is>
      </c>
      <c r="B3" s="32" t="inlineStr">
        <is>
          <t>Ui_State_Machine.xlsx</t>
        </is>
      </c>
    </row>
    <row r="4" ht="24" customHeight="1">
      <c r="A4" s="31" t="inlineStr">
        <is>
          <t>ماشین حالت کل برنامه (نمای سیستمی)</t>
        </is>
      </c>
      <c r="B4" s="32" t="inlineStr">
        <is>
          <t>../../../Documentation/System_State_Machine.xlsx</t>
        </is>
      </c>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row>
    <row r="6" ht="24" customHeight="1">
      <c r="A6" s="31" t="inlineStr">
        <is>
          <t>بازتولید</t>
        </is>
      </c>
      <c r="B6" s="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2026-09-17T09:22:28Z</dcterms:created>
  <dcterms:modified xsi:type="dcterms:W3CDTF">2026-10-17T12:59:05Z</dcterms:modified>
</cp:coreProperties>
</file>