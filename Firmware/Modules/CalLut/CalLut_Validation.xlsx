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برنامه‌نویسی"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7">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sz val="11"/>
    </font>
  </fonts>
  <fills count="8">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76">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0" borderId="2" applyAlignment="1" pivotButton="0" quotePrefix="0" xfId="0">
      <alignment horizontal="right" vertical="center" wrapText="1"/>
    </xf>
    <xf numFmtId="0" fontId="13" fillId="6"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8" fillId="0" borderId="0" applyAlignment="1" pivotButton="0" quotePrefix="0" xfId="0">
      <alignment horizontal="left" vertical="center" wrapText="1"/>
    </xf>
    <xf numFmtId="0" fontId="18" fillId="0" borderId="0" applyAlignment="1" pivotButton="0" quotePrefix="0" xfId="0">
      <alignment horizontal="center" vertical="center" wrapText="1"/>
    </xf>
    <xf numFmtId="0" fontId="14" fillId="0" borderId="0" applyAlignment="1" pivotButton="0" quotePrefix="0" xfId="0">
      <alignment vertical="center" wrapText="1"/>
    </xf>
    <xf numFmtId="0" fontId="5" fillId="0" borderId="0" applyAlignment="1" pivotButton="0" quotePrefix="0" xfId="0">
      <alignment horizontal="left" vertical="center" wrapText="1"/>
    </xf>
    <xf numFmtId="0" fontId="19" fillId="0" borderId="0" applyAlignment="1" pivotButton="0" quotePrefix="0" xfId="0">
      <alignment horizontal="left" vertical="center" wrapText="1"/>
    </xf>
    <xf numFmtId="0" fontId="20" fillId="3" borderId="2" applyAlignment="1" pivotButton="0" quotePrefix="0" xfId="0">
      <alignment horizontal="center" vertical="center" wrapText="1"/>
    </xf>
    <xf numFmtId="0" fontId="21" fillId="0" borderId="0" applyAlignment="1" pivotButton="0" quotePrefix="0" xfId="0">
      <alignment horizontal="left" vertical="center" wrapText="1"/>
    </xf>
    <xf numFmtId="0" fontId="22" fillId="0" borderId="0" pivotButton="0" quotePrefix="0" xfId="0"/>
    <xf numFmtId="0" fontId="23" fillId="0" borderId="0" pivotButton="0" quotePrefix="0" xfId="0"/>
    <xf numFmtId="0" fontId="19"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4"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5" fillId="7" borderId="2" applyAlignment="1" pivotButton="0" quotePrefix="0" xfId="0">
      <alignment horizontal="center" vertical="center" wrapText="1"/>
    </xf>
    <xf numFmtId="164" fontId="23" fillId="0" borderId="0" pivotButton="0" quotePrefix="0" xfId="0"/>
    <xf numFmtId="0" fontId="7" fillId="0" borderId="0" applyAlignment="1" pivotButton="0" quotePrefix="0" xfId="0">
      <alignment vertical="center" wrapText="1"/>
    </xf>
    <xf numFmtId="0" fontId="25" fillId="2" borderId="0" applyAlignment="1" pivotButton="0" quotePrefix="0" xfId="0">
      <alignment horizontal="center" vertical="center" wrapText="1"/>
    </xf>
    <xf numFmtId="0" fontId="19" fillId="0" borderId="0" applyAlignment="1" pivotButton="0" quotePrefix="0" xfId="0">
      <alignment horizontal="center" vertical="center" wrapText="1"/>
    </xf>
    <xf numFmtId="0" fontId="21" fillId="0" borderId="0" applyAlignment="1" pivotButton="0" quotePrefix="0" xfId="0">
      <alignment horizontal="center" vertical="center" wrapText="1"/>
    </xf>
    <xf numFmtId="0" fontId="5" fillId="0" borderId="0" pivotButton="0" quotePrefix="0" xfId="0"/>
    <xf numFmtId="0" fontId="25" fillId="2" borderId="0" applyAlignment="1" pivotButton="0" quotePrefix="0" xfId="0">
      <alignment horizontal="left" vertical="center" wrapText="1"/>
    </xf>
    <xf numFmtId="0" fontId="25" fillId="0" borderId="0" pivotButton="0" quotePrefix="0" xfId="0"/>
    <xf numFmtId="0" fontId="26" fillId="0" borderId="0" pivotButton="0" quotePrefix="0" xfId="0"/>
    <xf numFmtId="0" fontId="26" fillId="0" borderId="3" pivotButton="0" quotePrefix="0" xfId="0"/>
    <xf numFmtId="164" fontId="26"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EspLink/esp_link_nvm.c" TargetMode="External" Id="rId1" /></Relationships>
</file>

<file path=xl/worksheets/_rels/sheet4.xml.rels><Relationships xmlns="http://schemas.openxmlformats.org/package/2006/relationships"><Relationship Type="http://schemas.openxmlformats.org/officeDocument/2006/relationships/hyperlink" Target="cal_lut.c" TargetMode="External" Id="rId1" /><Relationship Type="http://schemas.openxmlformats.org/officeDocument/2006/relationships/hyperlink" Target="cal_lut.c" TargetMode="External" Id="rId2" /></Relationships>
</file>

<file path=xl/worksheets/_rels/sheet8.xml.rels><Relationships xmlns="http://schemas.openxmlformats.org/package/2006/relationships"><Relationship Type="http://schemas.openxmlformats.org/officeDocument/2006/relationships/hyperlink" Target="CalLu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2"/>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45" t="inlineStr">
        <is>
          <t>برگه تست و اعتبارسنجی عملی ماژول CalLut</t>
        </is>
      </c>
    </row>
    <row r="2">
      <c r="A2" s="46" t="inlineStr">
        <is>
          <t>CalLut | جدول کالیبراسیون در جای جدا در حافظهٔ ماندگار (فلش) ذخیره می‌شود. برایش کنترل صحت (CRC32) داریم. اگر جدول خراب شود، دستگاه به جدول پیش‌فرض برمی‌گردد.</t>
        </is>
      </c>
    </row>
    <row r="3" ht="30" customHeight="1">
      <c r="A3" s="47" t="inlineStr">
        <is>
          <t>هدف فایل</t>
        </is>
      </c>
    </row>
    <row r="4">
      <c r="A4" s="46" t="n"/>
    </row>
    <row r="5">
      <c r="A5" s="46" t="inlineStr">
        <is>
          <t>جدول در دو صفحهٔ جدا از فلش ذخیره می‌شود. هر صفحه ۱ کیلوبایت است. نشانی دو صفحه: 0x0800F000 و 0x0800F400.
هر بار فقط یکی از دو صفحه نوشته می‌شود. پس اگر وسط نوشتن برق برود، صفحهٔ دیگر سالم می‌ماند.
هر رکورد برای خودش نسخه و کنترل صحت (CRC32) دارد.</t>
        </is>
      </c>
    </row>
    <row r="6">
      <c r="A6" s="48" t="inlineStr">
        <is>
          <t>این جدول جای جدا دارد و با رکورد تنظیمات (esp_link_nvm.c) قاطی نمی‌شود.
پس فرستادن جدول، تنظیمات را خراب نمی‌کند. فرستادن تنظیمات هم جدول را خراب نمی‌کند.</t>
        </is>
      </c>
    </row>
    <row r="7">
      <c r="A7" s="46" t="inlineStr">
        <is>
          <t>جدول آماده‌ای داخل برنامه نیست.
اگر در فلش رکورد سالمی نباشد، دستگاه با خط پیش‌فرض کار می‌کند: گین 3000 و آفست 0.
اگر رکورد سالم باشد، همان رکورد استفاده می‌شود.</t>
        </is>
      </c>
    </row>
    <row r="8">
      <c r="A8" s="46" t="inlineStr">
        <is>
          <t>ترتیب فرستادن جدول از پنل:
۱) شروع (LUT_BEGIN)
۲) تکه‌تکه فرستادن جدول (LUT_CHUNK)
۳) پایان و اعلام کنترل صحت (CRC32) از پنل (LUT_COMMIT)
۴) برد از چیزی که در فلش نوشته، کنترل صحت (CRC32) می‌گیرد و برمی‌گرداند (LUT_ACK)
۵) فقط اگر دو کنترل صحت یکی بود، برد ریست می‌شود (LUT_RESET) تا جدول تازه فعال شود.</t>
        </is>
      </c>
    </row>
    <row r="9">
      <c r="A9" s="46" t="inlineStr">
        <is>
          <t>هدف این برگه ساده است: روی برد واقعی ثابت کنیم که نوشتن جدول، خواندن دوباره‌اش، چک‌کردن درستی‌اش و برگشت به جدول پشتیبان، همه درست کار می‌کنند.</t>
        </is>
      </c>
    </row>
    <row r="10">
      <c r="A10" s="46" t="inlineStr">
        <is>
          <t>تست روی کامپیوتر (اجرای برنامه روی PC با حافظهٔ شبیه‌سازی‌شده) جای این تست‌های برد را نمی‌گیرد.</t>
        </is>
      </c>
    </row>
    <row r="11"/>
    <row r="12">
      <c r="A12" s="7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53"/>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عملی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می‌ماند یا پاک می‌شود</t>
        </is>
      </c>
      <c r="J4" s="47" t="inlineStr">
        <is>
          <t>چه چیزی باید ببینید تا بگویید درست است</t>
        </is>
      </c>
      <c r="K4" s="47" t="inlineStr">
        <is>
          <t>نتیجهٔ واقعی / اندازه‌گیری</t>
        </is>
      </c>
      <c r="L4" s="47" t="inlineStr">
        <is>
          <t>وضعیت</t>
        </is>
      </c>
      <c r="M4" s="47" t="inlineStr">
        <is>
          <t>شرح ایراد / تفاوت</t>
        </is>
      </c>
      <c r="N4" s="47" t="inlineStr">
        <is>
          <t>مدرک تست</t>
        </is>
      </c>
      <c r="O4" s="47" t="inlineStr">
        <is>
          <t>نسخهٔ برنامه</t>
        </is>
      </c>
      <c r="P4" s="47" t="inlineStr">
        <is>
          <t>نام تست‌کننده</t>
        </is>
      </c>
      <c r="Q4" s="47" t="inlineStr">
        <is>
          <t>تاریخ</t>
        </is>
      </c>
    </row>
    <row r="5" ht="54" customHeight="1">
      <c r="A5" s="52" t="inlineStr">
        <is>
          <t>CL-001</t>
        </is>
      </c>
      <c r="B5" s="53" t="inlineStr">
        <is>
          <t>بوت بدون رکورد</t>
        </is>
      </c>
      <c r="C5" s="54" t="inlineStr">
        <is>
          <t>بالا</t>
        </is>
      </c>
      <c r="D5" s="55" t="inlineStr">
        <is>
          <t>دستگاه تازه است یا جدولش را تازه پاک کرده‌ای (CL-016)؛ باتری و برق شهر آماده</t>
        </is>
      </c>
      <c r="E5" s="53" t="inlineStr">
        <is>
          <t>گام ۱: دستگاه را روشن کن و یک باتری نیمه‌خالی را به شارژ بزن.
گام ۲: چند دقیقه رفتار شارژ را نگاه کن.</t>
        </is>
      </c>
      <c r="F5" s="56" t="inlineStr">
        <is>
          <t>روشن‌کردن و شارژ بدون جدول سفارشی</t>
        </is>
      </c>
      <c r="G5" s="56" t="inlineStr">
        <is>
          <t>پنج دقیقه</t>
        </is>
      </c>
      <c r="H5" s="53" t="inlineStr">
        <is>
          <t>شارژ با جدول پیش‌فرض کارخانه کاملاً عادی کار می‌کند؛ هیچ خطای جدولی نیست</t>
        </is>
      </c>
      <c r="I5" s="53" t="inlineStr">
        <is>
          <t>رفتار پیش‌فرض</t>
        </is>
      </c>
      <c r="J5" s="53" t="inlineStr">
        <is>
          <t>باید ببینید: شارژ با جدول پیش‌فرض کارخانه کاملاً عادی کار می‌کند و هیچ خطای جدولی نیست. اگر شارژ خراب بود یا خطا آمد، قبول نیست.</t>
        </is>
      </c>
      <c r="K5" s="53" t="inlineStr">
        <is>
          <t>در انتظار</t>
        </is>
      </c>
      <c r="L5" s="57" t="inlineStr">
        <is>
          <t>در انتظار</t>
        </is>
      </c>
      <c r="M5" s="53" t="n"/>
      <c r="N5" s="53" t="inlineStr">
        <is>
          <t>(بعد از تست پر شود)</t>
        </is>
      </c>
      <c r="O5" s="56" t="inlineStr">
        <is>
          <t>(بعد از تست پر شود)</t>
        </is>
      </c>
      <c r="P5" s="56" t="inlineStr">
        <is>
          <t>(بعد از تست پر شود)</t>
        </is>
      </c>
      <c r="Q5" s="58">
        <f>IF(OR(L5="",L5="در انتظار"),"",IF(Q5="",TODAY(),Q5))</f>
        <v/>
      </c>
    </row>
    <row r="6" ht="67.5" customHeight="1">
      <c r="A6" s="52" t="inlineStr">
        <is>
          <t>CL-002</t>
        </is>
      </c>
      <c r="B6" s="59" t="inlineStr">
        <is>
          <t>push سالم کانال ۱</t>
        </is>
      </c>
      <c r="C6" s="60" t="inlineStr">
        <is>
          <t>متوسط</t>
        </is>
      </c>
      <c r="D6" s="59" t="inlineStr">
        <is>
          <t>پنل باز است و جدول درست یک کانال را آماده داری</t>
        </is>
      </c>
      <c r="E6" s="59" t="inlineStr">
        <is>
          <t>گام ۱: جدول را از پنل برای کانال ۱ بفرست.
گام ۲: همان جدول را از پنل بخوان و عددها را مقایسه کن.
گام ۳: با همان کانال یک شارژ واقعی انجام بده.</t>
        </is>
      </c>
      <c r="F6" s="61" t="inlineStr">
        <is>
          <t>فرستادن جدول کانال ۱ از پنل</t>
        </is>
      </c>
      <c r="G6" s="61" t="inlineStr">
        <is>
          <t>ده دقیقه</t>
        </is>
      </c>
      <c r="H6" s="59" t="inlineStr">
        <is>
          <t>جدول درست نشسته (خواندن برعکس همان است) و شارژ کانال ۱ با همان اعداد کار می‌کند</t>
        </is>
      </c>
      <c r="I6" s="59" t="inlineStr">
        <is>
          <t>ماندگار</t>
        </is>
      </c>
      <c r="J6" s="59" t="inlineStr">
        <is>
          <t>باید ببینید: جدول درست نشسته (بازخوانی همان است) و شارژ کانال ۱ با همان اعداد کار می‌کند. اگر عددی اختلاف داشت یا شارژ خراب بود، قبول نیست.</t>
        </is>
      </c>
      <c r="K6" s="59" t="inlineStr">
        <is>
          <t>در انتظار</t>
        </is>
      </c>
      <c r="L6" s="57" t="inlineStr">
        <is>
          <t>در انتظار</t>
        </is>
      </c>
      <c r="M6" s="59" t="n"/>
      <c r="N6" s="59" t="inlineStr">
        <is>
          <t>(بعد از تست پر شود)</t>
        </is>
      </c>
      <c r="O6" s="61" t="inlineStr">
        <is>
          <t>(بعد از تست پر شود)</t>
        </is>
      </c>
      <c r="P6" s="61" t="inlineStr">
        <is>
          <t>(بعد از تست پر شود)</t>
        </is>
      </c>
      <c r="Q6" s="62">
        <f>IF(OR(L6="",L6="در انتظار"),"",IF(Q6="",TODAY(),Q6))</f>
        <v/>
      </c>
    </row>
    <row r="7" ht="54" customHeight="1">
      <c r="A7" s="52" t="inlineStr">
        <is>
          <t>CL-003</t>
        </is>
      </c>
      <c r="B7" s="53" t="inlineStr">
        <is>
          <t>ماندگاری پس از قطع برق</t>
        </is>
      </c>
      <c r="C7" s="54" t="inlineStr">
        <is>
          <t>متوسط</t>
        </is>
      </c>
      <c r="D7" s="55" t="inlineStr">
        <is>
          <t>جدول سفارشی را فرستاده‌ای و نشسته است (CL-002)</t>
        </is>
      </c>
      <c r="E7" s="53" t="inlineStr">
        <is>
          <t>گام ۱: برق دستگاه را کامل قطع کن و یک دقیقه صبر کن.
گام ۲: روشن کن و جدول را از پنل دوباره بخوان.</t>
        </is>
      </c>
      <c r="F7" s="56" t="inlineStr">
        <is>
          <t>قطع و وصل کامل برق</t>
        </is>
      </c>
      <c r="G7" s="56" t="inlineStr">
        <is>
          <t>پنج دقیقه</t>
        </is>
      </c>
      <c r="H7" s="53" t="inlineStr">
        <is>
          <t>جدول سفارشی بعد از روشن‌شدن سر جاست</t>
        </is>
      </c>
      <c r="I7" s="53" t="inlineStr">
        <is>
          <t>ماندگار در قطع برق</t>
        </is>
      </c>
      <c r="J7" s="53" t="inlineStr">
        <is>
          <t>باید ببینید: جدول سفارشی بعد از خاموش و روشن‌کردن سر جاست. اگر پاک شده بود، قبول نیست.</t>
        </is>
      </c>
      <c r="K7" s="53" t="inlineStr">
        <is>
          <t>در انتظار</t>
        </is>
      </c>
      <c r="L7" s="57" t="inlineStr">
        <is>
          <t>در انتظار</t>
        </is>
      </c>
      <c r="M7" s="53" t="n"/>
      <c r="N7" s="53" t="inlineStr">
        <is>
          <t>(بعد از تست پر شود)</t>
        </is>
      </c>
      <c r="O7" s="56" t="inlineStr">
        <is>
          <t>(بعد از تست پر شود)</t>
        </is>
      </c>
      <c r="P7" s="56" t="inlineStr">
        <is>
          <t>(بعد از تست پر شود)</t>
        </is>
      </c>
      <c r="Q7" s="58">
        <f>IF(OR(L7="",L7="در انتظار"),"",IF(Q7="",TODAY(),Q7))</f>
        <v/>
      </c>
    </row>
    <row r="8" ht="54" customHeight="1">
      <c r="A8" s="52" t="inlineStr">
        <is>
          <t>CL-010</t>
        </is>
      </c>
      <c r="B8" s="59" t="inlineStr">
        <is>
          <t>قطع برق وسط نوشتن</t>
        </is>
      </c>
      <c r="C8" s="60" t="inlineStr">
        <is>
          <t>متوسط</t>
        </is>
      </c>
      <c r="D8" s="63" t="inlineStr">
        <is>
          <t>پنل باز و دستگاه روشن است؛ دستت روی کلید برق دستگاه باشد</t>
        </is>
      </c>
      <c r="E8" s="63" t="inlineStr">
        <is>
          <t>گام ۱: فرستادن یک جدول تازه از پنل را شروع کن.
گام ۲: وسط فرستادن، برق دستگاه را بکش.
گام ۳: دوباره روشن کن و جدول را بخوان: یا جدول قبلی سالم است یا پیش‌فرض؛ بعد یک شارژ واقعی بگیر.</t>
        </is>
      </c>
      <c r="F8" s="61" t="inlineStr">
        <is>
          <t>قطع برق وسط فرستادن جدول</t>
        </is>
      </c>
      <c r="G8" s="61" t="inlineStr">
        <is>
          <t>ده دقیقه</t>
        </is>
      </c>
      <c r="H8" s="59" t="inlineStr">
        <is>
          <t>جدول نصفه‌نیمه ذخیره نشده؛ شارژ با جدول قبلی یا پیش‌فرض سالم کار می‌کند</t>
        </is>
      </c>
      <c r="I8" s="59" t="inlineStr">
        <is>
          <t>بدون جدول خراب</t>
        </is>
      </c>
      <c r="J8" s="59" t="inlineStr">
        <is>
          <t>باید ببینید: بعد از قطع برق وسط نوشتن، شارژ با جدول قبلی یا پیش‌فرض سالم کار می‌کند و جدول نصفه ذخیره نشده است. اگر جدول خراب یا شارژ به‌هم‌ریخته بود، قبول نیست.</t>
        </is>
      </c>
      <c r="K8" s="59" t="inlineStr">
        <is>
          <t>در انتظار</t>
        </is>
      </c>
      <c r="L8" s="57" t="inlineStr">
        <is>
          <t>در انتظار</t>
        </is>
      </c>
      <c r="M8" s="59" t="n"/>
      <c r="N8" s="59" t="inlineStr">
        <is>
          <t>(بعد از تست پر شود)</t>
        </is>
      </c>
      <c r="O8" s="61" t="inlineStr">
        <is>
          <t>(بعد از تست پر شود)</t>
        </is>
      </c>
      <c r="P8" s="61" t="inlineStr">
        <is>
          <t>(بعد از تست پر شود)</t>
        </is>
      </c>
      <c r="Q8" s="62">
        <f>IF(OR(L8="",L8="در انتظار"),"",IF(Q8="",TODAY(),Q8))</f>
        <v/>
      </c>
    </row>
    <row r="9" ht="54" customHeight="1">
      <c r="A9" s="52" t="inlineStr">
        <is>
          <t>CL-011</t>
        </is>
      </c>
      <c r="B9" s="53" t="inlineStr">
        <is>
          <t>استقلال از NVM پارامترها</t>
        </is>
      </c>
      <c r="C9" s="54" t="inlineStr">
        <is>
          <t>متوسط</t>
        </is>
      </c>
      <c r="D9" s="53" t="inlineStr">
        <is>
          <t>جدول سفارشی نشسته و پنل باز است</t>
        </is>
      </c>
      <c r="E9" s="53" t="inlineStr">
        <is>
          <t>گام ۱: چند پارامتر معمولی پنل (نه جدولی) را عوض کن.
گام ۲: برق را قطع و وصل کن.
گام ۳: جدول را بخوان.</t>
        </is>
      </c>
      <c r="F9" s="56" t="inlineStr">
        <is>
          <t>تغییر پارامترهای معمولی و قطع‌ووصل</t>
        </is>
      </c>
      <c r="G9" s="56" t="inlineStr">
        <is>
          <t>پنج دقیقه</t>
        </is>
      </c>
      <c r="H9" s="53" t="inlineStr">
        <is>
          <t>جدول سفارشی دست‌نخورده مانده است</t>
        </is>
      </c>
      <c r="I9" s="53" t="inlineStr">
        <is>
          <t>استقلال جدول از بقیهٔ تنظیم‌ها</t>
        </is>
      </c>
      <c r="J9" s="53" t="inlineStr">
        <is>
          <t>باید ببینید: جدول سفارشی دست‌نخورده مانده است. اگر دست خورده بود، قبول نیست.</t>
        </is>
      </c>
      <c r="K9" s="53" t="inlineStr">
        <is>
          <t>در انتظار</t>
        </is>
      </c>
      <c r="L9" s="57" t="inlineStr">
        <is>
          <t>در انتظار</t>
        </is>
      </c>
      <c r="M9" s="53" t="n"/>
      <c r="N9" s="53" t="inlineStr">
        <is>
          <t>(بعد از تست پر شود)</t>
        </is>
      </c>
      <c r="O9" s="56" t="inlineStr">
        <is>
          <t>(بعد از تست پر شود)</t>
        </is>
      </c>
      <c r="P9" s="56" t="inlineStr">
        <is>
          <t>(بعد از تست پر شود)</t>
        </is>
      </c>
      <c r="Q9" s="58">
        <f>IF(OR(L9="",L9="در انتظار"),"",IF(Q9="",TODAY(),Q9))</f>
        <v/>
      </c>
    </row>
    <row r="10" ht="54" customHeight="1">
      <c r="A10" s="52" t="inlineStr">
        <is>
          <t>CL-014</t>
        </is>
      </c>
      <c r="B10" s="59" t="inlineStr">
        <is>
          <t>LUT_READ بازخوانی واقعی هر دو کانال</t>
        </is>
      </c>
      <c r="C10" s="60" t="inlineStr">
        <is>
          <t>متوسط</t>
        </is>
      </c>
      <c r="D10" s="59" t="inlineStr">
        <is>
          <t>برای هر دو کانال جدول ذخیره کرده‌ای</t>
        </is>
      </c>
      <c r="E10" s="59" t="inlineStr">
        <is>
          <t>گام ۱: از پنل جدول هر دو کانال را کامل بخوان.
گام ۲: عددها را با چیزی که فرستاده بودی مقایسه کن.</t>
        </is>
      </c>
      <c r="F10" s="61" t="inlineStr">
        <is>
          <t>خواندن جدول هر دو کانال</t>
        </is>
      </c>
      <c r="G10" s="61" t="inlineStr">
        <is>
          <t>پنج دقیقه</t>
        </is>
      </c>
      <c r="H10" s="59" t="inlineStr">
        <is>
          <t>هر دو جدول عددبه‌عدد درست و سر جای خودشان‌اند؛ کانال‌ها قاطی نشده‌اند</t>
        </is>
      </c>
      <c r="I10" s="59" t="inlineStr">
        <is>
          <t>—</t>
        </is>
      </c>
      <c r="J10" s="59" t="inlineStr">
        <is>
          <t>باید ببینید: هر دو جدول عددبه‌عدد درست و سر جای خودشان‌اند و کانال‌ها قاطی نشده‌اند. اگر قاطی یا ناقص بود، قبول نیست.</t>
        </is>
      </c>
      <c r="K10" s="59" t="inlineStr">
        <is>
          <t>تست روی کامپیوتر قبول شد: 159 بررسی. دو فریم واقعی جدول (LUT_DATA) هم بود، باتری ۲ جدا بود و گذر از ناصفر به صفر هم چک شد.
تست روی برد هنوز انجام نشده است.</t>
        </is>
      </c>
      <c r="L10" s="57" t="inlineStr">
        <is>
          <t>در انتظار</t>
        </is>
      </c>
      <c r="M10" s="59" t="inlineStr">
        <is>
          <t>تست روی کامپیوتر جای اندازه‌گیری روی برد را نمی‌گیرد. فلش و خواندن دوبارهٔ جدول باید روی برد واقعی انجام شود.</t>
        </is>
      </c>
      <c r="N10" s="59" t="inlineStr">
        <is>
          <t>Firmware/Modules/CalLut/Tester/run_host_test_cal_lut.sh</t>
        </is>
      </c>
      <c r="O10" s="61" t="inlineStr">
        <is>
          <t>WORKTREE</t>
        </is>
      </c>
      <c r="P10" s="61" t="n"/>
      <c r="Q10" s="62">
        <f>IF(OR(L10="",L10="در انتظار"),"",IF(Q10="",TODAY(),Q10))</f>
        <v/>
      </c>
    </row>
    <row r="11" ht="54" customHeight="1">
      <c r="A11" s="52" t="inlineStr">
        <is>
          <t>CL-015</t>
        </is>
      </c>
      <c r="B11" s="53" t="inlineStr">
        <is>
          <t>حذف override با صفرنقطه</t>
        </is>
      </c>
      <c r="C11" s="54" t="inlineStr">
        <is>
          <t>متوسط</t>
        </is>
      </c>
      <c r="D11" s="55" t="inlineStr">
        <is>
          <t>یک کانال جدول سفارشی دارد و با همان شارژ می‌کند.</t>
        </is>
      </c>
      <c r="E11" s="55" t="inlineStr">
        <is>
          <t>گام ۱: از پنل، جدول سفارشی همان کانال را با نقطهٔ صفر پاک کن.
گام ۲: با همان کانال یک شارژ واقعی انجام بده.</t>
        </is>
      </c>
      <c r="F11" s="56" t="inlineStr">
        <is>
          <t>پاک‌کردن جدول سفارشی از پنل</t>
        </is>
      </c>
      <c r="G11" s="56" t="inlineStr">
        <is>
          <t>ده دقیقه</t>
        </is>
      </c>
      <c r="H11" s="53" t="inlineStr">
        <is>
          <t>کانال به رفتار پیش‌فرض کارخانه برمی‌گردد و شارژ عادی می‌شود</t>
        </is>
      </c>
      <c r="I11" s="53" t="inlineStr">
        <is>
          <t>برگشت به پیش‌فرض</t>
        </is>
      </c>
      <c r="J11" s="53" t="inlineStr">
        <is>
          <t>باید ببینید: کانال به رفتار پیش‌فرض کارخانه برمی‌گردد و شارژ عادی می‌شود. اگر روی جدول پاک‌شده ماند، قبول نیست.</t>
        </is>
      </c>
      <c r="K11" s="53" t="inlineStr">
        <is>
          <t>تست روی کامپیوتر قبول شد: 159 بررسی.
تست روی برد هنوز انجام نشده است.</t>
        </is>
      </c>
      <c r="L11" s="57" t="inlineStr">
        <is>
          <t>در انتظار</t>
        </is>
      </c>
      <c r="M11" s="53" t="inlineStr">
        <is>
          <t>تست روی کامپیوتر جای تست برد را نمی‌گیرد. پاک‌شدن جدول سفارشی و ماندنش بعد از ریست باید روی برد واقعی چک شود.</t>
        </is>
      </c>
      <c r="N11" s="55" t="inlineStr">
        <is>
          <t>Firmware/Modules/CalLut/Tester/run_host_test_cal_lut.sh؛ esp_link_panel/Tester/host_test_scenario_cards.js</t>
        </is>
      </c>
      <c r="O11" s="56" t="inlineStr">
        <is>
          <t>WORKTREE</t>
        </is>
      </c>
      <c r="P11" s="56" t="n"/>
      <c r="Q11" s="58">
        <f>IF(OR(L11="",L11="در انتظار"),"",IF(Q11="",TODAY(),Q11))</f>
        <v/>
      </c>
    </row>
    <row r="12" ht="54" customHeight="1">
      <c r="A12" s="52" t="inlineStr">
        <is>
          <t>CL-016</t>
        </is>
      </c>
      <c r="B12" s="59" t="inlineStr">
        <is>
          <t>reset با grant و flush NVM</t>
        </is>
      </c>
      <c r="C12" s="60" t="inlineStr">
        <is>
          <t>متوسط</t>
        </is>
      </c>
      <c r="D12" s="59" t="inlineStr">
        <is>
          <t>جدول سفارشی ذخیره است و پنل باز</t>
        </is>
      </c>
      <c r="E12" s="59" t="inlineStr">
        <is>
          <t>گام ۱: ریست جدول را از پنل با تأیید انجام بده.
گام ۲: برق را قطع و وصل کن.
گام ۳: جدول را بخوان و یک شارژ بگیر.</t>
        </is>
      </c>
      <c r="F12" s="61" t="inlineStr">
        <is>
          <t>ریست جدول و قطع‌ووصل برق</t>
        </is>
      </c>
      <c r="G12" s="61" t="inlineStr">
        <is>
          <t>ده دقیقه</t>
        </is>
      </c>
      <c r="H12" s="59" t="inlineStr">
        <is>
          <t>جدول پاک شده، بعد از روشن‌شدن هم برنمی‌گردد و شارژ پیش‌فرض عادی است</t>
        </is>
      </c>
      <c r="I12" s="59" t="inlineStr">
        <is>
          <t>ماندگار</t>
        </is>
      </c>
      <c r="J12" s="59" t="inlineStr">
        <is>
          <t>باید ببینید: جدول پاک شده و بعد از روشن‌شدن هم برنمی‌گردد و شارژ پیش‌فرض عادی است. اگر جدول برگشت، قبول نیست.</t>
        </is>
      </c>
      <c r="K12" s="59" t="inlineStr">
        <is>
          <t>تست روی کامپیوتر قبول شد: برای CalLut تعداد 159 بررسی، برای پارسر 14 بررسی و برای حافظهٔ ماندگار (NVM) هم قبول شد.
تست فیزیکی فلش و ریست و باتری هنوز انجام نشده است.</t>
        </is>
      </c>
      <c r="L12" s="57" t="inlineStr">
        <is>
          <t>در انتظار</t>
        </is>
      </c>
      <c r="M12" s="59" t="inlineStr">
        <is>
          <t>تست روی کامپیوتر جای تست فیزیکی برد و خطای واقعی حافظه (NVM) را نمی‌گیرد.
ثبت نقطهٔ صفر، ریست و خالی‌کردن حافظه (flush) باید روی برد واقعی دوباره انجام شود.</t>
        </is>
      </c>
      <c r="N12" s="63" t="inlineStr">
        <is>
          <t>Firmware/Modules/CalLut/Tester/run_host_test_cal_lut.sh؛ Firmware/Modules/EspLink/Tester/run_host_test_nvm.sh؛ Firmware/Modules/EspLink/esp_link.c</t>
        </is>
      </c>
      <c r="O12" s="61" t="inlineStr">
        <is>
          <t>WORKTREE</t>
        </is>
      </c>
      <c r="P12" s="61" t="n"/>
      <c r="Q12" s="62">
        <f>IF(OR(L12="",L12="در انتظار"),"",IF(Q12="",TODAY(),Q12))</f>
        <v/>
      </c>
    </row>
    <row r="13" ht="40.5" customHeight="1">
      <c r="A13" s="52" t="inlineStr">
        <is>
          <t>CL-020</t>
        </is>
      </c>
      <c r="B13" s="53" t="inlineStr">
        <is>
          <t>پنل دیالوگ LUT</t>
        </is>
      </c>
      <c r="C13" s="56" t="inlineStr">
        <is>
          <t>متوسط</t>
        </is>
      </c>
      <c r="D13" s="53" t="inlineStr">
        <is>
          <t>پنل باز و دستگاه روشن است</t>
        </is>
      </c>
      <c r="E13" s="53" t="inlineStr">
        <is>
          <t>گام ۱: دیالوگ جدول را در پنل باز کن و یک عدد را عوض کن.
گام ۲: لغو بزن؛ جدول را بخوان که عوض نشده باشد.
گام ۳: دوباره عوض کن و این بار تأیید بزن؛ بخوان که نشسته باشد.</t>
        </is>
      </c>
      <c r="F13" s="56" t="inlineStr">
        <is>
          <t>لغو و تأیید در دیالوگ جدول پنل</t>
        </is>
      </c>
      <c r="G13" s="56" t="inlineStr">
        <is>
          <t>پنج دقیقه</t>
        </is>
      </c>
      <c r="H13" s="53" t="inlineStr">
        <is>
          <t>لغو هیچ اثری ندارد و تأیید دقیقاً همان تغییر را می‌نشاند</t>
        </is>
      </c>
      <c r="I13" s="53" t="inlineStr">
        <is>
          <t>—</t>
        </is>
      </c>
      <c r="J13" s="53" t="inlineStr">
        <is>
          <t>باید ببینید: لغو هیچ اثری ندارد و تأیید دقیقاً همان تغییر را می‌نشاند. اگر با لغو اعمال شد یا با تأیید گم شد، قبول نیست.</t>
        </is>
      </c>
      <c r="K13" s="53" t="n"/>
      <c r="L13" s="64" t="inlineStr">
        <is>
          <t>نیاز به تکرار</t>
        </is>
      </c>
      <c r="M13" s="53" t="n"/>
      <c r="N13" s="53" t="inlineStr">
        <is>
          <t>../EspLink/esp_link.c</t>
        </is>
      </c>
      <c r="O13" s="56" t="inlineStr">
        <is>
          <t>62f3782</t>
        </is>
      </c>
      <c r="P13" s="56" t="n"/>
      <c r="Q13" s="58">
        <f>IF(OR(L13="",L13="در انتظار"),"",IF(Q13="",TODAY(),Q13))</f>
        <v/>
      </c>
    </row>
    <row r="14">
      <c r="A14" s="74" t="n"/>
      <c r="B14" s="74" t="n"/>
      <c r="C14" s="74" t="n"/>
      <c r="D14" s="74" t="n"/>
      <c r="E14" s="74" t="n"/>
      <c r="F14" s="74" t="n"/>
      <c r="G14" s="74" t="n"/>
      <c r="H14" s="74" t="n"/>
      <c r="I14" s="74" t="n"/>
      <c r="J14" s="74" t="n"/>
      <c r="K14" s="74" t="n"/>
      <c r="L14" s="74" t="n"/>
      <c r="M14" s="74" t="n"/>
      <c r="N14" s="74" t="n"/>
      <c r="O14" s="74" t="n"/>
      <c r="P14" s="74" t="n"/>
      <c r="Q14" s="75" t="n"/>
    </row>
    <row r="15">
      <c r="A15" s="74" t="n"/>
      <c r="B15" s="74" t="n"/>
      <c r="C15" s="74" t="n"/>
      <c r="D15" s="74" t="n"/>
      <c r="E15" s="74" t="n"/>
      <c r="F15" s="74" t="n"/>
      <c r="G15" s="74" t="n"/>
      <c r="H15" s="74" t="n"/>
      <c r="I15" s="74" t="n"/>
      <c r="J15" s="74" t="n"/>
      <c r="K15" s="74" t="n"/>
      <c r="L15" s="74" t="n"/>
      <c r="M15" s="74" t="n"/>
      <c r="N15" s="74" t="n"/>
      <c r="O15" s="74" t="n"/>
      <c r="P15" s="74" t="n"/>
      <c r="Q15" s="75" t="n"/>
    </row>
    <row r="16">
      <c r="A16" s="74" t="n"/>
      <c r="B16" s="74" t="n"/>
      <c r="C16" s="74" t="n"/>
      <c r="D16" s="74" t="n"/>
      <c r="E16" s="74" t="n"/>
      <c r="F16" s="74" t="n"/>
      <c r="G16" s="74" t="n"/>
      <c r="H16" s="74" t="n"/>
      <c r="I16" s="74" t="n"/>
      <c r="J16" s="74" t="n"/>
      <c r="K16" s="74" t="n"/>
      <c r="L16" s="74" t="n"/>
      <c r="M16" s="74" t="n"/>
      <c r="N16" s="74" t="n"/>
      <c r="O16" s="74" t="n"/>
      <c r="P16" s="74" t="n"/>
      <c r="Q16" s="75" t="n"/>
    </row>
    <row r="17">
      <c r="A17" s="74" t="n"/>
      <c r="B17" s="74" t="n"/>
      <c r="C17" s="74" t="n"/>
      <c r="D17" s="74" t="n"/>
      <c r="E17" s="74" t="n"/>
      <c r="F17" s="74" t="n"/>
      <c r="G17" s="74" t="n"/>
      <c r="H17" s="74" t="n"/>
      <c r="I17" s="74" t="n"/>
      <c r="J17" s="74" t="n"/>
      <c r="K17" s="74" t="n"/>
      <c r="L17" s="74" t="n"/>
      <c r="M17" s="74" t="n"/>
      <c r="N17" s="74" t="n"/>
      <c r="O17" s="74" t="n"/>
      <c r="P17" s="74" t="n"/>
      <c r="Q17" s="75" t="n"/>
    </row>
    <row r="18">
      <c r="A18" s="74" t="n"/>
      <c r="B18" s="74" t="n"/>
      <c r="C18" s="74" t="n"/>
      <c r="D18" s="74" t="n"/>
      <c r="E18" s="74" t="n"/>
      <c r="F18" s="74" t="n"/>
      <c r="G18" s="74" t="n"/>
      <c r="H18" s="74" t="n"/>
      <c r="I18" s="74" t="n"/>
      <c r="J18" s="74" t="n"/>
      <c r="K18" s="74" t="n"/>
      <c r="L18" s="74" t="n"/>
      <c r="M18" s="74" t="n"/>
      <c r="N18" s="74" t="n"/>
      <c r="O18" s="74" t="n"/>
      <c r="P18" s="74" t="n"/>
      <c r="Q18" s="75" t="n"/>
    </row>
    <row r="19">
      <c r="A19" s="74" t="n"/>
      <c r="B19" s="74" t="n"/>
      <c r="C19" s="74" t="n"/>
      <c r="D19" s="74" t="n"/>
      <c r="E19" s="74" t="n"/>
      <c r="F19" s="74" t="n"/>
      <c r="G19" s="74" t="n"/>
      <c r="H19" s="74" t="n"/>
      <c r="I19" s="74" t="n"/>
      <c r="J19" s="74" t="n"/>
      <c r="K19" s="74" t="n"/>
      <c r="L19" s="74" t="n"/>
      <c r="M19" s="74" t="n"/>
      <c r="N19" s="74" t="n"/>
      <c r="O19" s="74" t="n"/>
      <c r="P19" s="74" t="n"/>
      <c r="Q19" s="75" t="n"/>
    </row>
    <row r="20">
      <c r="A20" s="74" t="n"/>
      <c r="B20" s="74" t="n"/>
      <c r="C20" s="74" t="n"/>
      <c r="D20" s="74" t="n"/>
      <c r="E20" s="74" t="n"/>
      <c r="F20" s="74" t="n"/>
      <c r="G20" s="74" t="n"/>
      <c r="H20" s="74" t="n"/>
      <c r="I20" s="74" t="n"/>
      <c r="J20" s="74" t="n"/>
      <c r="K20" s="74" t="n"/>
      <c r="L20" s="74" t="n"/>
      <c r="M20" s="74" t="n"/>
      <c r="N20" s="74" t="n"/>
      <c r="O20" s="74" t="n"/>
      <c r="P20" s="74" t="n"/>
      <c r="Q20" s="75" t="n"/>
    </row>
    <row r="21">
      <c r="A21" s="74" t="n"/>
      <c r="B21" s="74" t="n"/>
      <c r="C21" s="74" t="n"/>
      <c r="D21" s="74" t="n"/>
      <c r="E21" s="74" t="n"/>
      <c r="F21" s="74" t="n"/>
      <c r="G21" s="74" t="n"/>
      <c r="H21" s="74" t="n"/>
      <c r="I21" s="74" t="n"/>
      <c r="J21" s="74" t="n"/>
      <c r="K21" s="74" t="n"/>
      <c r="L21" s="74" t="n"/>
      <c r="M21" s="74" t="n"/>
      <c r="N21" s="74" t="n"/>
      <c r="O21" s="74" t="n"/>
      <c r="P21" s="74" t="n"/>
      <c r="Q21" s="75" t="n"/>
    </row>
    <row r="22">
      <c r="A22" s="74" t="n"/>
      <c r="B22" s="74" t="n"/>
      <c r="C22" s="74" t="n"/>
      <c r="D22" s="74" t="n"/>
      <c r="E22" s="74" t="n"/>
      <c r="F22" s="74" t="n"/>
      <c r="G22" s="74" t="n"/>
      <c r="H22" s="74" t="n"/>
      <c r="I22" s="74" t="n"/>
      <c r="J22" s="74" t="n"/>
      <c r="K22" s="74" t="n"/>
      <c r="L22" s="74" t="n"/>
      <c r="M22" s="74" t="n"/>
      <c r="N22" s="74" t="n"/>
      <c r="O22" s="74" t="n"/>
      <c r="P22" s="74" t="n"/>
      <c r="Q22" s="75" t="n"/>
    </row>
    <row r="23">
      <c r="A23" s="74" t="n"/>
      <c r="B23" s="74" t="n"/>
      <c r="C23" s="74" t="n"/>
      <c r="D23" s="74" t="n"/>
      <c r="E23" s="74" t="n"/>
      <c r="F23" s="74" t="n"/>
      <c r="G23" s="74" t="n"/>
      <c r="H23" s="74" t="n"/>
      <c r="I23" s="74" t="n"/>
      <c r="J23" s="74" t="n"/>
      <c r="K23" s="74" t="n"/>
      <c r="L23" s="74" t="n"/>
      <c r="M23" s="74" t="n"/>
      <c r="N23" s="74" t="n"/>
      <c r="O23" s="74" t="n"/>
      <c r="P23" s="74" t="n"/>
      <c r="Q23" s="75" t="n"/>
    </row>
    <row r="24">
      <c r="A24" s="74" t="n"/>
      <c r="B24" s="74" t="n"/>
      <c r="C24" s="74" t="n"/>
      <c r="D24" s="74" t="n"/>
      <c r="E24" s="74" t="n"/>
      <c r="F24" s="74" t="n"/>
      <c r="G24" s="74" t="n"/>
      <c r="H24" s="74" t="n"/>
      <c r="I24" s="74" t="n"/>
      <c r="J24" s="74" t="n"/>
      <c r="K24" s="74" t="n"/>
      <c r="L24" s="74" t="n"/>
      <c r="M24" s="74" t="n"/>
      <c r="N24" s="74" t="n"/>
      <c r="O24" s="74" t="n"/>
      <c r="P24" s="74" t="n"/>
      <c r="Q24" s="75" t="n"/>
    </row>
    <row r="25">
      <c r="A25" s="74" t="n"/>
      <c r="B25" s="74" t="n"/>
      <c r="C25" s="74" t="n"/>
      <c r="D25" s="74" t="n"/>
      <c r="E25" s="74" t="n"/>
      <c r="F25" s="74" t="n"/>
      <c r="G25" s="74" t="n"/>
      <c r="H25" s="74" t="n"/>
      <c r="I25" s="74" t="n"/>
      <c r="J25" s="74" t="n"/>
      <c r="K25" s="74" t="n"/>
      <c r="L25" s="74" t="n"/>
      <c r="M25" s="74" t="n"/>
      <c r="N25" s="74" t="n"/>
      <c r="O25" s="74" t="n"/>
      <c r="P25" s="74" t="n"/>
      <c r="Q25" s="75" t="n"/>
    </row>
    <row r="26">
      <c r="A26" s="74" t="n"/>
      <c r="B26" s="74" t="n"/>
      <c r="C26" s="74" t="n"/>
      <c r="D26" s="74" t="n"/>
      <c r="E26" s="74" t="n"/>
      <c r="F26" s="74" t="n"/>
      <c r="G26" s="74" t="n"/>
      <c r="H26" s="74" t="n"/>
      <c r="I26" s="74" t="n"/>
      <c r="J26" s="74" t="n"/>
      <c r="K26" s="74" t="n"/>
      <c r="L26" s="74" t="n"/>
      <c r="M26" s="74" t="n"/>
      <c r="N26" s="74" t="n"/>
      <c r="O26" s="74" t="n"/>
      <c r="P26" s="74" t="n"/>
      <c r="Q26" s="75" t="n"/>
    </row>
    <row r="27">
      <c r="A27" s="74" t="n"/>
      <c r="B27" s="74" t="n"/>
      <c r="C27" s="74" t="n"/>
      <c r="D27" s="74" t="n"/>
      <c r="E27" s="74" t="n"/>
      <c r="F27" s="74" t="n"/>
      <c r="G27" s="74" t="n"/>
      <c r="H27" s="74" t="n"/>
      <c r="I27" s="74" t="n"/>
      <c r="J27" s="74" t="n"/>
      <c r="K27" s="74" t="n"/>
      <c r="L27" s="74" t="n"/>
      <c r="M27" s="74" t="n"/>
      <c r="N27" s="74" t="n"/>
      <c r="O27" s="74" t="n"/>
      <c r="P27" s="74" t="n"/>
      <c r="Q27" s="75" t="n"/>
    </row>
    <row r="28">
      <c r="A28" s="74" t="n"/>
      <c r="B28" s="74" t="n"/>
      <c r="C28" s="74" t="n"/>
      <c r="D28" s="74" t="n"/>
      <c r="E28" s="74" t="n"/>
      <c r="F28" s="74" t="n"/>
      <c r="G28" s="74" t="n"/>
      <c r="H28" s="74" t="n"/>
      <c r="I28" s="74" t="n"/>
      <c r="J28" s="74" t="n"/>
      <c r="K28" s="74" t="n"/>
      <c r="L28" s="74" t="n"/>
      <c r="M28" s="74" t="n"/>
      <c r="N28" s="74" t="n"/>
      <c r="O28" s="74" t="n"/>
      <c r="P28" s="74" t="n"/>
      <c r="Q28" s="75" t="n"/>
    </row>
    <row r="29">
      <c r="A29" s="74" t="n"/>
      <c r="B29" s="74" t="n"/>
      <c r="C29" s="74" t="n"/>
      <c r="D29" s="74" t="n"/>
      <c r="E29" s="74" t="n"/>
      <c r="F29" s="74" t="n"/>
      <c r="G29" s="74" t="n"/>
      <c r="H29" s="74" t="n"/>
      <c r="I29" s="74" t="n"/>
      <c r="J29" s="74" t="n"/>
      <c r="K29" s="74" t="n"/>
      <c r="L29" s="74" t="n"/>
      <c r="M29" s="74" t="n"/>
      <c r="N29" s="74" t="n"/>
      <c r="O29" s="74" t="n"/>
      <c r="P29" s="74" t="n"/>
      <c r="Q29" s="75" t="n"/>
    </row>
    <row r="30">
      <c r="A30" s="74" t="n"/>
      <c r="B30" s="74" t="n"/>
      <c r="C30" s="74" t="n"/>
      <c r="D30" s="74" t="n"/>
      <c r="E30" s="74" t="n"/>
      <c r="F30" s="74" t="n"/>
      <c r="G30" s="74" t="n"/>
      <c r="H30" s="74" t="n"/>
      <c r="I30" s="74" t="n"/>
      <c r="J30" s="74" t="n"/>
      <c r="K30" s="74" t="n"/>
      <c r="L30" s="74" t="n"/>
      <c r="M30" s="74" t="n"/>
      <c r="N30" s="74" t="n"/>
      <c r="O30" s="74" t="n"/>
      <c r="P30" s="74" t="n"/>
      <c r="Q30" s="75" t="n"/>
    </row>
    <row r="31">
      <c r="A31" s="74" t="n"/>
      <c r="B31" s="74" t="n"/>
      <c r="C31" s="74" t="n"/>
      <c r="D31" s="74" t="n"/>
      <c r="E31" s="74" t="n"/>
      <c r="F31" s="74" t="n"/>
      <c r="G31" s="74" t="n"/>
      <c r="H31" s="74" t="n"/>
      <c r="I31" s="74" t="n"/>
      <c r="J31" s="74" t="n"/>
      <c r="K31" s="74" t="n"/>
      <c r="L31" s="74" t="n"/>
      <c r="M31" s="74" t="n"/>
      <c r="N31" s="74" t="n"/>
      <c r="O31" s="74" t="n"/>
      <c r="P31" s="74" t="n"/>
      <c r="Q31" s="75" t="n"/>
    </row>
    <row r="32">
      <c r="A32" s="74" t="n"/>
      <c r="B32" s="74" t="n"/>
      <c r="C32" s="74" t="n"/>
      <c r="D32" s="74" t="n"/>
      <c r="E32" s="74" t="n"/>
      <c r="F32" s="74" t="n"/>
      <c r="G32" s="74" t="n"/>
      <c r="H32" s="74" t="n"/>
      <c r="I32" s="74" t="n"/>
      <c r="J32" s="74" t="n"/>
      <c r="K32" s="74" t="n"/>
      <c r="L32" s="74" t="n"/>
      <c r="M32" s="74" t="n"/>
      <c r="N32" s="74" t="n"/>
      <c r="O32" s="74" t="n"/>
      <c r="P32" s="74" t="n"/>
      <c r="Q32" s="75" t="n"/>
    </row>
    <row r="33">
      <c r="A33" s="74" t="n"/>
      <c r="B33" s="74" t="n"/>
      <c r="C33" s="74" t="n"/>
      <c r="D33" s="74" t="n"/>
      <c r="E33" s="74" t="n"/>
      <c r="F33" s="74" t="n"/>
      <c r="G33" s="74" t="n"/>
      <c r="H33" s="74" t="n"/>
      <c r="I33" s="74" t="n"/>
      <c r="J33" s="74" t="n"/>
      <c r="K33" s="74" t="n"/>
      <c r="L33" s="74" t="n"/>
      <c r="M33" s="74" t="n"/>
      <c r="N33" s="74" t="n"/>
      <c r="O33" s="74" t="n"/>
      <c r="P33" s="74" t="n"/>
      <c r="Q33" s="75" t="n"/>
    </row>
    <row r="34">
      <c r="A34" s="74" t="n"/>
      <c r="B34" s="74" t="n"/>
      <c r="C34" s="74" t="n"/>
      <c r="D34" s="74" t="n"/>
      <c r="E34" s="74" t="n"/>
      <c r="F34" s="74" t="n"/>
      <c r="G34" s="74" t="n"/>
      <c r="H34" s="74" t="n"/>
      <c r="I34" s="74" t="n"/>
      <c r="J34" s="74" t="n"/>
      <c r="K34" s="74" t="n"/>
      <c r="L34" s="74" t="n"/>
      <c r="M34" s="74" t="n"/>
      <c r="N34" s="74" t="n"/>
      <c r="O34" s="74" t="n"/>
      <c r="P34" s="74" t="n"/>
      <c r="Q34" s="75" t="n"/>
    </row>
    <row r="35">
      <c r="A35" s="74" t="n"/>
      <c r="B35" s="74" t="n"/>
      <c r="C35" s="74" t="n"/>
      <c r="D35" s="74" t="n"/>
      <c r="E35" s="74" t="n"/>
      <c r="F35" s="74" t="n"/>
      <c r="G35" s="74" t="n"/>
      <c r="H35" s="74" t="n"/>
      <c r="I35" s="74" t="n"/>
      <c r="J35" s="74" t="n"/>
      <c r="K35" s="74" t="n"/>
      <c r="L35" s="74" t="n"/>
      <c r="M35" s="74" t="n"/>
      <c r="N35" s="74" t="n"/>
      <c r="O35" s="74" t="n"/>
      <c r="P35" s="74" t="n"/>
      <c r="Q35" s="75" t="n"/>
    </row>
    <row r="36">
      <c r="A36" s="74" t="n"/>
      <c r="B36" s="74" t="n"/>
      <c r="C36" s="74" t="n"/>
      <c r="D36" s="74" t="n"/>
      <c r="E36" s="74" t="n"/>
      <c r="F36" s="74" t="n"/>
      <c r="G36" s="74" t="n"/>
      <c r="H36" s="74" t="n"/>
      <c r="I36" s="74" t="n"/>
      <c r="J36" s="74" t="n"/>
      <c r="K36" s="74" t="n"/>
      <c r="L36" s="74" t="n"/>
      <c r="M36" s="74" t="n"/>
      <c r="N36" s="74" t="n"/>
      <c r="O36" s="74" t="n"/>
      <c r="P36" s="74" t="n"/>
      <c r="Q36" s="75" t="n"/>
    </row>
    <row r="37">
      <c r="A37" s="74" t="n"/>
      <c r="B37" s="74" t="n"/>
      <c r="C37" s="74" t="n"/>
      <c r="D37" s="74" t="n"/>
      <c r="E37" s="74" t="n"/>
      <c r="F37" s="74" t="n"/>
      <c r="G37" s="74" t="n"/>
      <c r="H37" s="74" t="n"/>
      <c r="I37" s="74" t="n"/>
      <c r="J37" s="74" t="n"/>
      <c r="K37" s="74" t="n"/>
      <c r="L37" s="74" t="n"/>
      <c r="M37" s="74" t="n"/>
      <c r="N37" s="74" t="n"/>
      <c r="O37" s="74" t="n"/>
      <c r="P37" s="74" t="n"/>
      <c r="Q37" s="75" t="n"/>
    </row>
    <row r="38">
      <c r="A38" s="74" t="n"/>
      <c r="B38" s="74" t="n"/>
      <c r="C38" s="74" t="n"/>
      <c r="D38" s="74" t="n"/>
      <c r="E38" s="74" t="n"/>
      <c r="F38" s="74" t="n"/>
      <c r="G38" s="74" t="n"/>
      <c r="H38" s="74" t="n"/>
      <c r="I38" s="74" t="n"/>
      <c r="J38" s="74" t="n"/>
      <c r="K38" s="74" t="n"/>
      <c r="L38" s="74" t="n"/>
      <c r="M38" s="74" t="n"/>
      <c r="N38" s="74" t="n"/>
      <c r="O38" s="74" t="n"/>
      <c r="P38" s="74" t="n"/>
      <c r="Q38" s="75" t="n"/>
    </row>
    <row r="39">
      <c r="A39" s="74" t="n"/>
      <c r="B39" s="74" t="n"/>
      <c r="C39" s="74" t="n"/>
      <c r="D39" s="74" t="n"/>
      <c r="E39" s="74" t="n"/>
      <c r="F39" s="74" t="n"/>
      <c r="G39" s="74" t="n"/>
      <c r="H39" s="74" t="n"/>
      <c r="I39" s="74" t="n"/>
      <c r="J39" s="74" t="n"/>
      <c r="K39" s="74" t="n"/>
      <c r="L39" s="74" t="n"/>
      <c r="M39" s="74" t="n"/>
      <c r="N39" s="74" t="n"/>
      <c r="O39" s="74" t="n"/>
      <c r="P39" s="74" t="n"/>
      <c r="Q39" s="75" t="n"/>
    </row>
    <row r="40">
      <c r="A40" s="74" t="n"/>
      <c r="B40" s="74" t="n"/>
      <c r="C40" s="74" t="n"/>
      <c r="D40" s="74" t="n"/>
      <c r="E40" s="74" t="n"/>
      <c r="F40" s="74" t="n"/>
      <c r="G40" s="74" t="n"/>
      <c r="H40" s="74" t="n"/>
      <c r="I40" s="74" t="n"/>
      <c r="J40" s="74" t="n"/>
      <c r="K40" s="74" t="n"/>
      <c r="L40" s="74" t="n"/>
      <c r="M40" s="74" t="n"/>
      <c r="N40" s="74" t="n"/>
      <c r="O40" s="74" t="n"/>
      <c r="P40" s="74" t="n"/>
      <c r="Q40" s="75" t="n"/>
    </row>
    <row r="41">
      <c r="A41" s="74" t="n"/>
      <c r="B41" s="74" t="n"/>
      <c r="C41" s="74" t="n"/>
      <c r="D41" s="74" t="n"/>
      <c r="E41" s="74" t="n"/>
      <c r="F41" s="74" t="n"/>
      <c r="G41" s="74" t="n"/>
      <c r="H41" s="74" t="n"/>
      <c r="I41" s="74" t="n"/>
      <c r="J41" s="74" t="n"/>
      <c r="K41" s="74" t="n"/>
      <c r="L41" s="74" t="n"/>
      <c r="M41" s="74" t="n"/>
      <c r="N41" s="74" t="n"/>
      <c r="O41" s="74" t="n"/>
      <c r="P41" s="74" t="n"/>
      <c r="Q41" s="75" t="n"/>
    </row>
    <row r="42">
      <c r="A42" s="74" t="n"/>
      <c r="B42" s="74" t="n"/>
      <c r="C42" s="74" t="n"/>
      <c r="D42" s="74" t="n"/>
      <c r="E42" s="74" t="n"/>
      <c r="F42" s="74" t="n"/>
      <c r="G42" s="74" t="n"/>
      <c r="H42" s="74" t="n"/>
      <c r="I42" s="74" t="n"/>
      <c r="J42" s="74" t="n"/>
      <c r="K42" s="74" t="n"/>
      <c r="L42" s="74" t="n"/>
      <c r="M42" s="74" t="n"/>
      <c r="N42" s="74" t="n"/>
      <c r="O42" s="74" t="n"/>
      <c r="P42" s="74" t="n"/>
      <c r="Q42" s="75" t="n"/>
    </row>
    <row r="43">
      <c r="A43" s="74" t="n"/>
      <c r="B43" s="74" t="n"/>
      <c r="C43" s="74" t="n"/>
      <c r="D43" s="74" t="n"/>
      <c r="E43" s="74" t="n"/>
      <c r="F43" s="74" t="n"/>
      <c r="G43" s="74" t="n"/>
      <c r="H43" s="74" t="n"/>
      <c r="I43" s="74" t="n"/>
      <c r="J43" s="74" t="n"/>
      <c r="K43" s="74" t="n"/>
      <c r="L43" s="74" t="n"/>
      <c r="M43" s="74" t="n"/>
      <c r="N43" s="74" t="n"/>
      <c r="O43" s="74" t="n"/>
      <c r="P43" s="74" t="n"/>
      <c r="Q43" s="75" t="n"/>
    </row>
    <row r="44">
      <c r="A44" s="74" t="n"/>
      <c r="B44" s="74" t="n"/>
      <c r="C44" s="74" t="n"/>
      <c r="D44" s="74" t="n"/>
      <c r="E44" s="74" t="n"/>
      <c r="F44" s="74" t="n"/>
      <c r="G44" s="74" t="n"/>
      <c r="H44" s="74" t="n"/>
      <c r="I44" s="74" t="n"/>
      <c r="J44" s="74" t="n"/>
      <c r="K44" s="74" t="n"/>
      <c r="L44" s="74" t="n"/>
      <c r="M44" s="74" t="n"/>
      <c r="N44" s="74" t="n"/>
      <c r="O44" s="74" t="n"/>
      <c r="P44" s="74" t="n"/>
      <c r="Q44" s="75" t="n"/>
    </row>
    <row r="45">
      <c r="A45" s="74" t="n"/>
      <c r="B45" s="74" t="n"/>
      <c r="C45" s="74" t="n"/>
      <c r="D45" s="74" t="n"/>
      <c r="E45" s="74" t="n"/>
      <c r="F45" s="74" t="n"/>
      <c r="G45" s="74" t="n"/>
      <c r="H45" s="74" t="n"/>
      <c r="I45" s="74" t="n"/>
      <c r="J45" s="74" t="n"/>
      <c r="K45" s="74" t="n"/>
      <c r="L45" s="74" t="n"/>
      <c r="M45" s="74" t="n"/>
      <c r="N45" s="74" t="n"/>
      <c r="O45" s="74" t="n"/>
      <c r="P45" s="74" t="n"/>
      <c r="Q45" s="75" t="n"/>
    </row>
    <row r="46">
      <c r="A46" s="74" t="n"/>
      <c r="B46" s="74" t="n"/>
      <c r="C46" s="74" t="n"/>
      <c r="D46" s="74" t="n"/>
      <c r="E46" s="74" t="n"/>
      <c r="F46" s="74" t="n"/>
      <c r="G46" s="74" t="n"/>
      <c r="H46" s="74" t="n"/>
      <c r="I46" s="74" t="n"/>
      <c r="J46" s="74" t="n"/>
      <c r="K46" s="74" t="n"/>
      <c r="L46" s="74" t="n"/>
      <c r="M46" s="74" t="n"/>
      <c r="N46" s="74" t="n"/>
      <c r="O46" s="74" t="n"/>
      <c r="P46" s="74" t="n"/>
      <c r="Q46" s="75" t="n"/>
    </row>
    <row r="47">
      <c r="A47" s="74" t="n"/>
      <c r="B47" s="74" t="n"/>
      <c r="C47" s="74" t="n"/>
      <c r="D47" s="74" t="n"/>
      <c r="E47" s="74" t="n"/>
      <c r="F47" s="74" t="n"/>
      <c r="G47" s="74" t="n"/>
      <c r="H47" s="74" t="n"/>
      <c r="I47" s="74" t="n"/>
      <c r="J47" s="74" t="n"/>
      <c r="K47" s="74" t="n"/>
      <c r="L47" s="74" t="n"/>
      <c r="M47" s="74" t="n"/>
      <c r="N47" s="74" t="n"/>
      <c r="O47" s="74" t="n"/>
      <c r="P47" s="74" t="n"/>
      <c r="Q47" s="75" t="n"/>
    </row>
    <row r="48">
      <c r="A48" s="74" t="n"/>
      <c r="B48" s="74" t="n"/>
      <c r="C48" s="74" t="n"/>
      <c r="D48" s="74" t="n"/>
      <c r="E48" s="74" t="n"/>
      <c r="F48" s="74" t="n"/>
      <c r="G48" s="74" t="n"/>
      <c r="H48" s="74" t="n"/>
      <c r="I48" s="74" t="n"/>
      <c r="J48" s="74" t="n"/>
      <c r="K48" s="74" t="n"/>
      <c r="L48" s="74" t="n"/>
      <c r="M48" s="74" t="n"/>
      <c r="N48" s="74" t="n"/>
      <c r="O48" s="74" t="n"/>
      <c r="P48" s="74" t="n"/>
      <c r="Q48" s="75" t="n"/>
    </row>
    <row r="49">
      <c r="A49" s="74" t="n"/>
      <c r="B49" s="74" t="n"/>
      <c r="C49" s="74" t="n"/>
      <c r="D49" s="74" t="n"/>
      <c r="E49" s="74" t="n"/>
      <c r="F49" s="74" t="n"/>
      <c r="G49" s="74" t="n"/>
      <c r="H49" s="74" t="n"/>
      <c r="I49" s="74" t="n"/>
      <c r="J49" s="74" t="n"/>
      <c r="K49" s="74" t="n"/>
      <c r="L49" s="74" t="n"/>
      <c r="M49" s="74" t="n"/>
      <c r="N49" s="74" t="n"/>
      <c r="O49" s="74" t="n"/>
      <c r="P49" s="74" t="n"/>
      <c r="Q49" s="75" t="n"/>
    </row>
    <row r="50">
      <c r="A50" s="74" t="n"/>
      <c r="B50" s="74" t="n"/>
      <c r="C50" s="74" t="n"/>
      <c r="D50" s="74" t="n"/>
      <c r="E50" s="74" t="n"/>
      <c r="F50" s="74" t="n"/>
      <c r="G50" s="74" t="n"/>
      <c r="H50" s="74" t="n"/>
      <c r="I50" s="74" t="n"/>
      <c r="J50" s="74" t="n"/>
      <c r="K50" s="74" t="n"/>
      <c r="L50" s="74" t="n"/>
      <c r="M50" s="74" t="n"/>
      <c r="N50" s="74" t="n"/>
      <c r="O50" s="74" t="n"/>
      <c r="P50" s="74" t="n"/>
      <c r="Q50" s="75" t="n"/>
    </row>
    <row r="51">
      <c r="A51" s="74" t="n"/>
      <c r="B51" s="74" t="n"/>
      <c r="C51" s="74" t="n"/>
      <c r="D51" s="74" t="n"/>
      <c r="E51" s="74" t="n"/>
      <c r="F51" s="74" t="n"/>
      <c r="G51" s="74" t="n"/>
      <c r="H51" s="74" t="n"/>
      <c r="I51" s="74" t="n"/>
      <c r="J51" s="74" t="n"/>
      <c r="K51" s="74" t="n"/>
      <c r="L51" s="74" t="n"/>
      <c r="M51" s="74" t="n"/>
      <c r="N51" s="74" t="n"/>
      <c r="O51" s="74" t="n"/>
      <c r="P51" s="74" t="n"/>
      <c r="Q51" s="75" t="n"/>
    </row>
    <row r="52">
      <c r="A52" s="74" t="n"/>
      <c r="B52" s="74" t="n"/>
      <c r="C52" s="74" t="n"/>
      <c r="D52" s="74" t="n"/>
      <c r="E52" s="74" t="n"/>
      <c r="F52" s="74" t="n"/>
      <c r="G52" s="74" t="n"/>
      <c r="H52" s="74" t="n"/>
      <c r="I52" s="74" t="n"/>
      <c r="J52" s="74" t="n"/>
      <c r="K52" s="74" t="n"/>
      <c r="L52" s="74" t="n"/>
      <c r="M52" s="74" t="n"/>
      <c r="N52" s="74" t="n"/>
      <c r="O52" s="74" t="n"/>
      <c r="P52" s="74" t="n"/>
      <c r="Q52" s="75" t="n"/>
    </row>
    <row r="53">
      <c r="A53" s="74" t="n"/>
      <c r="B53" s="74" t="n"/>
      <c r="C53" s="74" t="n"/>
      <c r="D53" s="74" t="n"/>
      <c r="E53" s="74" t="n"/>
      <c r="F53" s="74" t="n"/>
      <c r="G53" s="74" t="n"/>
      <c r="H53" s="74" t="n"/>
      <c r="I53" s="74" t="n"/>
      <c r="J53" s="74" t="n"/>
      <c r="K53" s="74" t="n"/>
      <c r="L53" s="74" t="n"/>
      <c r="M53" s="74" t="n"/>
      <c r="N53" s="74" t="n"/>
      <c r="O53" s="74" t="n"/>
      <c r="P53" s="74" t="n"/>
      <c r="Q53" s="75" t="n"/>
    </row>
  </sheetData>
  <autoFilter ref="A4:Q60"/>
  <dataValidations count="2">
    <dataValidation sqref="C5:C13" showDropDown="0" showInputMessage="0" showErrorMessage="0" allowBlank="1" type="list">
      <formula1>='فهرست‌ها'!$B$9:$B$11</formula1>
    </dataValidation>
    <dataValidation sqref="L5:L13" showDropDown="0" showInputMessage="0" showErrorMessage="0" allowBlank="1" type="list">
      <formula1>='فهرست‌ها'!$A$2:$A$7</formula1>
    </dataValidation>
  </dataValidations>
  <hyperlinks>
    <hyperlink ref="D5" location="'برنامه تست'!A12"/>
    <hyperlink ref="D7" location="'برنامه تست'!A6"/>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تست‌های آزمایشگاهی (پایه، اسیلوسکوپ و زمان‌بندی دقیق — جدا از تست عملی)</t>
        </is>
      </c>
      <c r="B1" s="50" t="n"/>
      <c r="C1" s="50" t="n"/>
      <c r="D1" s="50" t="n"/>
      <c r="E1" s="50" t="n"/>
      <c r="F1" s="50" t="n"/>
      <c r="G1" s="50" t="n"/>
      <c r="H1" s="50" t="n"/>
      <c r="I1" s="50" t="n"/>
      <c r="J1" s="50" t="n"/>
      <c r="K1" s="50" t="n"/>
      <c r="L1" s="50" t="n"/>
      <c r="M1" s="50" t="n"/>
      <c r="N1" s="50" t="n"/>
      <c r="O1" s="50" t="n"/>
      <c r="P1" s="50" t="n"/>
      <c r="Q1" s="50" t="n"/>
    </row>
    <row r="2" ht="42" customHeight="1">
      <c r="A2" s="66"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0" t="n"/>
      <c r="C2" s="50" t="n"/>
      <c r="D2" s="50" t="n"/>
      <c r="E2" s="50" t="n"/>
      <c r="F2" s="50" t="n"/>
      <c r="G2" s="50" t="n"/>
      <c r="H2" s="50" t="n"/>
      <c r="I2" s="50" t="n"/>
      <c r="J2" s="50" t="n"/>
      <c r="K2" s="50" t="n"/>
      <c r="L2" s="50" t="n"/>
      <c r="M2" s="50" t="n"/>
      <c r="N2" s="50" t="n"/>
      <c r="O2" s="50" t="n"/>
      <c r="P2" s="50" t="n"/>
      <c r="Q2" s="50" t="n"/>
    </row>
    <row r="3">
      <c r="A3" s="50" t="n"/>
      <c r="B3" s="50" t="n"/>
      <c r="C3" s="50" t="n"/>
      <c r="D3" s="50" t="n"/>
      <c r="E3" s="50" t="n"/>
      <c r="F3" s="50" t="n"/>
      <c r="G3" s="50" t="n"/>
      <c r="H3" s="50" t="n"/>
      <c r="I3" s="50" t="n"/>
      <c r="J3" s="50" t="n"/>
      <c r="K3" s="50" t="n"/>
      <c r="L3" s="50" t="n"/>
      <c r="M3" s="50" t="n"/>
      <c r="N3" s="50" t="n"/>
      <c r="O3" s="50" t="n"/>
      <c r="P3" s="50" t="n"/>
      <c r="Q3" s="50"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می‌ماند یا پاک می‌شود</t>
        </is>
      </c>
      <c r="J4" s="47" t="inlineStr">
        <is>
          <t>معیار قبولی</t>
        </is>
      </c>
      <c r="K4" s="47" t="inlineStr">
        <is>
          <t>نتیجهٔ واقعی / اندازه‌گیری</t>
        </is>
      </c>
      <c r="L4" s="47" t="inlineStr">
        <is>
          <t>وضعیت</t>
        </is>
      </c>
      <c r="M4" s="47" t="inlineStr">
        <is>
          <t>شرح ایراد / تفاوت</t>
        </is>
      </c>
      <c r="N4" s="47" t="inlineStr">
        <is>
          <t>مدرک تست</t>
        </is>
      </c>
      <c r="O4" s="47" t="inlineStr">
        <is>
          <t>نسخهٔ برنامه</t>
        </is>
      </c>
      <c r="P4" s="47" t="inlineStr">
        <is>
          <t>نام تست‌کننده</t>
        </is>
      </c>
      <c r="Q4" s="47" t="inlineStr">
        <is>
          <t>تاریخ</t>
        </is>
      </c>
    </row>
    <row r="5" ht="54" customHeight="1">
      <c r="A5" s="52" t="inlineStr">
        <is>
          <t>CL-012</t>
        </is>
      </c>
      <c r="B5" s="59" t="inlineStr">
        <is>
          <t>idle شدن شارژر هنگام ریست</t>
        </is>
      </c>
      <c r="C5" s="60" t="inlineStr">
        <is>
          <t>بالا</t>
        </is>
      </c>
      <c r="D5" s="59" t="inlineStr">
        <is>
          <t>جدول فعال، شارژ در جریان</t>
        </is>
      </c>
      <c r="E5" s="59" t="inlineStr">
        <is>
          <t>گام ۱: یک جدول فعال کن و شارژ را در حالت BULK راه بینداز تا کانال در حال شارژ PWM داشته باشد.
گام ۲: اسیلوسکوپ را روی گیت همان کانال بگذار.
گام ۳: حین شارژ فرمان LUT_RESET را بفرست.
گام ۴: روی اسکوپ ببین که پیش از ریست، duty اول صفر شده و شارژر idle شده باشد؛ ریست نباید وسط پالس اتفاق بیفتد.</t>
        </is>
      </c>
      <c r="F5" s="61" t="inlineStr">
        <is>
          <t>درخواست ریست با PWM فعال</t>
        </is>
      </c>
      <c r="G5" s="61" t="inlineStr">
        <is>
          <t>یک تبادل</t>
        </is>
      </c>
      <c r="H5" s="59" t="inlineStr">
        <is>
          <t>قبل از ریست هر دو دیوتی صفر و شارژر idle می‌شود</t>
        </is>
      </c>
      <c r="I5" s="59" t="inlineStr">
        <is>
          <t>بدون latch</t>
        </is>
      </c>
      <c r="J5" s="59" t="inlineStr">
        <is>
          <t>اسیلوسکوپ روی گیت: صفر پیش از ریست</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t="inlineStr">
        <is>
          <t>2026-10-05</t>
        </is>
      </c>
    </row>
    <row r="6">
      <c r="A6" s="50" t="n"/>
      <c r="B6" s="50" t="n"/>
      <c r="C6" s="50" t="n"/>
      <c r="D6" s="50" t="n"/>
      <c r="E6" s="50" t="n"/>
      <c r="F6" s="50" t="n"/>
      <c r="G6" s="50" t="n"/>
      <c r="H6" s="50" t="n"/>
      <c r="I6" s="50" t="n"/>
      <c r="J6" s="50" t="n"/>
      <c r="K6" s="50" t="n"/>
      <c r="L6" s="50" t="n"/>
      <c r="M6" s="50" t="n"/>
      <c r="N6" s="50" t="n"/>
      <c r="O6" s="50" t="n"/>
      <c r="P6" s="50" t="n"/>
      <c r="Q6" s="65">
        <f>IF(OR(L6="",L6="در انتظار"),"",IF(Q6="",TODAY(),Q6))</f>
        <v/>
      </c>
    </row>
    <row r="7">
      <c r="A7" s="50" t="n"/>
      <c r="B7" s="50" t="n"/>
      <c r="C7" s="50" t="n"/>
      <c r="D7" s="50" t="n"/>
      <c r="E7" s="50" t="n"/>
      <c r="F7" s="50" t="n"/>
      <c r="G7" s="50" t="n"/>
      <c r="H7" s="50" t="n"/>
      <c r="I7" s="50" t="n"/>
      <c r="J7" s="50" t="n"/>
      <c r="K7" s="50" t="n"/>
      <c r="L7" s="50" t="n"/>
      <c r="M7" s="50" t="n"/>
      <c r="N7" s="50" t="n"/>
      <c r="O7" s="50" t="n"/>
      <c r="P7" s="50" t="n"/>
      <c r="Q7" s="65">
        <f>IF(OR(L7="",L7="در انتظار"),"",IF(Q7="",TODAY(),Q7))</f>
        <v/>
      </c>
    </row>
    <row r="8">
      <c r="A8" s="50" t="n"/>
      <c r="B8" s="50" t="n"/>
      <c r="C8" s="50" t="n"/>
      <c r="D8" s="50" t="n"/>
      <c r="E8" s="50" t="n"/>
      <c r="F8" s="50" t="n"/>
      <c r="G8" s="50" t="n"/>
      <c r="H8" s="50" t="n"/>
      <c r="I8" s="50" t="n"/>
      <c r="J8" s="50" t="n"/>
      <c r="K8" s="50" t="n"/>
      <c r="L8" s="50" t="n"/>
      <c r="M8" s="50" t="n"/>
      <c r="N8" s="50" t="n"/>
      <c r="O8" s="50" t="n"/>
      <c r="P8" s="50" t="n"/>
      <c r="Q8" s="65">
        <f>IF(OR(L8="",L8="در انتظار"),"",IF(Q8="",TODAY(),Q8))</f>
        <v/>
      </c>
    </row>
    <row r="9">
      <c r="A9" s="50" t="n"/>
      <c r="B9" s="50" t="n"/>
      <c r="C9" s="50" t="n"/>
      <c r="D9" s="50" t="n"/>
      <c r="E9" s="50" t="n"/>
      <c r="F9" s="50" t="n"/>
      <c r="G9" s="50" t="n"/>
      <c r="H9" s="50" t="n"/>
      <c r="I9" s="50" t="n"/>
      <c r="J9" s="50" t="n"/>
      <c r="K9" s="50" t="n"/>
      <c r="L9" s="50" t="n"/>
      <c r="M9" s="50" t="n"/>
      <c r="N9" s="50" t="n"/>
      <c r="O9" s="50" t="n"/>
      <c r="P9" s="50" t="n"/>
      <c r="Q9" s="65">
        <f>IF(OR(L9="",L9="در انتظار"),"",IF(Q9="",TODAY(),Q9))</f>
        <v/>
      </c>
    </row>
    <row r="10">
      <c r="A10" s="50" t="n"/>
      <c r="B10" s="50" t="n"/>
      <c r="C10" s="50" t="n"/>
      <c r="D10" s="50" t="n"/>
      <c r="E10" s="50" t="n"/>
      <c r="F10" s="50" t="n"/>
      <c r="G10" s="50" t="n"/>
      <c r="H10" s="50" t="n"/>
      <c r="I10" s="50" t="n"/>
      <c r="J10" s="50" t="n"/>
      <c r="K10" s="50" t="n"/>
      <c r="L10" s="50" t="n"/>
      <c r="M10" s="50" t="n"/>
      <c r="N10" s="50" t="n"/>
      <c r="O10" s="50" t="n"/>
      <c r="P10" s="50" t="n"/>
      <c r="Q10" s="65">
        <f>IF(OR(L10="",L10="در انتظار"),"",IF(Q10="",TODAY(),Q10))</f>
        <v/>
      </c>
    </row>
    <row r="11">
      <c r="A11" s="50" t="n"/>
      <c r="B11" s="50" t="n"/>
      <c r="C11" s="50" t="n"/>
      <c r="D11" s="50" t="n"/>
      <c r="E11" s="50" t="n"/>
      <c r="F11" s="50" t="n"/>
      <c r="G11" s="50" t="n"/>
      <c r="H11" s="50" t="n"/>
      <c r="I11" s="50" t="n"/>
      <c r="J11" s="50" t="n"/>
      <c r="K11" s="50" t="n"/>
      <c r="L11" s="50" t="n"/>
      <c r="M11" s="50" t="n"/>
      <c r="N11" s="50" t="n"/>
      <c r="O11" s="50" t="n"/>
      <c r="P11" s="50" t="n"/>
      <c r="Q11" s="65">
        <f>IF(OR(L11="",L11="در انتظار"),"",IF(Q11="",TODAY(),Q11))</f>
        <v/>
      </c>
    </row>
    <row r="12">
      <c r="A12" s="50" t="n"/>
      <c r="B12" s="50" t="n"/>
      <c r="C12" s="50" t="n"/>
      <c r="D12" s="50" t="n"/>
      <c r="E12" s="50" t="n"/>
      <c r="F12" s="50" t="n"/>
      <c r="G12" s="50" t="n"/>
      <c r="H12" s="50" t="n"/>
      <c r="I12" s="50" t="n"/>
      <c r="J12" s="50" t="n"/>
      <c r="K12" s="50" t="n"/>
      <c r="L12" s="50" t="n"/>
      <c r="M12" s="50" t="n"/>
      <c r="N12" s="50" t="n"/>
      <c r="O12" s="50" t="n"/>
      <c r="P12" s="50" t="n"/>
      <c r="Q12" s="65">
        <f>IF(OR(L12="",L12="در انتظار"),"",IF(Q12="",TODAY(),Q12))</f>
        <v/>
      </c>
    </row>
    <row r="13">
      <c r="A13" s="50" t="n"/>
      <c r="B13" s="50" t="n"/>
      <c r="C13" s="50" t="n"/>
      <c r="D13" s="50" t="n"/>
      <c r="E13" s="50" t="n"/>
      <c r="F13" s="50" t="n"/>
      <c r="G13" s="50" t="n"/>
      <c r="H13" s="50" t="n"/>
      <c r="I13" s="50" t="n"/>
      <c r="J13" s="50" t="n"/>
      <c r="K13" s="50" t="n"/>
      <c r="L13" s="50" t="n"/>
      <c r="M13" s="50" t="n"/>
      <c r="N13" s="50" t="n"/>
      <c r="O13" s="50" t="n"/>
      <c r="P13" s="50" t="n"/>
      <c r="Q13" s="65">
        <f>IF(OR(L13="",L13="در انتظار"),"",IF(Q13="",TODAY(),Q13))</f>
        <v/>
      </c>
    </row>
    <row r="14">
      <c r="A14" s="50" t="n"/>
      <c r="B14" s="50" t="n"/>
      <c r="C14" s="50" t="n"/>
      <c r="D14" s="50" t="n"/>
      <c r="E14" s="50" t="n"/>
      <c r="F14" s="50" t="n"/>
      <c r="G14" s="50" t="n"/>
      <c r="H14" s="50" t="n"/>
      <c r="I14" s="50" t="n"/>
      <c r="J14" s="50" t="n"/>
      <c r="K14" s="50" t="n"/>
      <c r="L14" s="50" t="n"/>
      <c r="M14" s="50" t="n"/>
      <c r="N14" s="50" t="n"/>
      <c r="O14" s="50" t="n"/>
      <c r="P14" s="50" t="n"/>
      <c r="Q14" s="65">
        <f>IF(OR(L14="",L14="در انتظار"),"",IF(Q14="",TODAY(),Q14))</f>
        <v/>
      </c>
    </row>
    <row r="15">
      <c r="A15" s="50" t="n"/>
      <c r="B15" s="50" t="n"/>
      <c r="C15" s="50" t="n"/>
      <c r="D15" s="50" t="n"/>
      <c r="E15" s="50" t="n"/>
      <c r="F15" s="50" t="n"/>
      <c r="G15" s="50" t="n"/>
      <c r="H15" s="50" t="n"/>
      <c r="I15" s="50" t="n"/>
      <c r="J15" s="50" t="n"/>
      <c r="K15" s="50" t="n"/>
      <c r="L15" s="50" t="n"/>
      <c r="M15" s="50" t="n"/>
      <c r="N15" s="50" t="n"/>
      <c r="O15" s="50" t="n"/>
      <c r="P15" s="50" t="n"/>
      <c r="Q15" s="65">
        <f>IF(OR(L15="",L15="در انتظار"),"",IF(Q15="",TODAY(),Q15))</f>
        <v/>
      </c>
    </row>
    <row r="16">
      <c r="A16" s="50" t="n"/>
      <c r="B16" s="50" t="n"/>
      <c r="C16" s="50" t="n"/>
      <c r="D16" s="50" t="n"/>
      <c r="E16" s="50" t="n"/>
      <c r="F16" s="50" t="n"/>
      <c r="G16" s="50" t="n"/>
      <c r="H16" s="50" t="n"/>
      <c r="I16" s="50" t="n"/>
      <c r="J16" s="50" t="n"/>
      <c r="K16" s="50" t="n"/>
      <c r="L16" s="50" t="n"/>
      <c r="M16" s="50" t="n"/>
      <c r="N16" s="50" t="n"/>
      <c r="O16" s="50" t="n"/>
      <c r="P16" s="50" t="n"/>
      <c r="Q16" s="65">
        <f>IF(OR(L16="",L16="در انتظار"),"",IF(Q16="",TODAY(),Q16))</f>
        <v/>
      </c>
    </row>
    <row r="17">
      <c r="A17" s="50" t="n"/>
      <c r="B17" s="50" t="n"/>
      <c r="C17" s="50" t="n"/>
      <c r="D17" s="50" t="n"/>
      <c r="E17" s="50" t="n"/>
      <c r="F17" s="50" t="n"/>
      <c r="G17" s="50" t="n"/>
      <c r="H17" s="50" t="n"/>
      <c r="I17" s="50" t="n"/>
      <c r="J17" s="50" t="n"/>
      <c r="K17" s="50" t="n"/>
      <c r="L17" s="50" t="n"/>
      <c r="M17" s="50" t="n"/>
      <c r="N17" s="50" t="n"/>
      <c r="O17" s="50" t="n"/>
      <c r="P17" s="50" t="n"/>
      <c r="Q17" s="65">
        <f>IF(OR(L17="",L17="در انتظار"),"",IF(Q17="",TODAY(),Q17))</f>
        <v/>
      </c>
    </row>
    <row r="18">
      <c r="A18" s="50" t="n"/>
      <c r="B18" s="50" t="n"/>
      <c r="C18" s="50" t="n"/>
      <c r="D18" s="50" t="n"/>
      <c r="E18" s="50" t="n"/>
      <c r="F18" s="50" t="n"/>
      <c r="G18" s="50" t="n"/>
      <c r="H18" s="50" t="n"/>
      <c r="I18" s="50" t="n"/>
      <c r="J18" s="50" t="n"/>
      <c r="K18" s="50" t="n"/>
      <c r="L18" s="50" t="n"/>
      <c r="M18" s="50" t="n"/>
      <c r="N18" s="50" t="n"/>
      <c r="O18" s="50" t="n"/>
      <c r="P18" s="50" t="n"/>
      <c r="Q18" s="65">
        <f>IF(OR(L18="",L18="در انتظار"),"",IF(Q18="",TODAY(),Q18))</f>
        <v/>
      </c>
    </row>
    <row r="19">
      <c r="A19" s="50" t="n"/>
      <c r="B19" s="50" t="n"/>
      <c r="C19" s="50" t="n"/>
      <c r="D19" s="50" t="n"/>
      <c r="E19" s="50" t="n"/>
      <c r="F19" s="50" t="n"/>
      <c r="G19" s="50" t="n"/>
      <c r="H19" s="50" t="n"/>
      <c r="I19" s="50" t="n"/>
      <c r="J19" s="50" t="n"/>
      <c r="K19" s="50" t="n"/>
      <c r="L19" s="50" t="n"/>
      <c r="M19" s="50" t="n"/>
      <c r="N19" s="50" t="n"/>
      <c r="O19" s="50" t="n"/>
      <c r="P19" s="50" t="n"/>
      <c r="Q19" s="65">
        <f>IF(OR(L19="",L19="در انتظار"),"",IF(Q19="",TODAY(),Q19))</f>
        <v/>
      </c>
    </row>
    <row r="20">
      <c r="A20" s="50" t="n"/>
      <c r="B20" s="50" t="n"/>
      <c r="C20" s="50" t="n"/>
      <c r="D20" s="50" t="n"/>
      <c r="E20" s="50" t="n"/>
      <c r="F20" s="50" t="n"/>
      <c r="G20" s="50" t="n"/>
      <c r="H20" s="50" t="n"/>
      <c r="I20" s="50" t="n"/>
      <c r="J20" s="50" t="n"/>
      <c r="K20" s="50" t="n"/>
      <c r="L20" s="50" t="n"/>
      <c r="M20" s="50" t="n"/>
      <c r="N20" s="50" t="n"/>
      <c r="O20" s="50" t="n"/>
      <c r="P20" s="50" t="n"/>
      <c r="Q20" s="65">
        <f>IF(OR(L20="",L20="در انتظار"),"",IF(Q20="",TODAY(),Q20))</f>
        <v/>
      </c>
    </row>
    <row r="21">
      <c r="A21" s="50" t="n"/>
      <c r="B21" s="50" t="n"/>
      <c r="C21" s="50" t="n"/>
      <c r="D21" s="50" t="n"/>
      <c r="E21" s="50" t="n"/>
      <c r="F21" s="50" t="n"/>
      <c r="G21" s="50" t="n"/>
      <c r="H21" s="50" t="n"/>
      <c r="I21" s="50" t="n"/>
      <c r="J21" s="50" t="n"/>
      <c r="K21" s="50" t="n"/>
      <c r="L21" s="50" t="n"/>
      <c r="M21" s="50" t="n"/>
      <c r="N21" s="50" t="n"/>
      <c r="O21" s="50" t="n"/>
      <c r="P21" s="50" t="n"/>
      <c r="Q21" s="65">
        <f>IF(OR(L21="",L21="در انتظار"),"",IF(Q21="",TODAY(),Q21))</f>
        <v/>
      </c>
    </row>
    <row r="22">
      <c r="A22" s="50" t="n"/>
      <c r="B22" s="50" t="n"/>
      <c r="C22" s="50" t="n"/>
      <c r="D22" s="50" t="n"/>
      <c r="E22" s="50" t="n"/>
      <c r="F22" s="50" t="n"/>
      <c r="G22" s="50" t="n"/>
      <c r="H22" s="50" t="n"/>
      <c r="I22" s="50" t="n"/>
      <c r="J22" s="50" t="n"/>
      <c r="K22" s="50" t="n"/>
      <c r="L22" s="50" t="n"/>
      <c r="M22" s="50" t="n"/>
      <c r="N22" s="50" t="n"/>
      <c r="O22" s="50" t="n"/>
      <c r="P22" s="50" t="n"/>
      <c r="Q22" s="65">
        <f>IF(OR(L22="",L22="در انتظار"),"",IF(Q22="",TODAY(),Q22))</f>
        <v/>
      </c>
    </row>
    <row r="23">
      <c r="A23" s="50" t="n"/>
      <c r="B23" s="50" t="n"/>
      <c r="C23" s="50" t="n"/>
      <c r="D23" s="50" t="n"/>
      <c r="E23" s="50" t="n"/>
      <c r="F23" s="50" t="n"/>
      <c r="G23" s="50" t="n"/>
      <c r="H23" s="50" t="n"/>
      <c r="I23" s="50" t="n"/>
      <c r="J23" s="50" t="n"/>
      <c r="K23" s="50" t="n"/>
      <c r="L23" s="50" t="n"/>
      <c r="M23" s="50" t="n"/>
      <c r="N23" s="50" t="n"/>
      <c r="O23" s="50" t="n"/>
      <c r="P23" s="50" t="n"/>
      <c r="Q23" s="65">
        <f>IF(OR(L23="",L23="در انتظار"),"",IF(Q23="",TODAY(),Q23))</f>
        <v/>
      </c>
    </row>
    <row r="24">
      <c r="A24" s="50" t="n"/>
      <c r="B24" s="50" t="n"/>
      <c r="C24" s="50" t="n"/>
      <c r="D24" s="50" t="n"/>
      <c r="E24" s="50" t="n"/>
      <c r="F24" s="50" t="n"/>
      <c r="G24" s="50" t="n"/>
      <c r="H24" s="50" t="n"/>
      <c r="I24" s="50" t="n"/>
      <c r="J24" s="50" t="n"/>
      <c r="K24" s="50" t="n"/>
      <c r="L24" s="50" t="n"/>
      <c r="M24" s="50" t="n"/>
      <c r="N24" s="50" t="n"/>
      <c r="O24" s="50" t="n"/>
      <c r="P24" s="50" t="n"/>
      <c r="Q24" s="65">
        <f>IF(OR(L24="",L24="در انتظار"),"",IF(Q24="",TODAY(),Q24))</f>
        <v/>
      </c>
    </row>
    <row r="25">
      <c r="A25" s="50" t="n"/>
      <c r="B25" s="50" t="n"/>
      <c r="C25" s="50" t="n"/>
      <c r="D25" s="50" t="n"/>
      <c r="E25" s="50" t="n"/>
      <c r="F25" s="50" t="n"/>
      <c r="G25" s="50" t="n"/>
      <c r="H25" s="50" t="n"/>
      <c r="I25" s="50" t="n"/>
      <c r="J25" s="50" t="n"/>
      <c r="K25" s="50" t="n"/>
      <c r="L25" s="50" t="n"/>
      <c r="M25" s="50" t="n"/>
      <c r="N25" s="50" t="n"/>
      <c r="O25" s="50" t="n"/>
      <c r="P25" s="50" t="n"/>
      <c r="Q25" s="65">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10"/>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47" t="inlineStr">
        <is>
          <t>مرجع سریع سناریوها و ثابت‌های ماژول CalLut</t>
        </is>
      </c>
      <c r="B1" s="47" t="n"/>
      <c r="C1" s="47" t="n"/>
      <c r="D1" s="47" t="n"/>
      <c r="E1" s="47" t="n"/>
    </row>
    <row r="2">
      <c r="A2" s="50" t="n"/>
      <c r="B2" s="50" t="n"/>
      <c r="C2" s="50" t="n"/>
      <c r="D2" s="50" t="n"/>
      <c r="E2" s="50" t="n"/>
    </row>
    <row r="3">
      <c r="A3" s="67" t="inlineStr">
        <is>
          <t>موضوع</t>
        </is>
      </c>
      <c r="B3" s="67" t="inlineStr">
        <is>
          <t>شرط / مقدار</t>
        </is>
      </c>
      <c r="C3" s="67" t="inlineStr">
        <is>
          <t>رفتار مورد انتظار</t>
        </is>
      </c>
      <c r="D3" s="67" t="inlineStr">
        <is>
          <t>ثابت / محل کد</t>
        </is>
      </c>
      <c r="E3" s="67" t="inlineStr">
        <is>
          <t>توضیح</t>
        </is>
      </c>
    </row>
    <row r="4">
      <c r="A4" s="68" t="inlineStr">
        <is>
          <t>صفحه‌های اختصاصی</t>
        </is>
      </c>
      <c r="B4" s="68" t="inlineStr">
        <is>
          <t>0x0800F000 و 0x0800F400</t>
        </is>
      </c>
      <c r="C4" s="68" t="inlineStr">
        <is>
          <t>پینگ‌پنگ امن در برابر قطع برق</t>
        </is>
      </c>
      <c r="D4" s="68" t="inlineStr">
        <is>
          <t>CAL_LUT_PAGE_A_ADDR / CAL_LUT_PAGE_B_ADDR</t>
        </is>
      </c>
      <c r="E4" s="68" t="inlineStr">
        <is>
          <t>پایین‌تر از صفحه‌های پارامتر</t>
        </is>
      </c>
    </row>
    <row r="5">
      <c r="A5" s="68" t="inlineStr">
        <is>
          <t>مجیک و نسخه</t>
        </is>
      </c>
      <c r="B5" s="68" t="inlineStr">
        <is>
          <t>0x434C5554 («CLUT») و ۱</t>
        </is>
      </c>
      <c r="C5" s="68" t="inlineStr">
        <is>
          <t>ناهمخوانی = بازگشت به جدول کامپایل‌شده</t>
        </is>
      </c>
      <c r="D5" s="68" t="inlineStr">
        <is>
          <t>CAL_LUT_MAGIC / CAL_LUT_VERSION</t>
        </is>
      </c>
      <c r="E5" s="68" t="inlineStr">
        <is>
          <t>هرگز نیم‌ارتقای بی‌صدا</t>
        </is>
      </c>
    </row>
    <row r="6">
      <c r="A6" s="68" t="inlineStr">
        <is>
          <t>سقف نقاط</t>
        </is>
      </c>
      <c r="B6" s="68" t="inlineStr">
        <is>
          <t>۲ تا ۲۴ نقطه در هر کانال</t>
        </is>
      </c>
      <c r="C6" s="68" t="inlineStr">
        <is>
          <t>بیرون از بازه = رد با status=2</t>
        </is>
      </c>
      <c r="D6" s="68" t="inlineStr">
        <is>
          <t>CAL_LUT_POINTS_MIN / CAL_LUT_POINTS_MAX</t>
        </is>
      </c>
      <c r="E6" s="68" t="inlineStr">
        <is>
          <t>۲۴×۲×۲×۴ = ۳۸۴ بایت رکورد</t>
        </is>
      </c>
    </row>
    <row r="7">
      <c r="A7" s="68" t="inlineStr">
        <is>
          <t>کدهای وضعیت</t>
        </is>
      </c>
      <c r="B7" s="68" t="inlineStr">
        <is>
          <t>۰ تا ۷</t>
        </is>
      </c>
      <c r="C7" s="68" t="inlineStr">
        <is>
          <t>هر خطا دلیل خودش را در LUT_ACK می‌گوید</t>
        </is>
      </c>
      <c r="D7" s="68" t="inlineStr">
        <is>
          <t>CAL_LUT_ST_*</t>
        </is>
      </c>
      <c r="E7" s="68" t="inlineStr">
        <is>
          <t>۰=OK، ۶=CRC، ۷=فلش</t>
        </is>
      </c>
    </row>
    <row r="8">
      <c r="A8" s="68" t="inlineStr">
        <is>
          <t>دست‌دادن</t>
        </is>
      </c>
      <c r="B8" s="68" t="inlineStr">
        <is>
          <t>BEGIN → CHUNK → COMMIT → ACK → RESET</t>
        </is>
      </c>
      <c r="C8" s="68" t="inlineStr">
        <is>
          <t>ریست فقط با برابری دو CRC32</t>
        </is>
      </c>
      <c r="D8" s="69" t="inlineStr">
        <is>
          <t>cal_lut.c</t>
        </is>
      </c>
      <c r="E8" s="68" t="inlineStr">
        <is>
          <t>پنل CRC را می‌سازد، برد بازخوانی می‌کند</t>
        </is>
      </c>
    </row>
    <row r="9">
      <c r="A9" s="68" t="inlineStr">
        <is>
          <t>پشتیبان</t>
        </is>
      </c>
      <c r="B9" s="68" t="inlineStr">
        <is>
          <t>جدول‌های فلش (CalLut) و خط گین و آفست</t>
        </is>
      </c>
      <c r="C9" s="68" t="inlineStr">
        <is>
          <t>رکورد نامعتبر = جدول کامپایل‌شده</t>
        </is>
      </c>
      <c r="D9" s="68" t="inlineStr">
        <is>
          <t>CAL_CURRENT*_LUT_ENABLE</t>
        </is>
      </c>
      <c r="E9" s="68" t="inlineStr">
        <is>
          <t>روش قبلی حذف نشده</t>
        </is>
      </c>
    </row>
    <row r="10">
      <c r="A10" s="68" t="inlineStr">
        <is>
          <t>reset grant و flush NVM</t>
        </is>
      </c>
      <c r="B10" s="68" t="inlineStr">
        <is>
          <t>magic + commit grant؛ flush NVM پیش از arm</t>
        </is>
      </c>
      <c r="C10" s="68" t="inlineStr">
        <is>
          <t>flush failure = no reset؛ success = reset one-shot</t>
        </is>
      </c>
      <c r="D10" s="69" t="inlineStr">
        <is>
          <t>cal_lut.c / esp_link.c / esp_link_nvm.c</t>
        </is>
      </c>
      <c r="E10" s="68" t="inlineStr">
        <is>
          <t>zero-point commit حتی بدون active table معتبر است</t>
        </is>
      </c>
    </row>
  </sheetData>
  <hyperlinks>
    <hyperlink xmlns:r="http://schemas.openxmlformats.org/officeDocument/2006/relationships" ref="D8" r:id="rId1"/>
    <hyperlink xmlns:r="http://schemas.openxmlformats.org/officeDocument/2006/relationships" ref="D10" r:id="rId2"/>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0" t="inlineStr">
        <is>
          <t>ثبت ایرادهای مشاهده‌شده — ماژول CalLut</t>
        </is>
      </c>
      <c r="B1" s="50" t="n"/>
      <c r="C1" s="50" t="n"/>
      <c r="D1" s="50" t="n"/>
      <c r="E1" s="50" t="n"/>
      <c r="F1" s="50" t="n"/>
      <c r="G1" s="50" t="n"/>
      <c r="H1" s="50" t="n"/>
      <c r="I1" s="50" t="n"/>
      <c r="J1" s="50" t="n"/>
      <c r="K1" s="50" t="n"/>
      <c r="L1" s="50" t="n"/>
      <c r="M1" s="50" t="n"/>
    </row>
    <row r="2" ht="30" customHeight="1">
      <c r="A2" s="47" t="inlineStr">
        <is>
          <t>برای هر وضعیت «رد» یا تفاوت مهم، یک ردیف با شناسهٔ یکتا ثبت و پس از اصلاح دوباره تست شود.</t>
        </is>
      </c>
      <c r="B2" s="47" t="n"/>
      <c r="C2" s="47" t="n"/>
      <c r="D2" s="47" t="n"/>
      <c r="E2" s="47" t="n"/>
      <c r="F2" s="47" t="n"/>
      <c r="G2" s="47" t="n"/>
      <c r="H2" s="47" t="n"/>
      <c r="I2" s="47" t="n"/>
      <c r="J2" s="47" t="n"/>
      <c r="K2" s="47" t="n"/>
      <c r="L2" s="47" t="n"/>
      <c r="M2" s="47" t="n"/>
    </row>
    <row r="3">
      <c r="A3" s="67" t="inlineStr">
        <is>
          <t>شماره ایراد</t>
        </is>
      </c>
      <c r="B3" s="67" t="inlineStr">
        <is>
          <t>شناسه تست</t>
        </is>
      </c>
      <c r="C3" s="67" t="inlineStr">
        <is>
          <t>تاریخ کشف</t>
        </is>
      </c>
      <c r="D3" s="67" t="inlineStr">
        <is>
          <t>شدت</t>
        </is>
      </c>
      <c r="E3" s="67" t="inlineStr">
        <is>
          <t>شرح کوتاه ایراد</t>
        </is>
      </c>
      <c r="F3" s="67" t="inlineStr">
        <is>
          <t>مراحل بازتولید</t>
        </is>
      </c>
      <c r="G3" s="67" t="inlineStr">
        <is>
          <t>انتظار</t>
        </is>
      </c>
      <c r="H3" s="67" t="inlineStr">
        <is>
          <t>واقعیت</t>
        </is>
      </c>
      <c r="I3" s="67" t="inlineStr">
        <is>
          <t>مدرک/مسیر عکس یا scope</t>
        </is>
      </c>
      <c r="J3" s="67" t="inlineStr">
        <is>
          <t>نسخهٔ برنامه</t>
        </is>
      </c>
      <c r="K3" s="67" t="inlineStr">
        <is>
          <t>محل احتمالی</t>
        </is>
      </c>
      <c r="L3" s="67" t="inlineStr">
        <is>
          <t>وضعیت ایراد</t>
        </is>
      </c>
      <c r="M3" s="67" t="inlineStr">
        <is>
          <t>تأیید رفع / توضیحات</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5" t="inlineStr">
        <is>
          <t>تأیید نهایی اعتبارسنجی — ماژول CalLut</t>
        </is>
      </c>
      <c r="B1" s="50" t="n"/>
      <c r="C1" s="50" t="n"/>
    </row>
    <row r="2">
      <c r="A2" s="46" t="inlineStr">
        <is>
          <t>این صفحه فقط پس از تکمیل تست‌ها و بسته‌شدن ایرادها پر می‌شود.</t>
        </is>
      </c>
      <c r="B2" s="50" t="n"/>
      <c r="C2" s="50" t="n"/>
    </row>
    <row r="3">
      <c r="A3" s="71" t="inlineStr">
        <is>
          <t>مشخصات تست</t>
        </is>
      </c>
      <c r="B3" s="50" t="n"/>
      <c r="C3" s="50" t="n"/>
    </row>
    <row r="4">
      <c r="A4" s="46" t="inlineStr">
        <is>
          <t>پروژه</t>
        </is>
      </c>
      <c r="B4" s="46" t="inlineStr">
        <is>
          <t>ChangeOver</t>
        </is>
      </c>
      <c r="C4" s="50" t="n"/>
    </row>
    <row r="5">
      <c r="A5" s="46" t="inlineStr">
        <is>
          <t>ماژول</t>
        </is>
      </c>
      <c r="B5" s="46" t="inlineStr">
        <is>
          <t>CalLut — جدول کالیبراسیون در فلش اختصاصی</t>
        </is>
      </c>
      <c r="C5" s="50" t="n"/>
    </row>
    <row r="6">
      <c r="A6" s="46" t="inlineStr">
        <is>
          <t>تاریخ ساخت فرم</t>
        </is>
      </c>
      <c r="B6" s="46" t="inlineStr">
        <is>
          <t>2026-10-05 (1.0 — ساخته‌شده در ممیزی کل برنامه)</t>
        </is>
      </c>
      <c r="C6" s="50" t="n"/>
    </row>
    <row r="7">
      <c r="A7" s="46" t="inlineStr">
        <is>
          <t>نسخه فرم</t>
        </is>
      </c>
      <c r="B7" s="46" t="inlineStr">
        <is>
          <t>1.0</t>
        </is>
      </c>
      <c r="C7" s="50" t="n"/>
    </row>
    <row r="8">
      <c r="A8" s="46" t="inlineStr">
        <is>
          <t>نسخهٔ برنامه</t>
        </is>
      </c>
      <c r="B8" s="46" t="inlineStr">
        <is>
          <t>(بعد از تست پر شود)</t>
        </is>
      </c>
      <c r="C8" s="50" t="n"/>
    </row>
    <row r="9">
      <c r="A9" s="46" t="inlineStr">
        <is>
          <t>ابزار</t>
        </is>
      </c>
      <c r="B9" s="46" t="inlineStr">
        <is>
          <t>پنل ESP + مولتی‌متر + منبع تغذیه قابل قطع + اسیلوسکوپ</t>
        </is>
      </c>
      <c r="C9" s="50" t="n"/>
    </row>
    <row r="10">
      <c r="A10" s="50" t="n"/>
      <c r="B10" s="50" t="n"/>
      <c r="C10" s="50" t="n"/>
    </row>
    <row r="11">
      <c r="A11" s="71" t="inlineStr">
        <is>
          <t>خلاصهٔ خودکار وضعیت تست‌ها</t>
        </is>
      </c>
      <c r="B11" s="50" t="n"/>
      <c r="C11" s="50" t="n"/>
    </row>
    <row r="12">
      <c r="A12" s="71" t="inlineStr">
        <is>
          <t>شاخص</t>
        </is>
      </c>
      <c r="B12" s="71" t="inlineStr">
        <is>
          <t>مقدار</t>
        </is>
      </c>
      <c r="C12" s="71" t="inlineStr">
        <is>
          <t>توضیح</t>
        </is>
      </c>
    </row>
    <row r="13">
      <c r="A13" s="46" t="inlineStr">
        <is>
          <t>کل تست‌ها</t>
        </is>
      </c>
      <c r="B13" s="46" t="inlineStr">
        <is>
          <t>16</t>
        </is>
      </c>
      <c r="C13" s="46" t="inlineStr">
        <is>
          <t>همهٔ ردیف‌های برنامه تست</t>
        </is>
      </c>
    </row>
    <row r="14">
      <c r="A14" s="46" t="inlineStr">
        <is>
          <t>قبول</t>
        </is>
      </c>
      <c r="B14" s="46">
        <f>COUNTIF('برنامه تست'!L:L,"قبول")</f>
        <v/>
      </c>
      <c r="C14" s="46" t="inlineStr">
        <is>
          <t>COUNTIF برنامه تست</t>
        </is>
      </c>
    </row>
    <row r="15">
      <c r="A15" s="46" t="inlineStr">
        <is>
          <t>رد</t>
        </is>
      </c>
      <c r="B15" s="46">
        <f>COUNTIF('برنامه تست'!L:L,"رد")</f>
        <v/>
      </c>
      <c r="C15" s="46" t="inlineStr">
        <is>
          <t>COUNTIF رد</t>
        </is>
      </c>
    </row>
    <row r="16">
      <c r="A16" s="46" t="inlineStr">
        <is>
          <t>در انتظار</t>
        </is>
      </c>
      <c r="B16" s="46">
        <f>IF(16=0,0,COUNTIF('برنامه تست'!L:L,"قبول")/16)</f>
        <v/>
      </c>
      <c r="C16" s="46" t="inlineStr">
        <is>
          <t>پیش از تست برد</t>
        </is>
      </c>
    </row>
    <row r="17">
      <c r="A17" s="46" t="inlineStr">
        <is>
          <t>نرخ قبولی</t>
        </is>
      </c>
      <c r="B17" s="46">
        <f>IF(15=0,0,COUNTIF('برنامه تست'!L:L,"قبول")/15)</f>
        <v/>
      </c>
      <c r="C17" s="46" t="inlineStr">
        <is>
          <t>قبول/کل</t>
        </is>
      </c>
    </row>
    <row r="18">
      <c r="A18" s="50" t="n"/>
      <c r="B18" s="50" t="n"/>
      <c r="C18" s="50" t="n"/>
    </row>
    <row r="19">
      <c r="A19" s="46" t="inlineStr">
        <is>
          <t>امضا و تأیید: تست‌کننده ______  بازبین ______  تاریخ ______</t>
        </is>
      </c>
      <c r="B19" s="50" t="n"/>
      <c r="C19" s="50" t="n"/>
    </row>
  </sheetData>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2" t="inlineStr">
        <is>
          <t>وضعیت</t>
        </is>
      </c>
      <c r="B1" s="50" t="n"/>
    </row>
    <row r="2">
      <c r="A2" s="51" t="inlineStr">
        <is>
          <t>در انتظار</t>
        </is>
      </c>
      <c r="B2" s="50" t="n"/>
    </row>
    <row r="3">
      <c r="A3" s="51" t="inlineStr">
        <is>
          <t>انجام شد</t>
        </is>
      </c>
      <c r="B3" s="50" t="n"/>
    </row>
    <row r="4">
      <c r="A4" s="51" t="inlineStr">
        <is>
          <t>قبول</t>
        </is>
      </c>
      <c r="B4" s="50" t="n"/>
    </row>
    <row r="5">
      <c r="A5" s="51" t="inlineStr">
        <is>
          <t>رد</t>
        </is>
      </c>
      <c r="B5" s="50" t="n"/>
    </row>
    <row r="6">
      <c r="A6" s="51" t="inlineStr">
        <is>
          <t>مسدود</t>
        </is>
      </c>
      <c r="B6" s="50" t="n"/>
    </row>
    <row r="7">
      <c r="A7" s="50" t="inlineStr">
        <is>
          <t>نیاز به تکرار</t>
        </is>
      </c>
      <c r="B7" s="50" t="n"/>
    </row>
    <row r="8">
      <c r="A8" s="72" t="inlineStr">
        <is>
          <t>اولویت</t>
        </is>
      </c>
      <c r="B8" s="50" t="n"/>
    </row>
    <row r="9">
      <c r="A9" s="50" t="n"/>
      <c r="B9" s="51" t="inlineStr">
        <is>
          <t>بالا</t>
        </is>
      </c>
    </row>
    <row r="10">
      <c r="A10" s="50" t="n"/>
      <c r="B10" s="51" t="inlineStr">
        <is>
          <t>متوسط</t>
        </is>
      </c>
    </row>
    <row r="11">
      <c r="A11" s="50" t="n"/>
      <c r="B11" s="51" t="inlineStr">
        <is>
          <t>پایین</t>
        </is>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جدول کالیبراسیون (CalLut)</t>
        </is>
      </c>
    </row>
    <row r="2">
      <c r="A2" s="50" t="n"/>
      <c r="B2" s="50" t="n"/>
      <c r="C2" s="50" t="n"/>
    </row>
    <row r="3" ht="24" customHeight="1">
      <c r="A3" s="11" t="inlineStr">
        <is>
          <t>حالت‌ها و گذارهای همین ماژول</t>
        </is>
      </c>
      <c r="B3" s="12" t="inlineStr">
        <is>
          <t>CalLut_State_Machine.xlsx</t>
        </is>
      </c>
      <c r="C3" s="50" t="n"/>
    </row>
    <row r="4" ht="24" customHeight="1">
      <c r="A4" s="11" t="inlineStr">
        <is>
          <t>ماشین حالت کل برنامه (نمای سیستمی)</t>
        </is>
      </c>
      <c r="B4" s="12" t="inlineStr">
        <is>
          <t>../../../Documentation/System_State_Machine.xlsx</t>
        </is>
      </c>
      <c r="C4" s="50" t="n"/>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c r="C5" s="50" t="n"/>
    </row>
    <row r="6" ht="24" customHeight="1">
      <c r="A6" s="11" t="inlineStr">
        <is>
          <t>بازتولید</t>
        </is>
      </c>
      <c r="B6" s="12" t="inlineStr">
        <is>
          <t>python3 tools/make_module_state_machines.py</t>
        </is>
      </c>
      <c r="C6" s="50"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11"/>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49" t="inlineStr">
        <is>
          <t>برنامهٔ تست برنامه‌نویسی — ماژول CalLut</t>
        </is>
      </c>
      <c r="B1" s="50" t="n"/>
      <c r="C1" s="50" t="n"/>
      <c r="D1" s="50" t="n"/>
      <c r="E1" s="50" t="n"/>
      <c r="F1" s="50" t="n"/>
      <c r="G1" s="50" t="n"/>
      <c r="H1" s="50" t="n"/>
      <c r="I1" s="50" t="n"/>
      <c r="J1" s="50" t="n"/>
      <c r="K1" s="50" t="n"/>
      <c r="L1" s="50" t="n"/>
      <c r="M1" s="50" t="n"/>
      <c r="N1" s="50" t="n"/>
      <c r="O1" s="50" t="n"/>
      <c r="P1" s="50" t="n"/>
      <c r="Q1" s="50" t="n"/>
    </row>
    <row r="2">
      <c r="A2" s="51" t="inlineStr">
        <is>
          <t>وضعیت فقط یکی از: در انتظار / قبول / رد / مسدود / نیاز به تکرار. تست Host جایگزین تست برد نیست.</t>
        </is>
      </c>
      <c r="B2" s="50" t="n"/>
      <c r="C2" s="50" t="n"/>
      <c r="D2" s="50" t="n"/>
      <c r="E2" s="50" t="n"/>
      <c r="F2" s="50" t="n"/>
      <c r="G2" s="50" t="n"/>
      <c r="H2" s="50" t="n"/>
      <c r="I2" s="50" t="n"/>
      <c r="J2" s="50" t="n"/>
      <c r="K2" s="50" t="n"/>
      <c r="L2" s="50" t="n"/>
      <c r="M2" s="50" t="n"/>
      <c r="N2" s="50" t="n"/>
      <c r="O2" s="50" t="n"/>
      <c r="P2" s="50" t="n"/>
      <c r="Q2" s="50" t="n"/>
    </row>
    <row r="3">
      <c r="A3" s="51" t="inlineStr">
        <is>
          <t>برای هر ردیف پیش‌شرط، ورودی، انتظار و معیار قبولی صریح است؛ نتیجهٔ واقعی فقط با اندازه‌گیری روی برد پر می‌شود.</t>
        </is>
      </c>
      <c r="B3" s="50" t="n"/>
      <c r="C3" s="50" t="n"/>
      <c r="D3" s="50" t="n"/>
      <c r="E3" s="50" t="n"/>
      <c r="F3" s="50" t="n"/>
      <c r="G3" s="50" t="n"/>
      <c r="H3" s="50" t="n"/>
      <c r="I3" s="50" t="n"/>
      <c r="J3" s="50" t="n"/>
      <c r="K3" s="50" t="n"/>
      <c r="L3" s="50" t="n"/>
      <c r="M3" s="50" t="n"/>
      <c r="N3" s="50" t="n"/>
      <c r="O3" s="50" t="n"/>
      <c r="P3" s="50" t="n"/>
      <c r="Q3" s="50" t="n"/>
    </row>
    <row r="4" ht="30" customHeight="1">
      <c r="A4" s="47" t="inlineStr">
        <is>
          <t>شناسه</t>
        </is>
      </c>
      <c r="B4" s="47" t="inlineStr">
        <is>
          <t>دسته</t>
        </is>
      </c>
      <c r="C4" s="47" t="inlineStr">
        <is>
          <t>اولویت</t>
        </is>
      </c>
      <c r="D4" s="47" t="inlineStr">
        <is>
          <t>پیش‌شرط</t>
        </is>
      </c>
      <c r="E4" s="47" t="inlineStr">
        <is>
          <t>روش اجرای دقیق</t>
        </is>
      </c>
      <c r="F4" s="47" t="inlineStr">
        <is>
          <t>ورودی‌ها / شرایط</t>
        </is>
      </c>
      <c r="G4" s="47" t="inlineStr">
        <is>
          <t>مدت مشاهده</t>
        </is>
      </c>
      <c r="H4" s="47" t="inlineStr">
        <is>
          <t>رفتار مورد انتظار</t>
        </is>
      </c>
      <c r="I4" s="47" t="inlineStr">
        <is>
          <t>می‌ماند یا پاک می‌شود</t>
        </is>
      </c>
      <c r="J4" s="47" t="inlineStr">
        <is>
          <t>معیار قبولی</t>
        </is>
      </c>
      <c r="K4" s="47" t="inlineStr">
        <is>
          <t>نتیجهٔ واقعی / اندازه‌گیری</t>
        </is>
      </c>
      <c r="L4" s="47" t="inlineStr">
        <is>
          <t>وضعیت</t>
        </is>
      </c>
      <c r="M4" s="47" t="inlineStr">
        <is>
          <t>شرح ایراد / تفاوت</t>
        </is>
      </c>
      <c r="N4" s="47" t="inlineStr">
        <is>
          <t>مدرک تست</t>
        </is>
      </c>
      <c r="O4" s="47" t="inlineStr">
        <is>
          <t>نسخهٔ برنامه</t>
        </is>
      </c>
      <c r="P4" s="47" t="inlineStr">
        <is>
          <t>نام تست‌کننده</t>
        </is>
      </c>
      <c r="Q4" s="47" t="inlineStr">
        <is>
          <t>تاریخ</t>
        </is>
      </c>
    </row>
    <row r="5" ht="54" customHeight="1">
      <c r="A5" s="52" t="inlineStr">
        <is>
          <t>CL-004</t>
        </is>
      </c>
      <c r="B5" s="59" t="inlineStr">
        <is>
          <t>CRC ناهمخوان</t>
        </is>
      </c>
      <c r="C5" s="60" t="inlineStr">
        <is>
          <t>بالا</t>
        </is>
      </c>
      <c r="D5" s="59" t="inlineStr">
        <is>
          <t>لینک برقرار</t>
        </is>
      </c>
      <c r="E5" s="59" t="inlineStr">
        <is>
          <t>گام ۱: لینک ESP را وصل کن و CRC32 جدول فعال فعلی را یادداشت کن.
گام ۲: یک جدول بفرست ولی در مرحلهٔ COMMIT عمداً CRC32 اشتباه بده (با CRC واقعی جدول یکی نباشد).
گام ۳: پاسخ برد را بخوان: وضعیت باید 6 باشد (CAL_LUT_ST_CRC) و commit رد شود.
گام ۴: CRC32 جدول فعال را دوباره بخوان؛ باید با گام ۱ یکی باشد، یعنی فلش دست‌نخورده مانده است.</t>
        </is>
      </c>
      <c r="F5" s="61" t="inlineStr">
        <is>
          <t>CRC پنل ≠ CRC چیده‌شده</t>
        </is>
      </c>
      <c r="G5" s="61" t="inlineStr">
        <is>
          <t>یک تبادل</t>
        </is>
      </c>
      <c r="H5" s="59" t="inlineStr">
        <is>
          <t>رد شدن commit با CAL_LUT_ST_CRC؛ فلش دست‌نخورده</t>
        </is>
      </c>
      <c r="I5" s="59" t="inlineStr">
        <is>
          <t>رکورد قبلی حفظ</t>
        </is>
      </c>
      <c r="J5" s="59" t="inlineStr">
        <is>
          <t>status=6 و ActiveCrc32 تغییر نکرده</t>
        </is>
      </c>
      <c r="K5" s="59" t="inlineStr">
        <is>
          <t>در انتظار</t>
        </is>
      </c>
      <c r="L5" s="57" t="inlineStr">
        <is>
          <t>در انتظار</t>
        </is>
      </c>
      <c r="M5" s="59" t="n"/>
      <c r="N5" s="59" t="inlineStr">
        <is>
          <t>(بعد از تست پر شود)</t>
        </is>
      </c>
      <c r="O5" s="61" t="inlineStr">
        <is>
          <t>(بعد از تست پر شود)</t>
        </is>
      </c>
      <c r="P5" s="61" t="inlineStr">
        <is>
          <t>(بعد از تست پر شود)</t>
        </is>
      </c>
      <c r="Q5" s="62">
        <f>IF(OR(L5="",L5="در انتظار"),"",IF(Q5="",TODAY(),Q5))</f>
        <v/>
      </c>
    </row>
    <row r="6" ht="67.5" customHeight="1">
      <c r="A6" s="52" t="inlineStr">
        <is>
          <t>CL-005</t>
        </is>
      </c>
      <c r="B6" s="53" t="inlineStr">
        <is>
          <t>محور صعودی نبودن</t>
        </is>
      </c>
      <c r="C6" s="54" t="inlineStr">
        <is>
          <t>بالا</t>
        </is>
      </c>
      <c r="D6" s="53" t="inlineStr">
        <is>
          <t>لینک برقرار</t>
        </is>
      </c>
      <c r="E6" s="53" t="inlineStr">
        <is>
          <t>گام ۱: لینک ESP را وصل کن.
گام ۲: جدولی بساز که محور زنجیره‌اش (ChainMa) صعودیِ اکید نباشد؛ مثلاً یک نقطهٔ تکراری یا یک نقطه کمتر از قبلی بگذار.
گام ۳: جدول را کامل بفرست و COMMIT کن.
گام ۴: پاسخ برد را بخوان: وضعیت باید 4 باشد (CAL_LUT_ST_CHAIN) و جدول نباید فعال شود.</t>
        </is>
      </c>
      <c r="F6" s="56" t="inlineStr">
        <is>
          <t>نقطهٔ تکراری یا نزولی در ChainMa</t>
        </is>
      </c>
      <c r="G6" s="56" t="inlineStr">
        <is>
          <t>یک تبادل</t>
        </is>
      </c>
      <c r="H6" s="53" t="inlineStr">
        <is>
          <t>رد با CAL_LUT_ST_CHAIN</t>
        </is>
      </c>
      <c r="I6" s="53" t="inlineStr">
        <is>
          <t>بدون تغییر فلش</t>
        </is>
      </c>
      <c r="J6" s="53" t="inlineStr">
        <is>
          <t>status=4</t>
        </is>
      </c>
      <c r="K6" s="53" t="inlineStr">
        <is>
          <t>در انتظار</t>
        </is>
      </c>
      <c r="L6" s="57" t="inlineStr">
        <is>
          <t>در انتظار</t>
        </is>
      </c>
      <c r="M6" s="53" t="n"/>
      <c r="N6" s="53" t="inlineStr">
        <is>
          <t>(بعد از تست پر شود)</t>
        </is>
      </c>
      <c r="O6" s="56" t="inlineStr">
        <is>
          <t>(بعد از تست پر شود)</t>
        </is>
      </c>
      <c r="P6" s="56" t="inlineStr">
        <is>
          <t>(بعد از تست پر شود)</t>
        </is>
      </c>
      <c r="Q6" s="58">
        <f>IF(OR(L6="",L6="در انتظار"),"",IF(Q6="",TODAY(),Q6))</f>
        <v/>
      </c>
    </row>
    <row r="7" ht="54" customHeight="1">
      <c r="A7" s="52" t="inlineStr">
        <is>
          <t>CL-006</t>
        </is>
      </c>
      <c r="B7" s="59" t="inlineStr">
        <is>
          <t>افت محور جریان</t>
        </is>
      </c>
      <c r="C7" s="61" t="inlineStr">
        <is>
          <t>متوسط</t>
        </is>
      </c>
      <c r="D7" s="59" t="inlineStr">
        <is>
          <t>لینک برقرار</t>
        </is>
      </c>
      <c r="E7" s="59" t="inlineStr">
        <is>
          <t>گام ۱: لینک ESP را وصل کن.
گام ۲: جدولی بساز که جریان باتری در یکی از نقطه‌ها از نقطهٔ قبلی کمتر باشد (افت داشته باشد).
گام ۳: جدول را کامل بفرست و COMMIT کن.
گام ۴: پاسخ برد را بخوان: وضعیت باید 5 باشد (CAL_LUT_ST_DIP) و جدول نباید فعال شود.</t>
        </is>
      </c>
      <c r="F7" s="61" t="inlineStr">
        <is>
          <t>نقطه‌ای کمتر از نقطهٔ قبل</t>
        </is>
      </c>
      <c r="G7" s="61" t="inlineStr">
        <is>
          <t>یک تبادل</t>
        </is>
      </c>
      <c r="H7" s="59" t="inlineStr">
        <is>
          <t>رد با CAL_LUT_ST_DIP (جریان باتری افت دارد)</t>
        </is>
      </c>
      <c r="I7" s="59" t="inlineStr">
        <is>
          <t>بدون تغییر فلش</t>
        </is>
      </c>
      <c r="J7" s="59" t="inlineStr">
        <is>
          <t>status=5</t>
        </is>
      </c>
      <c r="K7" s="59" t="inlineStr">
        <is>
          <t>در انتظار</t>
        </is>
      </c>
      <c r="L7" s="57" t="inlineStr">
        <is>
          <t>در انتظار</t>
        </is>
      </c>
      <c r="M7" s="59" t="n"/>
      <c r="N7" s="59" t="inlineStr">
        <is>
          <t>(بعد از تست پر شود)</t>
        </is>
      </c>
      <c r="O7" s="61" t="inlineStr">
        <is>
          <t>(بعد از تست پر شود)</t>
        </is>
      </c>
      <c r="P7" s="61" t="inlineStr">
        <is>
          <t>(بعد از تست پر شود)</t>
        </is>
      </c>
      <c r="Q7" s="62">
        <f>IF(OR(L7="",L7="در انتظار"),"",IF(Q7="",TODAY(),Q7))</f>
        <v/>
      </c>
    </row>
    <row r="8" ht="54" customHeight="1">
      <c r="A8" s="52" t="inlineStr">
        <is>
          <t>CL-007</t>
        </is>
      </c>
      <c r="B8" s="53" t="inlineStr">
        <is>
          <t>تعداد نقاط نامعتبر</t>
        </is>
      </c>
      <c r="C8" s="56" t="inlineStr">
        <is>
          <t>متوسط</t>
        </is>
      </c>
      <c r="D8" s="53" t="inlineStr">
        <is>
          <t>لینک برقرار</t>
        </is>
      </c>
      <c r="E8" s="53" t="inlineStr">
        <is>
          <t>گام ۱: لینک ESP را وصل کن.
گام ۲: یک جدول فقط با 1 نقطه بفرست و COMMIT کن؛ پاسخ را بخوان.
گام ۳: یک جدول با 25 نقطه بفرست و COMMIT کن؛ پاسخ را بخوان.
گام ۴: هر دو بار وضعیت باید 2 باشد (CAL_LUT_ST_COUNT)، چون تعداد نقطهٔ مجاز 2 تا 24 است.</t>
        </is>
      </c>
      <c r="F8" s="56" t="inlineStr">
        <is>
          <t>points &lt; 2 یا &gt; 24</t>
        </is>
      </c>
      <c r="G8" s="56" t="inlineStr">
        <is>
          <t>دو تبادل</t>
        </is>
      </c>
      <c r="H8" s="53" t="inlineStr">
        <is>
          <t>هر دو با CAL_LUT_ST_COUNT رد می‌شوند</t>
        </is>
      </c>
      <c r="I8" s="53" t="inlineStr">
        <is>
          <t>بدون تغییر فلش</t>
        </is>
      </c>
      <c r="J8" s="53" t="inlineStr">
        <is>
          <t>status=2 در هر دو</t>
        </is>
      </c>
      <c r="K8" s="53" t="inlineStr">
        <is>
          <t>در انتظار</t>
        </is>
      </c>
      <c r="L8" s="57" t="inlineStr">
        <is>
          <t>در انتظار</t>
        </is>
      </c>
      <c r="M8" s="53" t="n"/>
      <c r="N8" s="53" t="inlineStr">
        <is>
          <t>(بعد از تست پر شود)</t>
        </is>
      </c>
      <c r="O8" s="56" t="inlineStr">
        <is>
          <t>(بعد از تست پر شود)</t>
        </is>
      </c>
      <c r="P8" s="56" t="inlineStr">
        <is>
          <t>(بعد از تست پر شود)</t>
        </is>
      </c>
      <c r="Q8" s="58">
        <f>IF(OR(L8="",L8="در انتظار"),"",IF(Q8="",TODAY(),Q8))</f>
        <v/>
      </c>
    </row>
    <row r="9" ht="54" customHeight="1">
      <c r="A9" s="52" t="inlineStr">
        <is>
          <t>CL-008</t>
        </is>
      </c>
      <c r="B9" s="59" t="inlineStr">
        <is>
          <t>تکهٔ گم‌شده</t>
        </is>
      </c>
      <c r="C9" s="61" t="inlineStr">
        <is>
          <t>متوسط</t>
        </is>
      </c>
      <c r="D9" s="59" t="inlineStr">
        <is>
          <t>لینک برقرار</t>
        </is>
      </c>
      <c r="E9" s="59" t="inlineStr">
        <is>
          <t>گام ۱: لینک ESP را وصل کن و یک جدول چندچانکه آماده کن.
گام ۲: همهٔ چانک‌ها را بفرست به‌جز یکی؛ عمداً یک چانک را نفرست.
گام ۳: COMMIT را بفرست.
گام ۴: پاسخ برد را بخوان: وضعیت باید 3 باشد (CAL_LUT_ST_MISSING) و هیچ جدولی فعال نشود.</t>
        </is>
      </c>
      <c r="F9" s="61" t="inlineStr">
        <is>
          <t>یک تکه نرسیده</t>
        </is>
      </c>
      <c r="G9" s="61" t="inlineStr">
        <is>
          <t>یک تبادل</t>
        </is>
      </c>
      <c r="H9" s="59" t="inlineStr">
        <is>
          <t>رد با CAL_LUT_ST_MISSING</t>
        </is>
      </c>
      <c r="I9" s="59" t="inlineStr">
        <is>
          <t>بدون تغییر فلش</t>
        </is>
      </c>
      <c r="J9" s="59" t="inlineStr">
        <is>
          <t>status=3</t>
        </is>
      </c>
      <c r="K9" s="59" t="inlineStr">
        <is>
          <t>در انتظار</t>
        </is>
      </c>
      <c r="L9" s="57" t="inlineStr">
        <is>
          <t>در انتظار</t>
        </is>
      </c>
      <c r="M9" s="59" t="n"/>
      <c r="N9" s="59" t="inlineStr">
        <is>
          <t>(بعد از تست پر شود)</t>
        </is>
      </c>
      <c r="O9" s="61" t="inlineStr">
        <is>
          <t>(بعد از تست پر شود)</t>
        </is>
      </c>
      <c r="P9" s="61" t="inlineStr">
        <is>
          <t>(بعد از تست پر شود)</t>
        </is>
      </c>
      <c r="Q9" s="62">
        <f>IF(OR(L9="",L9="در انتظار"),"",IF(Q9="",TODAY(),Q9))</f>
        <v/>
      </c>
    </row>
    <row r="10" ht="54" customHeight="1">
      <c r="A10" s="52" t="inlineStr">
        <is>
          <t>CL-009</t>
        </is>
      </c>
      <c r="B10" s="53" t="inlineStr">
        <is>
          <t>commit بدون begin</t>
        </is>
      </c>
      <c r="C10" s="56" t="inlineStr">
        <is>
          <t>پایین</t>
        </is>
      </c>
      <c r="D10" s="53" t="inlineStr">
        <is>
          <t>لینک برقرار</t>
        </is>
      </c>
      <c r="E10" s="53" t="inlineStr">
        <is>
          <t>گام ۱: لینک ESP را وصل کن.
گام ۲: بدون اینکه LUT_BEGIN بفرستی، مستقیم COMMIT بفرست.
گام ۳: پاسخ برد را بخوان: وضعیت باید 1 باشد (CAL_LUT_ST_NO_STAGE) و هیچ اتفاقی برای جدول فعال نیفتد.</t>
        </is>
      </c>
      <c r="F10" s="56" t="inlineStr">
        <is>
          <t>بدون مرحلهٔ چیدن</t>
        </is>
      </c>
      <c r="G10" s="56" t="inlineStr">
        <is>
          <t>یک تبادل</t>
        </is>
      </c>
      <c r="H10" s="53" t="inlineStr">
        <is>
          <t>رد با CAL_LUT_ST_NO_STAGE</t>
        </is>
      </c>
      <c r="I10" s="53" t="inlineStr">
        <is>
          <t>بدون تغییر فلش</t>
        </is>
      </c>
      <c r="J10" s="53" t="inlineStr">
        <is>
          <t>status=1</t>
        </is>
      </c>
      <c r="K10" s="53" t="inlineStr">
        <is>
          <t>در انتظار</t>
        </is>
      </c>
      <c r="L10" s="57" t="inlineStr">
        <is>
          <t>در انتظار</t>
        </is>
      </c>
      <c r="M10" s="53" t="n"/>
      <c r="N10" s="53" t="inlineStr">
        <is>
          <t>(بعد از تست پر شود)</t>
        </is>
      </c>
      <c r="O10" s="56" t="inlineStr">
        <is>
          <t>(بعد از تست پر شود)</t>
        </is>
      </c>
      <c r="P10" s="56" t="inlineStr">
        <is>
          <t>(بعد از تست پر شود)</t>
        </is>
      </c>
      <c r="Q10" s="58">
        <f>IF(OR(L10="",L10="در انتظار"),"",IF(Q10="",TODAY(),Q10))</f>
        <v/>
      </c>
    </row>
    <row r="11" ht="54" customHeight="1">
      <c r="A11" s="52" t="inlineStr">
        <is>
          <t>CL-013</t>
        </is>
      </c>
      <c r="B11" s="53" t="inlineStr">
        <is>
          <t>تغییر نسخهٔ قالب</t>
        </is>
      </c>
      <c r="C11" s="56" t="inlineStr">
        <is>
          <t>پایین</t>
        </is>
      </c>
      <c r="D11" s="53" t="inlineStr">
        <is>
          <t>رکورد معتبر نسخهٔ ۱</t>
        </is>
      </c>
      <c r="E11" s="53" t="inlineStr">
        <is>
          <t>گام ۱: روی برد یک رکورد LUT معتبر با نسخهٔ 1 داشته باش (قبلاً commit شده باشد).
گام ۲: ثابت CAL_LUT_VERSION را در کد بالا ببر و فرم‌ور جدید را روی همان برد فلش کن.
گام ۳: برد را بوت کن و وضعیت جدول فعال را بخوان.
گام ۴: باید جدول فعال نباشد (Active = false) و خوانش جریان به جدول کامپایل‌شده (خط گین و آفست) برگشته باشد.</t>
        </is>
      </c>
      <c r="F11" s="56" t="inlineStr">
        <is>
          <t>نسخهٔ رکورد قدیمی</t>
        </is>
      </c>
      <c r="G11" s="56" t="inlineStr">
        <is>
          <t>یک بوت</t>
        </is>
      </c>
      <c r="H11" s="53" t="inlineStr">
        <is>
          <t>رکورد قدیمی نامعتبر و بازگشت به جدول کامپایل‌شده</t>
        </is>
      </c>
      <c r="I11" s="53" t="inlineStr">
        <is>
          <t>بدون نیم‌ارتقای بی‌صدا</t>
        </is>
      </c>
      <c r="J11" s="53" t="inlineStr">
        <is>
          <t>Active=false و خوانش‌ها برابر خط گین و آفست</t>
        </is>
      </c>
      <c r="K11" s="53" t="inlineStr">
        <is>
          <t>در انتظار</t>
        </is>
      </c>
      <c r="L11" s="57" t="inlineStr">
        <is>
          <t>در انتظار</t>
        </is>
      </c>
      <c r="M11" s="53" t="n"/>
      <c r="N11" s="53" t="inlineStr">
        <is>
          <t>(بعد از تست پر شود)</t>
        </is>
      </c>
      <c r="O11" s="56" t="inlineStr">
        <is>
          <t>(بعد از تست پر شود)</t>
        </is>
      </c>
      <c r="P11" s="56" t="inlineStr">
        <is>
          <t>(بعد از تست پر شود)</t>
        </is>
      </c>
      <c r="Q11" s="58">
        <f>IF(OR(L11="",L11="در انتظار"),"",IF(Q11="",TODAY(),Q11))</f>
        <v/>
      </c>
    </row>
    <row r="12" ht="54" customHeight="1"/>
    <row r="13" ht="40.5" customHeight="1"/>
    <row r="14" ht="54" customHeight="1"/>
    <row r="15" ht="54" customHeight="1"/>
    <row r="16" ht="54" customHeight="1"/>
    <row r="17" ht="54" customHeight="1"/>
    <row r="18" ht="54" customHeight="1"/>
    <row r="19" ht="67.5" customHeight="1"/>
    <row r="20" ht="67.5" customHeight="1"/>
    <row r="21" ht="54" customHeight="1"/>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2026-10-05T18:18:07Z</dcterms:created>
  <dcterms:modified xsi:type="dcterms:W3CDTF">2026-10-17T12:44:58Z</dcterms:modified>
</cp:coreProperties>
</file>