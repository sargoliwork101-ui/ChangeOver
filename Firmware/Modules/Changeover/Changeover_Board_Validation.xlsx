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7">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s>
  <cellStyleXfs count="1">
    <xf numFmtId="0" fontId="0" fillId="0" borderId="0"/>
  </cellStyleXfs>
  <cellXfs count="8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35" t="inlineStr">
        <is>
          <t>برگه تست و اعتبارسنجی عملی ماژول Changeover — منطق قطع/وصل باتری</t>
        </is>
      </c>
    </row>
    <row r="2" ht="40" customHeight="1">
      <c r="A2" s="36" t="inlineStr">
        <is>
          <t>ChangeOver | PB11 (BSP_GPIO_PROTECT_BATTERY) | آستانه‌ها: 21000/20800/21200 و فیلتر 3000ms | نسخه 2.1 — فقط PB11، زمان rtos_time</t>
        </is>
      </c>
    </row>
    <row r="3" ht="30" customHeight="1">
      <c r="A3" s="37" t="inlineStr">
        <is>
          <t>هدف فایل</t>
        </is>
      </c>
      <c r="B3" s="8" t="n"/>
      <c r="C3" s="8" t="n"/>
      <c r="D3" s="8" t="n"/>
      <c r="E3" s="8" t="n"/>
      <c r="F3" s="8" t="n"/>
      <c r="G3" s="8" t="n"/>
      <c r="H3" s="8" t="n"/>
      <c r="I3" s="8" t="n"/>
      <c r="J3" s="8" t="n"/>
      <c r="K3" s="8" t="n"/>
      <c r="L3" s="8" t="n"/>
      <c r="M3" s="8" t="n"/>
      <c r="N3" s="8" t="n"/>
      <c r="O3" s="8" t="n"/>
      <c r="P3" s="9" t="n"/>
    </row>
    <row r="4" ht="13" customHeight="1">
      <c r="A4" s="38" t="inlineStr">
        <is>
          <t>این فایل برای اعتبارسنجی منطق Changeover تهیه شده است: بررسی snapshot.valid، fault_mask، input_present، v_bat24_mv، قفل داخلی باتری کم و تایمر 3000ms.</t>
        </is>
      </c>
    </row>
    <row r="5" ht="13" customHeight="1">
      <c r="A5" s="38" t="inlineStr">
        <is>
          <t>هیچ ردیفی بدون «روش اجرا» و «نتیجه مورد انتظار» نیست؛ هر PASS/FAIL با مقدار mV و ms و state/PB11 قابل اندازه‌گیری تعریف شده است.</t>
        </is>
      </c>
    </row>
    <row r="6" ht="13" customHeight="1">
      <c r="A6" s="38" t="inlineStr">
        <is>
          <t>قبل از تست برد، «نتیجه واقعی» خالی و «وضعیت» = در انتظار بماند؛ ادعای PASS برای تست انجام‌نشده ممنوع است. فقط یک Workbook برای Changeover باقی بماند.</t>
        </is>
      </c>
    </row>
    <row r="7" ht="18" customHeight="1">
      <c r="A7" s="39" t="inlineStr">
        <is>
          <t>دامنه: فقط Changeover؛ Measurement برای snapshot، Fault برای fault_mask و UI برای فلگ</t>
        </is>
      </c>
    </row>
    <row r="8" ht="13" customHeight="1">
      <c r="A8" s="38" t="inlineStr">
        <is>
          <t>منطق (snapshot-first): اگر snapshot==NULL یا valid==false → هیچ تصمیمی، state حفظ، PB11 حفظ، تایمر reset، fault هم state را تغییر نمی‌دهد، زمان نامعتبر شمرده نشود.</t>
        </is>
      </c>
    </row>
    <row r="9" ht="13" customHeight="1">
      <c r="A9" s="38" t="inlineStr">
        <is>
          <t>فقط وقتی snapshot معتبر و fault!=0 → state=FAULT بدون تغییر هیچ pin (PB11/PB5/PB7).</t>
        </is>
      </c>
    </row>
    <row r="10" ht="13" customHeight="1">
      <c r="A10" s="38" t="inlineStr">
        <is>
          <t>قطع با گیت: v_bat&lt;21000 و flag true به‌مدت پیوسته 3000ms → قطع (PB11 Low) → SAFE. قطع مستقل: v_bat&lt;20800 مستقل از فلگ 3000ms → SAFE.</t>
        </is>
      </c>
    </row>
    <row r="11" ht="13" customHeight="1">
      <c r="A11" s="38" t="inlineStr">
        <is>
          <t>وصل مجدد: input_present==true و v_bat≥21200 به‌مدت پیوسته 3000ms → وصل (PB11 High) → INPUT (هرگز IDLE).</t>
        </is>
      </c>
    </row>
    <row r="12" ht="13" customHeight="1">
      <c r="A12" s="38" t="inlineStr">
        <is>
          <t>زمان فقط با func__Rtos_MillisecondsToTicks و osKernelGetTickCount؛ فرض tick=1ms ممنوع؛ durationTicks==0 → هیچ قطع/وصل فوری.</t>
        </is>
      </c>
    </row>
    <row r="13" ht="18" customHeight="1">
      <c r="A13" s="39" t="inlineStr">
        <is>
          <t>روش اجرای تست</t>
        </is>
      </c>
    </row>
    <row r="14" ht="13" customHeight="1">
      <c r="A14" s="38"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row>
    <row r="15" ht="13" customHeight="1">
      <c r="A15" s="38" t="inlineStr">
        <is>
          <t>۲) firmware موردنظر را پروگرام کن؛ commit و شناسه برد را در «تأیید نهایی» ثبت کن.</t>
        </is>
      </c>
    </row>
    <row r="16" ht="13" customHeight="1">
      <c r="A16" s="38"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row>
    <row r="17" ht="13" customHeight="1">
      <c r="A17" s="38" t="inlineStr">
        <is>
          <t>۴) برای تست 3000ms: شرط را حداقل 3500ms پایدار نگه دار و سپس PB11 و state را بخوان؛ برای تست &lt;3000ms: پس از 2500ms بخوان و مطمئن شو هنوز تغییر نکرده.</t>
        </is>
      </c>
    </row>
    <row r="18" ht="13" customHeight="1">
      <c r="A18" s="38" t="inlineStr">
        <is>
          <t>۵) برای snapshot نامعتبر: valid=false یا NULL تزریق کن و ببین state و PB11 حفظ می‌ماند (باید «state فعلی حفظ شود» نه IDLE ثابت).</t>
        </is>
      </c>
    </row>
    <row r="19" ht="13" customHeight="1">
      <c r="A19" s="38" t="inlineStr">
        <is>
          <t>۶) نتیجه واقعی را بنویس و در صورت رد، در «ثبت ایراد» ردیف بساز.</t>
        </is>
      </c>
    </row>
    <row r="20">
      <c r="A20" s="40" t="inlineStr">
        <is>
          <t>تاریخچه نسخه</t>
        </is>
      </c>
    </row>
    <row r="21">
      <c r="A21" s="41" t="inlineStr">
        <is>
          <t>تاریخ</t>
        </is>
      </c>
      <c r="B21" s="41" t="inlineStr">
        <is>
          <t>نسخه</t>
        </is>
      </c>
      <c r="C21" s="41" t="inlineStr">
        <is>
          <t>شرح تغییر</t>
        </is>
      </c>
      <c r="D21" s="41" t="inlineStr">
        <is>
          <t>commit</t>
        </is>
      </c>
      <c r="E21" s="7" t="n"/>
      <c r="F21" s="8" t="n"/>
      <c r="G21" s="8" t="n"/>
      <c r="H21" s="8" t="n"/>
      <c r="I21" s="8" t="n"/>
      <c r="J21" s="8" t="n"/>
      <c r="K21" s="8" t="n"/>
      <c r="L21" s="8" t="n"/>
      <c r="M21" s="8" t="n"/>
      <c r="N21" s="8" t="n"/>
      <c r="O21" s="8" t="n"/>
      <c r="P21" s="9" t="n"/>
    </row>
    <row r="22" ht="14" customHeight="1">
      <c r="A22" s="42" t="inlineStr">
        <is>
          <t>2026-09-16</t>
        </is>
      </c>
      <c r="B22" s="42" t="inlineStr">
        <is>
          <t>2.1</t>
        </is>
      </c>
      <c r="C22" s="42" t="inlineStr">
        <is>
          <t>تکمیل ۲۲ تست مطابق لیست درخواستی، ستون‌های ۱۶گانه، PASS/FAIL per test، زمان rtos_time و duration0 guard</t>
        </is>
      </c>
      <c r="D22" s="42" t="inlineStr">
        <is>
          <t>c6b084f28f2c507cfd342e5dbd0dbd8e45686772</t>
        </is>
      </c>
      <c r="E22" s="11" t="n"/>
      <c r="F22" s="8" t="n"/>
      <c r="G22" s="8" t="n"/>
      <c r="H22" s="8" t="n"/>
      <c r="I22" s="8" t="n"/>
      <c r="J22" s="8" t="n"/>
      <c r="K22" s="8" t="n"/>
      <c r="L22" s="8" t="n"/>
      <c r="M22" s="8" t="n"/>
      <c r="N22" s="8" t="n"/>
      <c r="O22" s="8" t="n"/>
      <c r="P22" s="9" t="n"/>
    </row>
    <row r="23" ht="14" customHeight="1">
      <c r="A23" s="42" t="inlineStr">
        <is>
          <t>2026-09-16</t>
        </is>
      </c>
      <c r="B23" s="42" t="inlineStr">
        <is>
          <t>2.0</t>
        </is>
      </c>
      <c r="C23" s="42" t="inlineStr">
        <is>
          <t>snapshot-first با MillisecondsToTicks، نگاشت BATTERY/INPUT/SAFE/FAULT بدون IDLE</t>
        </is>
      </c>
      <c r="D23" s="42" t="inlineStr">
        <is>
          <t>a4a5bf2</t>
        </is>
      </c>
      <c r="E23" s="11" t="n"/>
      <c r="F23" s="8" t="n"/>
      <c r="G23" s="8" t="n"/>
      <c r="H23" s="8" t="n"/>
      <c r="I23" s="8" t="n"/>
      <c r="J23" s="8" t="n"/>
      <c r="K23" s="8" t="n"/>
      <c r="L23" s="8" t="n"/>
      <c r="M23" s="8" t="n"/>
      <c r="N23" s="8" t="n"/>
      <c r="O23" s="8" t="n"/>
      <c r="P23" s="9" t="n"/>
    </row>
    <row r="24" ht="14" customHeight="1">
      <c r="A24" s="42" t="inlineStr">
        <is>
          <t>2026-09-16</t>
        </is>
      </c>
      <c r="B24" s="42" t="inlineStr">
        <is>
          <t>1.0</t>
        </is>
      </c>
      <c r="C24" s="42" t="inlineStr">
        <is>
          <t>پیاده‌سازی با 21 سناریو</t>
        </is>
      </c>
      <c r="D24" s="42" t="inlineStr">
        <is>
          <t>d0adc6f</t>
        </is>
      </c>
      <c r="E24" s="11" t="n"/>
      <c r="F24" s="8" t="n"/>
      <c r="G24" s="8" t="n"/>
      <c r="H24" s="8" t="n"/>
      <c r="I24" s="8" t="n"/>
      <c r="J24" s="8" t="n"/>
      <c r="K24" s="8" t="n"/>
      <c r="L24" s="8" t="n"/>
      <c r="M24" s="8" t="n"/>
      <c r="N24" s="8" t="n"/>
      <c r="O24" s="8" t="n"/>
      <c r="P24" s="9" t="n"/>
    </row>
    <row r="25">
      <c r="A25" s="43" t="inlineStr">
        <is>
          <t>2026-10-12</t>
        </is>
      </c>
      <c r="B25" s="43" t="inlineStr">
        <is>
          <t>1.87</t>
        </is>
      </c>
      <c r="C25" s="43" t="inlineStr">
        <is>
          <t>پنل دیالوگ تیره همرنگ + صف PMQ + Enter/Esc + snapshot zeroing task_control (62f3782)</t>
        </is>
      </c>
      <c r="D25" s="43" t="inlineStr">
        <is>
          <t>62f3782</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44" t="inlineStr">
        <is>
          <t>برنامه تست عملی — ماژول Changeover (قطع/وصل باتری با 3000ms)</t>
        </is>
      </c>
    </row>
    <row r="2" ht="30" customHeight="1">
      <c r="A2" s="45" t="inlineStr">
        <is>
          <t>ورودی‌ها بر حسب mV؛ زمان‌ها بر حسب ms. PB11 فقط از BSP_GPIO_PROTECT_BATTERY (فعال Low) — PB5/PB7 ممنوع. ورودی‌ها: valid، v_bat، input_present، flag، fault.</t>
        </is>
      </c>
    </row>
    <row r="3" ht="32" customHeight="1">
      <c r="A3" s="46" t="inlineStr">
        <is>
          <t>snapshot نامعتبر → «state فعلی حفظ شود» (نه IDLE ثابت). CO-010/012 باید INPUT باشد. معیار قبولی هر ردیف توضیح می‌دهد PASS چیست و FAIL چیست.</t>
        </is>
      </c>
    </row>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Q5" s="63">
        <f>IF(OR(L29="",L29="در انتظار"),"",IF(Q29="",TODAY(),Q29))</f>
        <v/>
      </c>
    </row>
    <row r="6" ht="67.5" customHeight="1">
      <c r="Q6" s="63">
        <f>IF(OR(L30="",L30="در انتظار"),"",IF(Q30="",TODAY(),Q30))</f>
        <v/>
      </c>
    </row>
    <row r="7" ht="54" customHeight="1">
      <c r="Q7" s="63">
        <f>IF(OR(L31="",L31="در انتظار"),"",IF(Q31="",TODAY(),Q31))</f>
        <v/>
      </c>
    </row>
    <row r="8" ht="54" customHeight="1">
      <c r="E8" t="inlineStr">
        <is>
          <t>#'برنامه تست'!A12</t>
        </is>
      </c>
      <c r="Q8" s="63">
        <f>IF(OR(L32="",L32="در انتظار"),"",IF(Q32="",TODAY(),Q32))</f>
        <v/>
      </c>
    </row>
    <row r="9" ht="54" customHeight="1">
      <c r="Q9" s="63">
        <f>IF(OR(L33="",L33="در انتظار"),"",IF(Q33="",TODAY(),Q33))</f>
        <v/>
      </c>
    </row>
    <row r="10" ht="54" customHeight="1">
      <c r="Q10" s="63">
        <f>IF(OR(L34="",L34="در انتظار"),"",IF(Q34="",TODAY(),Q34))</f>
        <v/>
      </c>
    </row>
    <row r="11" ht="54" customHeight="1">
      <c r="Q11" s="63">
        <f>IF(OR(L35="",L35="در انتظار"),"",IF(Q35="",TODAY(),Q35))</f>
        <v/>
      </c>
    </row>
    <row r="12" ht="54" customHeight="1">
      <c r="Q12" s="63">
        <f>IF(OR(L36="",L36="در انتظار"),"",IF(Q36="",TODAY(),Q36))</f>
        <v/>
      </c>
    </row>
    <row r="13" ht="54" customHeight="1">
      <c r="Q13" s="63">
        <f>IF(OR(L37="",L37="در انتظار"),"",IF(Q37="",TODAY(),Q37))</f>
        <v/>
      </c>
    </row>
    <row r="14" ht="54" customHeight="1">
      <c r="Q14" s="63">
        <f>IF(OR(L38="",L38="در انتظار"),"",IF(Q38="",TODAY(),Q38))</f>
        <v/>
      </c>
    </row>
    <row r="15" ht="54" customHeight="1">
      <c r="Q15" s="63">
        <f>IF(OR(L39="",L39="در انتظار"),"",IF(Q39="",TODAY(),Q39))</f>
        <v/>
      </c>
    </row>
    <row r="16" ht="54" customHeight="1">
      <c r="Q16" s="63">
        <f>IF(OR(L40="",L40="در انتظار"),"",IF(Q40="",TODAY(),Q40))</f>
        <v/>
      </c>
    </row>
    <row r="17" ht="54" customHeight="1">
      <c r="Q17" s="63">
        <f>IF(OR(L41="",L41="در انتظار"),"",IF(Q41="",TODAY(),Q41))</f>
        <v/>
      </c>
    </row>
    <row r="18" ht="54" customHeight="1">
      <c r="Q18" s="63">
        <f>IF(OR(L42="",L42="در انتظار"),"",IF(Q42="",TODAY(),Q42))</f>
        <v/>
      </c>
    </row>
    <row r="19" ht="54" customHeight="1">
      <c r="Q19" s="63">
        <f>IF(OR(L43="",L43="در انتظار"),"",IF(Q43="",TODAY(),Q43))</f>
        <v/>
      </c>
    </row>
    <row r="20" ht="40.5" customHeight="1">
      <c r="Q20" s="63">
        <f>IF(OR(L44="",L44="در انتظار"),"",IF(Q44="",TODAY(),Q44))</f>
        <v/>
      </c>
    </row>
    <row r="21" ht="40.5" customHeight="1">
      <c r="Q21" s="63">
        <f>IF(OR(L45="",L45="در انتظار"),"",IF(Q45="",TODAY(),Q45))</f>
        <v/>
      </c>
    </row>
    <row r="22" ht="54" customHeight="1">
      <c r="Q22" s="63">
        <f>IF(OR(L46="",L46="در انتظار"),"",IF(Q46="",TODAY(),Q46))</f>
        <v/>
      </c>
    </row>
    <row r="23" ht="40.5" customHeight="1">
      <c r="Q23" s="63">
        <f>IF(OR(L47="",L47="در انتظار"),"",IF(Q47="",TODAY(),Q47))</f>
        <v/>
      </c>
    </row>
    <row r="24" ht="54" customHeight="1">
      <c r="Q24" s="63">
        <f>IF(OR(L48="",L48="در انتظار"),"",IF(Q48="",TODAY(),Q48))</f>
        <v/>
      </c>
    </row>
    <row r="25" ht="54" customHeight="1">
      <c r="Q25" s="63">
        <f>IF(OR(L49="",L49="در انتظار"),"",IF(Q49="",TODAY(),Q49))</f>
        <v/>
      </c>
    </row>
    <row r="26" ht="54" customHeight="1">
      <c r="Q26" s="63">
        <f>IF(OR(L50="",L50="در انتظار"),"",IF(Q50="",TODAY(),Q50))</f>
        <v/>
      </c>
    </row>
    <row r="27" ht="54" customHeight="1">
      <c r="Q27" s="63">
        <f>IF(OR(L51="",L51="در انتظار"),"",IF(Q51="",TODAY(),Q51))</f>
        <v/>
      </c>
    </row>
    <row r="28" ht="54" customHeight="1">
      <c r="Q28" s="63">
        <f>IF(OR(L52="",L52="در انتظار"),"",IF(Q52="",TODAY(),Q52))</f>
        <v/>
      </c>
    </row>
    <row r="29">
      <c r="Q29" s="63">
        <f>IF(OR(L53="",L53="در انتظار"),"",IF(Q53="",TODAY(),Q53))</f>
        <v/>
      </c>
    </row>
    <row r="30">
      <c r="Q30" s="63">
        <f>IF(OR(L54="",L54="در انتظار"),"",IF(Q54="",TODAY(),Q54))</f>
        <v/>
      </c>
    </row>
    <row r="31">
      <c r="Q31" s="63">
        <f>IF(OR(L55="",L55="در انتظار"),"",IF(Q55="",TODAY(),Q55))</f>
        <v/>
      </c>
    </row>
    <row r="32">
      <c r="Q32" s="63">
        <f>IF(OR(L56="",L56="در انتظار"),"",IF(Q56="",TODAY(),Q56))</f>
        <v/>
      </c>
    </row>
    <row r="33">
      <c r="Q33" s="63">
        <f>IF(OR(L57="",L57="در انتظار"),"",IF(Q57="",TODAY(),Q57))</f>
        <v/>
      </c>
    </row>
    <row r="34">
      <c r="Q34" s="63">
        <f>IF(OR(L58="",L58="در انتظار"),"",IF(Q58="",TODAY(),Q58))</f>
        <v/>
      </c>
    </row>
    <row r="35">
      <c r="Q35" s="63">
        <f>IF(OR(L59="",L59="در انتظار"),"",IF(Q59="",TODAY(),Q59))</f>
        <v/>
      </c>
    </row>
    <row r="36">
      <c r="Q36" s="63">
        <f>IF(OR(L60="",L60="در انتظار"),"",IF(Q60="",TODAY(),Q60))</f>
        <v/>
      </c>
    </row>
    <row r="37">
      <c r="Q37" s="63">
        <f>IF(OR(L61="",L61="در انتظار"),"",IF(Q61="",TODAY(),Q61))</f>
        <v/>
      </c>
    </row>
    <row r="38">
      <c r="Q38" s="63">
        <f>IF(OR(L62="",L62="در انتظار"),"",IF(Q62="",TODAY(),Q62))</f>
        <v/>
      </c>
    </row>
    <row r="39">
      <c r="Q39" s="63">
        <f>IF(OR(L63="",L63="در انتظار"),"",IF(Q63="",TODAY(),Q63))</f>
        <v/>
      </c>
    </row>
    <row r="40">
      <c r="Q40" s="63">
        <f>IF(OR(L64="",L64="در انتظار"),"",IF(Q64="",TODAY(),Q64))</f>
        <v/>
      </c>
    </row>
    <row r="41">
      <c r="Q41" s="63">
        <f>IF(OR(L65="",L65="در انتظار"),"",IF(Q65="",TODAY(),Q65))</f>
        <v/>
      </c>
    </row>
    <row r="42">
      <c r="Q42" s="63">
        <f>IF(OR(L66="",L66="در انتظار"),"",IF(Q66="",TODAY(),Q66))</f>
        <v/>
      </c>
    </row>
    <row r="43">
      <c r="Q43" s="63">
        <f>IF(OR(L67="",L67="در انتظار"),"",IF(Q67="",TODAY(),Q67))</f>
        <v/>
      </c>
    </row>
    <row r="44">
      <c r="Q44" s="63">
        <f>IF(OR(L68="",L68="در انتظار"),"",IF(Q68="",TODAY(),Q68))</f>
        <v/>
      </c>
    </row>
    <row r="45" ht="54" customHeight="1">
      <c r="A45" s="47" t="inlineStr">
        <is>
          <t>CO-025</t>
        </is>
      </c>
      <c r="B45" s="48" t="inlineStr">
        <is>
          <t>عملکرد واقعی خروجی</t>
        </is>
      </c>
      <c r="C45" s="50" t="inlineStr">
        <is>
          <t>بالا</t>
        </is>
      </c>
      <c r="D45" s="48" t="inlineStr">
        <is>
          <t>دستگاه روشن، باتری وصل و یک بار (مثلاً لامپ) روی خروجی</t>
        </is>
      </c>
      <c r="E45" s="48"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45" s="48" t="inlineStr">
        <is>
          <t>باتری از 24 ولت تا زیر 21 ولت</t>
        </is>
      </c>
      <c r="G45" s="50" t="inlineStr">
        <is>
          <t>چند ثانیه</t>
        </is>
      </c>
      <c r="H45" s="48" t="inlineStr">
        <is>
          <t>با افت باتری زیر حد، خروجی بعد از چند ثانیه قطع و بار خاموش می‌شود</t>
        </is>
      </c>
      <c r="I45" s="48" t="inlineStr">
        <is>
          <t>—</t>
        </is>
      </c>
      <c r="J45" s="48" t="inlineStr">
        <is>
          <t>بار قطع شود؛ قطع زودهنگام وقتی باتری هنوز بالای حد است = رد</t>
        </is>
      </c>
      <c r="K45" s="48" t="inlineStr"/>
      <c r="L45" s="80" t="inlineStr">
        <is>
          <t>در انتظار</t>
        </is>
      </c>
      <c r="M45" s="48" t="n"/>
      <c r="N45" s="48" t="n"/>
      <c r="O45" s="50" t="n"/>
      <c r="P45" s="50" t="n"/>
      <c r="Q45" s="54">
        <f>IF(OR(L45="",L45="در انتظار"),"",IF(Q45="",TODAY(),Q45))</f>
        <v/>
      </c>
    </row>
    <row r="46" ht="54" customHeight="1">
      <c r="A46" s="47" t="inlineStr">
        <is>
          <t>CO-026</t>
        </is>
      </c>
      <c r="B46" s="55" t="inlineStr">
        <is>
          <t>عملکرد واقعی خروجی</t>
        </is>
      </c>
      <c r="C46" s="57" t="inlineStr">
        <is>
          <t>بالا</t>
        </is>
      </c>
      <c r="D46" s="61" t="inlineStr">
        <is>
          <t>پایان CO-025 (خروجی قطع است)</t>
        </is>
      </c>
      <c r="E46" s="61"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46" s="55" t="inlineStr">
        <is>
          <t>ورودی حاضر + باتری بالای 21.2 ولت</t>
        </is>
      </c>
      <c r="G46" s="57" t="inlineStr">
        <is>
          <t>چند ثانیه</t>
        </is>
      </c>
      <c r="H46" s="55" t="inlineStr">
        <is>
          <t>خروجی وصل و بار روشن می‌شود</t>
        </is>
      </c>
      <c r="I46" s="55" t="inlineStr">
        <is>
          <t>—</t>
        </is>
      </c>
      <c r="J46" s="55" t="inlineStr">
        <is>
          <t>بار دوباره روشن شود؛ وصل شدن با باتری پایین = رد</t>
        </is>
      </c>
      <c r="K46" s="55" t="inlineStr"/>
      <c r="L46" s="80" t="inlineStr">
        <is>
          <t>در انتظار</t>
        </is>
      </c>
      <c r="M46" s="55" t="n"/>
      <c r="N46" s="55" t="n"/>
      <c r="O46" s="57" t="n"/>
      <c r="P46" s="57" t="n"/>
      <c r="Q46" s="59">
        <f>IF(OR(L46="",L46="در انتظار"),"",IF(Q46="",TODAY(),Q46))</f>
        <v/>
      </c>
    </row>
    <row r="47" ht="54" customHeight="1">
      <c r="A47" s="47" t="inlineStr">
        <is>
          <t>CO-027</t>
        </is>
      </c>
      <c r="B47" s="48" t="inlineStr">
        <is>
          <t>عملکرد واقعی خروجی</t>
        </is>
      </c>
      <c r="C47" s="50" t="inlineStr">
        <is>
          <t>بالا</t>
        </is>
      </c>
      <c r="D47" s="48" t="inlineStr">
        <is>
          <t>دستگاه با برق شهر و باتری وصل، بار روشن</t>
        </is>
      </c>
      <c r="E47" s="48"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47" s="48" t="inlineStr">
        <is>
          <t>قطع و وصل برق شهر</t>
        </is>
      </c>
      <c r="G47" s="50" t="inlineStr">
        <is>
          <t>چند ثانیه</t>
        </is>
      </c>
      <c r="H47" s="48" t="inlineStr">
        <is>
          <t>ادامهٔ بی‌وقفهٔ کار بار و برگشت عادی</t>
        </is>
      </c>
      <c r="I47" s="48" t="inlineStr">
        <is>
          <t>—</t>
        </is>
      </c>
      <c r="J47" s="48" t="inlineStr">
        <is>
          <t>بار هرگز خاموش نشود و دستگاه بعد از برگشت شهر عادی کار کند</t>
        </is>
      </c>
      <c r="K47" s="48" t="inlineStr"/>
      <c r="L47" s="80" t="inlineStr">
        <is>
          <t>در انتظار</t>
        </is>
      </c>
      <c r="M47" s="48" t="n"/>
      <c r="N47" s="48" t="n"/>
      <c r="O47" s="50" t="n"/>
      <c r="P47" s="50" t="n"/>
      <c r="Q47" s="54">
        <f>IF(OR(L47="",L47="در انتظار"),"",IF(Q47="",TODAY(),Q47))</f>
        <v/>
      </c>
    </row>
    <row r="48" ht="54" customHeight="1">
      <c r="A48" s="47" t="inlineStr">
        <is>
          <t>CO-028</t>
        </is>
      </c>
      <c r="B48" s="55" t="inlineStr">
        <is>
          <t>عملکرد واقعی خروجی</t>
        </is>
      </c>
      <c r="C48" s="57" t="inlineStr">
        <is>
          <t>متوسط</t>
        </is>
      </c>
      <c r="D48" s="55" t="inlineStr">
        <is>
          <t>دستگاه در حال کار عادی با بار روشن</t>
        </is>
      </c>
      <c r="E48" s="55"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48" s="55" t="inlineStr">
        <is>
          <t>خطای قطع باتری حین شارژ</t>
        </is>
      </c>
      <c r="G48" s="57" t="inlineStr">
        <is>
          <t>چند ثانیه</t>
        </is>
      </c>
      <c r="H48" s="55" t="inlineStr">
        <is>
          <t>آلارم خطا می‌آید ولی خروجی تکان نمی‌خورد</t>
        </is>
      </c>
      <c r="I48" s="55" t="inlineStr">
        <is>
          <t>—</t>
        </is>
      </c>
      <c r="J48" s="55" t="inlineStr">
        <is>
          <t>بار بدون هیچ تکانی روشن بماند</t>
        </is>
      </c>
      <c r="K48" s="55" t="inlineStr"/>
      <c r="L48" s="80" t="inlineStr">
        <is>
          <t>در انتظار</t>
        </is>
      </c>
      <c r="M48" s="55" t="n"/>
      <c r="N48" s="55" t="n"/>
      <c r="O48" s="57" t="n"/>
      <c r="P48" s="57" t="n"/>
      <c r="Q48" s="59">
        <f>IF(OR(L48="",L48="در انتظار"),"",IF(Q48="",TODAY(),Q48))</f>
        <v/>
      </c>
    </row>
  </sheetData>
  <autoFilter ref="A4:Q48"/>
  <mergeCells count="3">
    <mergeCell ref="A1:P1"/>
    <mergeCell ref="A3:P3"/>
    <mergeCell ref="A2:P2"/>
  </mergeCells>
  <dataValidations count="2">
    <dataValidation sqref="L5:L108"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ref="D46" location="'برنامه تست'!A45"/>
    <hyperlink ref="E46" location="'برنامه تست'!A4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تست‌های آزمایشگاهی (پایه، اسیلوسکوپ و زمان‌بندی دقیق — جدا از تست عملی)</t>
        </is>
      </c>
    </row>
    <row r="2" ht="42" customHeight="1">
      <c r="A2" s="7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A5" s="47" t="inlineStr">
        <is>
          <t>CO-001</t>
        </is>
      </c>
      <c r="B5" s="48" t="inlineStr">
        <is>
          <t>Snapshot نامعتبر / حفظ</t>
        </is>
      </c>
      <c r="C5" s="49" t="inlineStr">
        <is>
          <t>بالا</t>
        </is>
      </c>
      <c r="D5" s="48" t="inlineStr">
        <is>
          <t>Init → BOOT, PB11 High-safe</t>
        </is>
      </c>
      <c r="E5" s="48"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50" t="inlineStr">
        <is>
          <t>valid=false, v=24000, input=false, flag false, fault0</t>
        </is>
      </c>
      <c r="G5" s="50" t="inlineStr">
        <is>
          <t>500ms</t>
        </is>
      </c>
      <c r="H5" s="48" t="inlineStr">
        <is>
          <t>state حفظ شود: «state فعلی حفظ شود» (BOOT/BATTERY/INPUT/SAFE قبلی) و PB11 حفظ (High-safe). PASS: state و PB11 بدون تغییر. FAIL: هر تغییر به FAULT یا IDLE یا تغییر PB11.</t>
        </is>
      </c>
      <c r="I5" s="48" t="inlineStr">
        <is>
          <t>PASS: state فعلی حفظ. FAIL: تغییر خودبه‌خود.</t>
        </is>
      </c>
      <c r="J5" s="51" t="n"/>
      <c r="K5" s="52" t="inlineStr">
        <is>
          <t>در انتظار</t>
        </is>
      </c>
      <c r="L5" s="53" t="n"/>
      <c r="M5" s="48" t="n"/>
      <c r="N5" s="48" t="inlineStr">
        <is>
          <t>c6b084f28f2c507cfd342e5dbd0dbd8e45686772</t>
        </is>
      </c>
      <c r="O5" s="50" t="n"/>
      <c r="P5" s="50" t="n"/>
      <c r="Q5" s="54">
        <f>IF(OR(L5="",L5="در انتظار"),"",IF(Q5="",TODAY(),Q5))</f>
        <v/>
      </c>
    </row>
    <row r="6" ht="67.5" customHeight="1">
      <c r="A6" s="47" t="inlineStr">
        <is>
          <t>CO-002</t>
        </is>
      </c>
      <c r="B6" s="55" t="inlineStr">
        <is>
          <t>Snapshot نامعتبر / تایمر reset</t>
        </is>
      </c>
      <c r="C6" s="56" t="inlineStr">
        <is>
          <t>بالا</t>
        </is>
      </c>
      <c r="D6" s="55" t="inlineStr">
        <is>
          <t>BATTERY با شرط قطع نیمه‌کاره</t>
        </is>
      </c>
      <c r="E6" s="55"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57" t="inlineStr">
        <is>
          <t>valid true 2s → false 1s → true 2s, v20900 flag true</t>
        </is>
      </c>
      <c r="G6" s="57" t="inlineStr">
        <is>
          <t>2+1+2s</t>
        </is>
      </c>
      <c r="H6" s="55" t="inlineStr">
        <is>
          <t>PB11 نباید پس از 2s اول قطع شود؛ پس از 1s invalid، تایمر reset و 2s بعدی هم هنوز قطع نشود (نیاز به 3s پیوسته). PASS: invalid تایمر را reset. FAIL: قطع زود در 2s.</t>
        </is>
      </c>
      <c r="I6" s="55" t="inlineStr">
        <is>
          <t>PASS: reset پس از invalid. FAIL: قطع زود.</t>
        </is>
      </c>
      <c r="J6" s="55" t="n"/>
      <c r="K6" s="55" t="inlineStr">
        <is>
          <t>در انتظار</t>
        </is>
      </c>
      <c r="L6" s="58" t="n"/>
      <c r="M6" s="55" t="n"/>
      <c r="N6" s="55" t="inlineStr">
        <is>
          <t>c6b084f28f2c507cfd342e5dbd0dbd8e45686772</t>
        </is>
      </c>
      <c r="O6" s="57" t="n"/>
      <c r="P6" s="57" t="n"/>
      <c r="Q6" s="59">
        <f>IF(OR(L6="",L6="در انتظار"),"",IF(Q6="",TODAY(),Q6))</f>
        <v/>
      </c>
    </row>
    <row r="7" ht="54" customHeight="1">
      <c r="A7" s="47" t="inlineStr">
        <is>
          <t>CO-003</t>
        </is>
      </c>
      <c r="B7" s="48" t="inlineStr">
        <is>
          <t>Snapshot نامعتبر + Fault</t>
        </is>
      </c>
      <c r="C7" s="49" t="inlineStr">
        <is>
          <t>بالا</t>
        </is>
      </c>
      <c r="D7" s="48" t="inlineStr">
        <is>
          <t>BATTERY</t>
        </is>
      </c>
      <c r="E7" s="48"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50" t="inlineStr">
        <is>
          <t>valid=false, fault=1 (ADC), v25000</t>
        </is>
      </c>
      <c r="G7" s="50" t="inlineStr">
        <is>
          <t>500ms</t>
        </is>
      </c>
      <c r="H7" s="48" t="inlineStr">
        <is>
          <t>state حفظ شود (نه FAULT)، PB11 حفظ، تایمر reset. PASS: fault همراه invalid نباید FAULT شود. FAIL: FAULT شدن.</t>
        </is>
      </c>
      <c r="I7" s="48" t="inlineStr">
        <is>
          <t>PASS: حفظ state قبلی. FAIL: FAULT.</t>
        </is>
      </c>
      <c r="J7" s="51" t="n"/>
      <c r="K7" s="52" t="inlineStr">
        <is>
          <t>در انتظار</t>
        </is>
      </c>
      <c r="L7" s="53" t="n"/>
      <c r="M7" s="48" t="n"/>
      <c r="N7" s="48" t="inlineStr">
        <is>
          <t>c6b084f28f2c507cfd342e5dbd0dbd8e45686772</t>
        </is>
      </c>
      <c r="O7" s="50" t="n"/>
      <c r="P7" s="50" t="n"/>
      <c r="Q7" s="54">
        <f>IF(OR(L7="",L7="در انتظار"),"",IF(Q7="",TODAY(),Q7))</f>
        <v/>
      </c>
    </row>
    <row r="8" ht="54" customHeight="1">
      <c r="A8" s="47" t="inlineStr">
        <is>
          <t>CO-004</t>
        </is>
      </c>
      <c r="B8" s="55" t="inlineStr">
        <is>
          <t>Fault با snapshot معتبر</t>
        </is>
      </c>
      <c r="C8" s="56" t="inlineStr">
        <is>
          <t>بالا</t>
        </is>
      </c>
      <c r="D8" s="55" t="inlineStr">
        <is>
          <t>INPUT/BATTERY</t>
        </is>
      </c>
      <c r="E8" s="55"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57" t="inlineStr">
        <is>
          <t>valid=true, v24000, input true, fault 1</t>
        </is>
      </c>
      <c r="G8" s="57" t="inlineStr">
        <is>
          <t>500ms</t>
        </is>
      </c>
      <c r="H8" s="55" t="inlineStr">
        <is>
          <t>state=FAULT، PB11 حفظ (بدون تغییر High→Low)، تایمر reset. PASS: FAULT بدون تغییر PB11. FAIL: تغییر PB11 یا ماندن در INPUT.</t>
        </is>
      </c>
      <c r="I8" s="55" t="inlineStr">
        <is>
          <t>PASS: FAULT و PB11 حفظ. FAIL: تغییر PB11.</t>
        </is>
      </c>
      <c r="J8" s="55" t="n"/>
      <c r="K8" s="55" t="inlineStr">
        <is>
          <t>در انتظار</t>
        </is>
      </c>
      <c r="L8" s="58" t="n"/>
      <c r="M8" s="55" t="n"/>
      <c r="N8" s="55" t="inlineStr">
        <is>
          <t>c6b084f28f2c507cfd342e5dbd0dbd8e45686772</t>
        </is>
      </c>
      <c r="O8" s="57" t="n"/>
      <c r="P8" s="57" t="n"/>
      <c r="Q8" s="59">
        <f>IF(OR(L8="",L8="در انتظار"),"",IF(Q8="",TODAY(),Q8))</f>
        <v/>
      </c>
    </row>
    <row r="9" ht="54" customHeight="1">
      <c r="A9" s="47" t="inlineStr">
        <is>
          <t>CO-005</t>
        </is>
      </c>
      <c r="B9" s="48" t="inlineStr">
        <is>
          <t>Fault چند بیتی</t>
        </is>
      </c>
      <c r="C9" s="50" t="inlineStr">
        <is>
          <t>متوسط</t>
        </is>
      </c>
      <c r="D9" s="48" t="inlineStr">
        <is>
          <t>FAULT قبلی</t>
        </is>
      </c>
      <c r="E9" s="48"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50" t="inlineStr">
        <is>
          <t>valid true, fault ALL</t>
        </is>
      </c>
      <c r="G9" s="50" t="inlineStr">
        <is>
          <t>500ms</t>
        </is>
      </c>
      <c r="H9" s="48" t="inlineStr">
        <is>
          <t>state=FAULT، هیچ pin (PB11/PB5/PB7) تغییر نکند. PASS: همه fault‌ها → FAULT بدون pin. FAIL: هر تغییر pin.</t>
        </is>
      </c>
      <c r="I9" s="48" t="inlineStr">
        <is>
          <t>PASS: همه fault → FAULT no pin. FAIL: pin change.</t>
        </is>
      </c>
      <c r="J9" s="51" t="n"/>
      <c r="K9" s="52" t="inlineStr">
        <is>
          <t>در انتظار</t>
        </is>
      </c>
      <c r="L9" s="53" t="n"/>
      <c r="M9" s="48" t="n"/>
      <c r="N9" s="48" t="inlineStr">
        <is>
          <t>c6b084f28f2c507cfd342e5dbd0dbd8e45686772</t>
        </is>
      </c>
      <c r="O9" s="50" t="n"/>
      <c r="P9" s="50" t="n"/>
      <c r="Q9" s="54">
        <f>IF(OR(L9="",L9="در انتظار"),"",IF(Q9="",TODAY(),Q9))</f>
        <v/>
      </c>
    </row>
    <row r="10" ht="54" customHeight="1">
      <c r="A10" s="47" t="inlineStr">
        <is>
          <t>CO-006</t>
        </is>
      </c>
      <c r="B10" s="55" t="inlineStr">
        <is>
          <t>ورودی قطع → BATTERY</t>
        </is>
      </c>
      <c r="C10" s="56" t="inlineStr">
        <is>
          <t>بالا</t>
        </is>
      </c>
      <c r="D10" s="55" t="inlineStr">
        <is>
          <t>BOOT با snapshot معتبر</t>
        </is>
      </c>
      <c r="E10" s="55"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57" t="inlineStr">
        <is>
          <t>valid true, v24000, input false</t>
        </is>
      </c>
      <c r="G10" s="57" t="inlineStr">
        <is>
          <t>500ms</t>
        </is>
      </c>
      <c r="H10" s="55" t="inlineStr">
        <is>
          <t>state=BATTERY, PB11 High-safe (متصل). PASS: BATTERY. FAIL: INPUT یا SAFE یا FAULT.</t>
        </is>
      </c>
      <c r="I10" s="55" t="inlineStr">
        <is>
          <t>PASS: BATTERY. FAIL: otherwise.</t>
        </is>
      </c>
      <c r="J10" s="55" t="n"/>
      <c r="K10" s="55" t="inlineStr">
        <is>
          <t>در انتظار</t>
        </is>
      </c>
      <c r="L10" s="58" t="n"/>
      <c r="M10" s="55" t="n"/>
      <c r="N10" s="55" t="inlineStr">
        <is>
          <t>c6b084f28f2c507cfd342e5dbd0dbd8e45686772</t>
        </is>
      </c>
      <c r="O10" s="57" t="n"/>
      <c r="P10" s="57" t="n"/>
      <c r="Q10" s="59">
        <f>IF(OR(L10="",L10="در انتظار"),"",IF(Q10="",TODAY(),Q10))</f>
        <v/>
      </c>
    </row>
    <row r="11" ht="54" customHeight="1">
      <c r="A11" s="47" t="inlineStr">
        <is>
          <t>CO-007</t>
        </is>
      </c>
      <c r="B11" s="48" t="inlineStr">
        <is>
          <t>ورودی حاضر → INPUT</t>
        </is>
      </c>
      <c r="C11" s="49" t="inlineStr">
        <is>
          <t>بالا</t>
        </is>
      </c>
      <c r="D11" s="48" t="inlineStr">
        <is>
          <t>BOOT/BATTERY</t>
        </is>
      </c>
      <c r="E11" s="48"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50" t="inlineStr">
        <is>
          <t>valid true, v24000, input true</t>
        </is>
      </c>
      <c r="G11" s="50" t="inlineStr">
        <is>
          <t>500ms</t>
        </is>
      </c>
      <c r="H11" s="48" t="inlineStr">
        <is>
          <t>state=INPUT, PB11 High-safe. PASS: INPUT. FAIL: BATTERY یا SAFE.</t>
        </is>
      </c>
      <c r="I11" s="48" t="inlineStr">
        <is>
          <t>PASS: INPUT. FAIL: otherwise.</t>
        </is>
      </c>
      <c r="J11" s="51" t="n"/>
      <c r="K11" s="52" t="inlineStr">
        <is>
          <t>در انتظار</t>
        </is>
      </c>
      <c r="L11" s="53" t="n"/>
      <c r="M11" s="48" t="n"/>
      <c r="N11" s="48" t="inlineStr">
        <is>
          <t>c6b084f28f2c507cfd342e5dbd0dbd8e45686772</t>
        </is>
      </c>
      <c r="O11" s="50" t="n"/>
      <c r="P11" s="50" t="n"/>
      <c r="Q11" s="54">
        <f>IF(OR(L11="",L11="در انتظار"),"",IF(Q11="",TODAY(),Q11))</f>
        <v/>
      </c>
    </row>
    <row r="12" ht="54" customHeight="1">
      <c r="A12" s="47" t="inlineStr">
        <is>
          <t>CO-008</t>
        </is>
      </c>
      <c r="B12" s="55" t="inlineStr">
        <is>
          <t>قطع با گیت / 21000 + flag</t>
        </is>
      </c>
      <c r="C12" s="56" t="inlineStr">
        <is>
          <t>بالا</t>
        </is>
      </c>
      <c r="D12" s="55" t="inlineStr">
        <is>
          <t>BATTERY/INPUT, PB11 High</t>
        </is>
      </c>
      <c r="E12" s="55"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57" t="inlineStr">
        <is>
          <t>v20900 (&lt;21000) flag true</t>
        </is>
      </c>
      <c r="G12" s="57" t="inlineStr">
        <is>
          <t>3500ms (≥3000)</t>
        </is>
      </c>
      <c r="H12" s="55" t="inlineStr">
        <is>
          <t>پس از 2500ms هنوز BATTERY/INPUT و PB11 High؛ پس از 3000ms PB11 Low (قطع) و state=SAFE. PASS: قطع فقط پس از 3000ms پیوسته. FAIL: قطع زود یا عدم قطع.</t>
        </is>
      </c>
      <c r="I12" s="55" t="inlineStr">
        <is>
          <t>PASS: 2500 still no cut, 3000 SAFE. FAIL: early or no cut.</t>
        </is>
      </c>
      <c r="J12" s="55" t="n"/>
      <c r="K12" s="55" t="inlineStr">
        <is>
          <t>در انتظار</t>
        </is>
      </c>
      <c r="L12" s="58" t="n"/>
      <c r="M12" s="55" t="n"/>
      <c r="N12" s="55" t="inlineStr">
        <is>
          <t>c6b084f28f2c507cfd342e5dbd0dbd8e45686772</t>
        </is>
      </c>
      <c r="O12" s="57" t="n"/>
      <c r="P12" s="57" t="n"/>
      <c r="Q12" s="59">
        <f>IF(OR(L12="",L12="در انتظار"),"",IF(Q12="",TODAY(),Q12))</f>
        <v/>
      </c>
    </row>
    <row r="13" ht="54" customHeight="1">
      <c r="A13" s="47" t="inlineStr">
        <is>
          <t>CO-009</t>
        </is>
      </c>
      <c r="B13" s="48" t="inlineStr">
        <is>
          <t>قطع مستقل / 20800</t>
        </is>
      </c>
      <c r="C13" s="49" t="inlineStr">
        <is>
          <t>بالا</t>
        </is>
      </c>
      <c r="D13" s="48" t="inlineStr">
        <is>
          <t>BATTERY, flag false</t>
        </is>
      </c>
      <c r="E13" s="48"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50" t="inlineStr">
        <is>
          <t>v20700 (&lt;20800) flag false</t>
        </is>
      </c>
      <c r="G13" s="50" t="inlineStr">
        <is>
          <t>3500ms</t>
        </is>
      </c>
      <c r="H13" s="48" t="inlineStr">
        <is>
          <t>پس از 3000ms SAFE با PB11 Low مستقل از flag. PASS: مستقل cuts. FAIL: عدم قطع به علت flag false.</t>
        </is>
      </c>
      <c r="I13" s="48" t="inlineStr">
        <is>
          <t>PASS: independent cut. FAIL: no cut due flag.</t>
        </is>
      </c>
      <c r="J13" s="51" t="n"/>
      <c r="K13" s="52" t="inlineStr">
        <is>
          <t>در انتظار</t>
        </is>
      </c>
      <c r="L13" s="53" t="n"/>
      <c r="M13" s="48" t="n"/>
      <c r="N13" s="48" t="inlineStr">
        <is>
          <t>c6b084f28f2c507cfd342e5dbd0dbd8e45686772</t>
        </is>
      </c>
      <c r="O13" s="50" t="n"/>
      <c r="P13" s="50" t="n"/>
      <c r="Q13" s="54">
        <f>IF(OR(L13="",L13="در انتظار"),"",IF(Q13="",TODAY(),Q13))</f>
        <v/>
      </c>
    </row>
    <row r="14" ht="54" customHeight="1">
      <c r="A14" s="47" t="inlineStr">
        <is>
          <t>CO-010</t>
        </is>
      </c>
      <c r="B14" s="55" t="inlineStr">
        <is>
          <t>مرز دقیق 21000 نباید cut</t>
        </is>
      </c>
      <c r="C14" s="56" t="inlineStr">
        <is>
          <t>بالا</t>
        </is>
      </c>
      <c r="D14" s="55" t="inlineStr">
        <is>
          <t>BATTERY</t>
        </is>
      </c>
      <c r="E14" s="55"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57" t="inlineStr">
        <is>
          <t>valid=true, v=21000 (دقیق) flag=true, input=true (Vin≥21V)</t>
        </is>
      </c>
      <c r="G14" s="57" t="inlineStr">
        <is>
          <t>3500ms</t>
        </is>
      </c>
      <c r="H14" s="55" t="inlineStr">
        <is>
          <t>هیچ قطع رخ ندهد، state=INPUT (چون input_present=true و بدون cut) و PB11 High-safe بماند. PASS: با input حاضر، بدون قطع باید INPUT باشد، نه BATTERY یا SAFE. FAIL: BATTERY/SAFE یا تغییر PB11.</t>
        </is>
      </c>
      <c r="I14" s="55" t="inlineStr">
        <is>
          <t>PASS: با v=21000 و input true، state=INPUT و PB11 High. FAIL: هر cut یا BATTERY.</t>
        </is>
      </c>
      <c r="J14" s="55" t="n"/>
      <c r="K14" s="55" t="inlineStr">
        <is>
          <t>در انتظار</t>
        </is>
      </c>
      <c r="L14" s="58" t="n"/>
      <c r="M14" s="55" t="n"/>
      <c r="N14" s="55" t="inlineStr">
        <is>
          <t>c6b084f28f2c507cfd342e5dbd0dbd8e45686772</t>
        </is>
      </c>
      <c r="O14" s="57" t="n"/>
      <c r="P14" s="57" t="n"/>
      <c r="Q14" s="59">
        <f>IF(OR(L14="",L14="در انتظار"),"",IF(Q14="",TODAY(),Q14))</f>
        <v/>
      </c>
    </row>
    <row r="15" ht="54" customHeight="1">
      <c r="A15" s="47" t="inlineStr">
        <is>
          <t>CO-011</t>
        </is>
      </c>
      <c r="B15" s="48" t="inlineStr">
        <is>
          <t>مرز دقیق 20800 نباید cut</t>
        </is>
      </c>
      <c r="C15" s="49" t="inlineStr">
        <is>
          <t>بالا</t>
        </is>
      </c>
      <c r="D15" s="48" t="inlineStr">
        <is>
          <t>BATTERY</t>
        </is>
      </c>
      <c r="E15" s="48"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50" t="inlineStr">
        <is>
          <t>v=20800 flag false</t>
        </is>
      </c>
      <c r="G15" s="50" t="inlineStr">
        <is>
          <t>3500ms</t>
        </is>
      </c>
      <c r="H15" s="48" t="inlineStr">
        <is>
          <t>هیچ قطع نشود. PASS: need &lt;20800. FAIL: cut at exact.</t>
        </is>
      </c>
      <c r="I15" s="48" t="inlineStr">
        <is>
          <t>PASS: 20800 no independent cut. FAIL: cut.</t>
        </is>
      </c>
      <c r="J15" s="51" t="n"/>
      <c r="K15" s="52" t="inlineStr">
        <is>
          <t>در انتظار</t>
        </is>
      </c>
      <c r="L15" s="53" t="n"/>
      <c r="M15" s="48" t="n"/>
      <c r="N15" s="48" t="inlineStr">
        <is>
          <t>c6b084f28f2c507cfd342e5dbd0dbd8e45686772</t>
        </is>
      </c>
      <c r="O15" s="50" t="n"/>
      <c r="P15" s="50" t="n"/>
      <c r="Q15" s="54">
        <f>IF(OR(L15="",L15="در انتظار"),"",IF(Q15="",TODAY(),Q15))</f>
        <v/>
      </c>
    </row>
    <row r="16" ht="54" customHeight="1">
      <c r="A16" s="47" t="inlineStr">
        <is>
          <t>CO-012</t>
        </is>
      </c>
      <c r="B16" s="55" t="inlineStr">
        <is>
          <t>قطع &lt;3000ms نباید</t>
        </is>
      </c>
      <c r="C16" s="56" t="inlineStr">
        <is>
          <t>بالا</t>
        </is>
      </c>
      <c r="D16" s="55" t="inlineStr">
        <is>
          <t>BATTERY</t>
        </is>
      </c>
      <c r="E16" s="55"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57" t="inlineStr">
        <is>
          <t>valid=true, v=20900 (&lt;21000) flag=true, input=true, فقط 2500ms (&lt;3000)</t>
        </is>
      </c>
      <c r="G16" s="57" t="inlineStr">
        <is>
          <t>2500ms</t>
        </is>
      </c>
      <c r="H16" s="55" t="inlineStr">
        <is>
          <t>پس از 2500ms هنوز state=INPUT (چون input true و هنوز SAFE نشده) و PB11 High. PASS: &lt;3000ms هنوز INPUT، نه SAFE. FAIL: SAFE زود یا BATTERY.</t>
        </is>
      </c>
      <c r="I16" s="55" t="inlineStr">
        <is>
          <t>PASS: 2500ms still INPUT (no cut). FAIL: early SAFE یا BATTERY.</t>
        </is>
      </c>
      <c r="J16" s="55" t="n"/>
      <c r="K16" s="55" t="inlineStr">
        <is>
          <t>در انتظار</t>
        </is>
      </c>
      <c r="L16" s="58" t="n"/>
      <c r="M16" s="55" t="n"/>
      <c r="N16" s="55" t="inlineStr">
        <is>
          <t>c6b084f28f2c507cfd342e5dbd0dbd8e45686772</t>
        </is>
      </c>
      <c r="O16" s="57" t="n"/>
      <c r="P16" s="57" t="n"/>
      <c r="Q16" s="59">
        <f>IF(OR(L16="",L16="در انتظار"),"",IF(Q16="",TODAY(),Q16))</f>
        <v/>
      </c>
    </row>
    <row r="17" ht="54" customHeight="1">
      <c r="A17" s="47" t="inlineStr">
        <is>
          <t>CO-013</t>
        </is>
      </c>
      <c r="B17" s="48" t="inlineStr">
        <is>
          <t>وصل مجدد / 21200 + input</t>
        </is>
      </c>
      <c r="C17" s="49" t="inlineStr">
        <is>
          <t>بالا</t>
        </is>
      </c>
      <c r="D17" s="48" t="inlineStr">
        <is>
          <t>SAFE, PB11 Low</t>
        </is>
      </c>
      <c r="E17" s="60"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50" t="inlineStr">
        <is>
          <t>SAFE, input true, v21300</t>
        </is>
      </c>
      <c r="G17" s="50" t="inlineStr">
        <is>
          <t>3500ms</t>
        </is>
      </c>
      <c r="H17" s="48" t="inlineStr">
        <is>
          <t>قبل از 3000ms: SAFE و PB11 Low؛ بعد از 3000ms: INPUT و PB11 High. PASS: reconnect پس از 3000ms با PB11 High. FAIL: reconnect زود یا PB11 Low ماندن.</t>
        </is>
      </c>
      <c r="I17" s="48" t="inlineStr">
        <is>
          <t>PASS: قبل 3000 SAFE Low، بعد 3000 INPUT High. FAIL: early or no reconnect.</t>
        </is>
      </c>
      <c r="J17" s="51" t="n"/>
      <c r="K17" s="52" t="inlineStr">
        <is>
          <t>در انتظار</t>
        </is>
      </c>
      <c r="L17" s="53" t="n"/>
      <c r="M17" s="48" t="n"/>
      <c r="N17" s="48" t="inlineStr">
        <is>
          <t>c6b084f28f2c507cfd342e5dbd0dbd8e45686772</t>
        </is>
      </c>
      <c r="O17" s="50" t="n"/>
      <c r="P17" s="50" t="n"/>
      <c r="Q17" s="54">
        <f>IF(OR(L17="",L17="در انتظار"),"",IF(Q17="",TODAY(),Q17))</f>
        <v/>
      </c>
    </row>
    <row r="18" ht="54" customHeight="1">
      <c r="A18" s="47" t="inlineStr">
        <is>
          <t>CO-014</t>
        </is>
      </c>
      <c r="B18" s="55" t="inlineStr">
        <is>
          <t>مرز دقیق 21200 باید reconnect</t>
        </is>
      </c>
      <c r="C18" s="56" t="inlineStr">
        <is>
          <t>بالا</t>
        </is>
      </c>
      <c r="D18" s="55" t="inlineStr">
        <is>
          <t>SAFE</t>
        </is>
      </c>
      <c r="E18" s="55"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57" t="inlineStr">
        <is>
          <t>v=21200 input true</t>
        </is>
      </c>
      <c r="G18" s="57" t="inlineStr">
        <is>
          <t>3500ms</t>
        </is>
      </c>
      <c r="H18" s="55" t="inlineStr">
        <is>
          <t>پس از 3000ms INPUT و PB11 High. PASS: ≥21200 reconnect. FAIL: no reconnect at 21200.</t>
        </is>
      </c>
      <c r="I18" s="55" t="inlineStr">
        <is>
          <t>PASS: 21200 reconnects (need ≥). FAIL: no.</t>
        </is>
      </c>
      <c r="J18" s="55" t="n"/>
      <c r="K18" s="55" t="inlineStr">
        <is>
          <t>در انتظار</t>
        </is>
      </c>
      <c r="L18" s="58" t="n"/>
      <c r="M18" s="55" t="n"/>
      <c r="N18" s="55" t="inlineStr">
        <is>
          <t>c6b084f28f2c507cfd342e5dbd0dbd8e45686772</t>
        </is>
      </c>
      <c r="O18" s="57" t="n"/>
      <c r="P18" s="57" t="n"/>
      <c r="Q18" s="59">
        <f>IF(OR(L18="",L18="در انتظار"),"",IF(Q18="",TODAY(),Q18))</f>
        <v/>
      </c>
    </row>
    <row r="19" ht="54" customHeight="1">
      <c r="A19" s="47" t="inlineStr">
        <is>
          <t>CO-015</t>
        </is>
      </c>
      <c r="B19" s="48" t="inlineStr">
        <is>
          <t>reconnect &lt;3000 نباید</t>
        </is>
      </c>
      <c r="C19" s="49" t="inlineStr">
        <is>
          <t>بالا</t>
        </is>
      </c>
      <c r="D19" s="48" t="inlineStr">
        <is>
          <t>SAFE</t>
        </is>
      </c>
      <c r="E19" s="48"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50" t="inlineStr">
        <is>
          <t>v21300 input true</t>
        </is>
      </c>
      <c r="G19" s="50" t="inlineStr">
        <is>
          <t>2500ms</t>
        </is>
      </c>
      <c r="H19" s="48" t="inlineStr">
        <is>
          <t>هنوز SAFE و PB11 Low. PASS: &lt;3s no reconnect. FAIL: زود وصل.</t>
        </is>
      </c>
      <c r="I19" s="48" t="inlineStr">
        <is>
          <t>PASS: 2500 still SAFE. FAIL: INPUT early.</t>
        </is>
      </c>
      <c r="J19" s="51" t="n"/>
      <c r="K19" s="52" t="inlineStr">
        <is>
          <t>در انتظار</t>
        </is>
      </c>
      <c r="L19" s="53" t="n"/>
      <c r="M19" s="48" t="n"/>
      <c r="N19" s="48" t="inlineStr">
        <is>
          <t>c6b084f28f2c507cfd342e5dbd0dbd8e45686772</t>
        </is>
      </c>
      <c r="O19" s="50" t="n"/>
      <c r="P19" s="50" t="n"/>
      <c r="Q19" s="54">
        <f>IF(OR(L19="",L19="در انتظار"),"",IF(Q19="",TODAY(),Q19))</f>
        <v/>
      </c>
    </row>
    <row r="20" ht="40.5" customHeight="1">
      <c r="A20" s="47" t="inlineStr">
        <is>
          <t>CO-016</t>
        </is>
      </c>
      <c r="B20" s="55" t="inlineStr">
        <is>
          <t>پس از reconnect state INPUT</t>
        </is>
      </c>
      <c r="C20" s="56" t="inlineStr">
        <is>
          <t>بالا</t>
        </is>
      </c>
      <c r="D20" s="61" t="inlineStr">
        <is>
          <t>پس از CO-013</t>
        </is>
      </c>
      <c r="E20" s="61"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57" t="inlineStr">
        <is>
          <t>post-reconnect</t>
        </is>
      </c>
      <c r="G20" s="57" t="inlineStr">
        <is>
          <t>100ms</t>
        </is>
      </c>
      <c r="H20" s="55" t="inlineStr">
        <is>
          <t>state=INPUT باشد، نه IDLE (IDLE برای معتبر ممنوع). PASS: INPUT. FAIL: IDLE.</t>
        </is>
      </c>
      <c r="I20" s="55" t="inlineStr">
        <is>
          <t>PASS: INPUT not IDLE. FAIL: IDLE.</t>
        </is>
      </c>
      <c r="J20" s="55" t="n"/>
      <c r="K20" s="55" t="inlineStr">
        <is>
          <t>در انتظار</t>
        </is>
      </c>
      <c r="L20" s="58" t="n"/>
      <c r="M20" s="55" t="n"/>
      <c r="N20" s="55" t="inlineStr">
        <is>
          <t>c6b084f28f2c507cfd342e5dbd0dbd8e45686772</t>
        </is>
      </c>
      <c r="O20" s="57" t="n"/>
      <c r="P20" s="57" t="n"/>
      <c r="Q20" s="59">
        <f>IF(OR(L20="",L20="در انتظار"),"",IF(Q20="",TODAY(),Q20))</f>
        <v/>
      </c>
    </row>
    <row r="21" ht="40.5" customHeight="1">
      <c r="A21" s="47" t="inlineStr">
        <is>
          <t>CO-017</t>
        </is>
      </c>
      <c r="B21" s="48" t="inlineStr">
        <is>
          <t>PB11 در invalid حفظ</t>
        </is>
      </c>
      <c r="C21" s="49" t="inlineStr">
        <is>
          <t>بالا</t>
        </is>
      </c>
      <c r="D21" s="48" t="inlineStr">
        <is>
          <t>INPUT با PB11 High</t>
        </is>
      </c>
      <c r="E21" s="48"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50" t="inlineStr">
        <is>
          <t>valid true→false</t>
        </is>
      </c>
      <c r="G21" s="50" t="inlineStr">
        <is>
          <t>500ms</t>
        </is>
      </c>
      <c r="H21" s="48" t="inlineStr">
        <is>
          <t>PB11 Low-High بدون تغییر بماند (High). PASS: حفظ. FAIL: تغییر.</t>
        </is>
      </c>
      <c r="I21" s="48" t="inlineStr">
        <is>
          <t>PASS: PB11 preserved in invalid. FAIL: change.</t>
        </is>
      </c>
      <c r="J21" s="51" t="n"/>
      <c r="K21" s="52" t="inlineStr">
        <is>
          <t>در انتظار</t>
        </is>
      </c>
      <c r="L21" s="53" t="n"/>
      <c r="M21" s="48" t="n"/>
      <c r="N21" s="48" t="inlineStr">
        <is>
          <t>c6b084f28f2c507cfd342e5dbd0dbd8e45686772</t>
        </is>
      </c>
      <c r="O21" s="50" t="n"/>
      <c r="P21" s="50" t="n"/>
      <c r="Q21" s="54">
        <f>IF(OR(L21="",L21="در انتظار"),"",IF(Q21="",TODAY(),Q21))</f>
        <v/>
      </c>
    </row>
    <row r="22" ht="54" customHeight="1">
      <c r="A22" s="47" t="inlineStr">
        <is>
          <t>CO-018</t>
        </is>
      </c>
      <c r="B22" s="55" t="inlineStr">
        <is>
          <t>PB11 در fault حفظ</t>
        </is>
      </c>
      <c r="C22" s="56" t="inlineStr">
        <is>
          <t>بالا</t>
        </is>
      </c>
      <c r="D22" s="55" t="inlineStr">
        <is>
          <t>INPUT</t>
        </is>
      </c>
      <c r="E22" s="55"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57" t="inlineStr">
        <is>
          <t>valid true fault1</t>
        </is>
      </c>
      <c r="G22" s="57" t="inlineStr">
        <is>
          <t>500ms</t>
        </is>
      </c>
      <c r="H22" s="55" t="inlineStr">
        <is>
          <t>PB11 حفظ (High). PASS. FAIL: Low شدن.</t>
        </is>
      </c>
      <c r="I22" s="55" t="inlineStr">
        <is>
          <t>PASS: PB11 preserved in fault. FAIL: change.</t>
        </is>
      </c>
      <c r="J22" s="55" t="n"/>
      <c r="K22" s="55" t="inlineStr">
        <is>
          <t>در انتظار</t>
        </is>
      </c>
      <c r="L22" s="58" t="n"/>
      <c r="M22" s="55" t="n"/>
      <c r="N22" s="55" t="inlineStr">
        <is>
          <t>c6b084f28f2c507cfd342e5dbd0dbd8e45686772</t>
        </is>
      </c>
      <c r="O22" s="57" t="n"/>
      <c r="P22" s="57" t="n"/>
      <c r="Q22" s="59">
        <f>IF(OR(L22="",L22="در انتظار"),"",IF(Q22="",TODAY(),Q22))</f>
        <v/>
      </c>
    </row>
    <row r="23" ht="40.5" customHeight="1">
      <c r="A23" s="47" t="inlineStr">
        <is>
          <t>CO-019</t>
        </is>
      </c>
      <c r="B23" s="48" t="inlineStr">
        <is>
          <t>PB5 و PB7 هیچ‌گاه تغییر نکنند</t>
        </is>
      </c>
      <c r="C23" s="49" t="inlineStr">
        <is>
          <t>بالا</t>
        </is>
      </c>
      <c r="D23" s="48" t="inlineStr">
        <is>
          <t>هر حالت</t>
        </is>
      </c>
      <c r="E23" s="60"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50" t="inlineStr">
        <is>
          <t>تمام حالات</t>
        </is>
      </c>
      <c r="G23" s="50" t="inlineStr">
        <is>
          <t>هر تست</t>
        </is>
      </c>
      <c r="H23" s="48" t="inlineStr">
        <is>
          <t>PB5 و PB7 ثابت بمانند (PB5 High-safe active-low، PB7 Low). PASS: بدون تغییر. FAIL: هر toggle.</t>
        </is>
      </c>
      <c r="I23" s="48" t="inlineStr">
        <is>
          <t>PASS: PB5/PB7 never change. FAIL: any toggle.</t>
        </is>
      </c>
      <c r="J23" s="51" t="n"/>
      <c r="K23" s="52" t="inlineStr">
        <is>
          <t>در انتظار</t>
        </is>
      </c>
      <c r="L23" s="53" t="n"/>
      <c r="M23" s="48" t="n"/>
      <c r="N23" s="48" t="inlineStr">
        <is>
          <t>c6b084f28f2c507cfd342e5dbd0dbd8e45686772</t>
        </is>
      </c>
      <c r="O23" s="50" t="n"/>
      <c r="P23" s="50" t="n"/>
      <c r="Q23" s="54">
        <f>IF(OR(L23="",L23="در انتظار"),"",IF(Q23="",TODAY(),Q23))</f>
        <v/>
      </c>
    </row>
    <row r="24" ht="54" customHeight="1">
      <c r="A24" s="47" t="inlineStr">
        <is>
          <t>CO-024</t>
        </is>
      </c>
      <c r="B24" s="55" t="inlineStr">
        <is>
          <t>وصل مجدد 30s پایداری ورودی</t>
        </is>
      </c>
      <c r="C24" s="56" t="inlineStr">
        <is>
          <t>بالا</t>
        </is>
      </c>
      <c r="D24" s="55" t="inlineStr">
        <is>
          <t>برد در SAFE پس از قطع، v_bat=24V</t>
        </is>
      </c>
      <c r="E24" s="61"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57" t="inlineStr">
        <is>
          <t>input=true v=24000</t>
        </is>
      </c>
      <c r="G24" s="57" t="inlineStr">
        <is>
          <t>33s</t>
        </is>
      </c>
      <c r="H24" s="55" t="inlineStr">
        <is>
          <t>بعد از 30 ثانیه پایداری ورودی و 3 ثانیه ولتاژ 21200، PB11 از Low به High و وضعیت INPUT شود</t>
        </is>
      </c>
      <c r="I24" s="55" t="inlineStr">
        <is>
          <t>PASS: PB11 بعد 33s وصل، قبلش SAFE. FAIL: وصل زودتر از 30s</t>
        </is>
      </c>
      <c r="J24" s="55" t="n"/>
      <c r="K24" s="55" t="inlineStr">
        <is>
          <t>نیاز به تکرار</t>
        </is>
      </c>
      <c r="L24" s="58" t="n"/>
      <c r="M24" s="55" t="n"/>
      <c r="N24" s="55" t="inlineStr">
        <is>
          <t>thermal+30s</t>
        </is>
      </c>
      <c r="O24" s="57" t="n"/>
      <c r="P24" s="57" t="n"/>
      <c r="Q24" s="59">
        <f>IF(OR(L24="",L24="در انتظار"),"",IF(Q24="",TODAY(),Q24))</f>
        <v/>
      </c>
    </row>
    <row r="25">
      <c r="Q25" s="63">
        <f>IF(OR(L25="",L25="در انتظار"),"",IF(Q25="",TODAY(),Q25))</f>
        <v/>
      </c>
    </row>
    <row r="26">
      <c r="Q26" s="63">
        <f>IF(OR(L26="",L26="در انتظار"),"",IF(Q26="",TODAY(),Q26))</f>
        <v/>
      </c>
    </row>
    <row r="27">
      <c r="Q27" s="63">
        <f>IF(OR(L27="",L27="در انتظار"),"",IF(Q27="",TODAY(),Q27))</f>
        <v/>
      </c>
    </row>
    <row r="28">
      <c r="Q28" s="63">
        <f>IF(OR(L28="",L28="در انتظار"),"",IF(Q28="",TODAY(),Q28))</f>
        <v/>
      </c>
    </row>
    <row r="29">
      <c r="Q29" s="63">
        <f>IF(OR(L29="",L29="در انتظار"),"",IF(Q29="",TODAY(),Q29))</f>
        <v/>
      </c>
    </row>
    <row r="30">
      <c r="Q30" s="63">
        <f>IF(OR(L30="",L30="در انتظار"),"",IF(Q30="",TODAY(),Q30))</f>
        <v/>
      </c>
    </row>
    <row r="31">
      <c r="Q31" s="63">
        <f>IF(OR(L31="",L31="در انتظار"),"",IF(Q31="",TODAY(),Q31))</f>
        <v/>
      </c>
    </row>
    <row r="32">
      <c r="Q32" s="63">
        <f>IF(OR(L32="",L32="در انتظار"),"",IF(Q32="",TODAY(),Q32))</f>
        <v/>
      </c>
    </row>
    <row r="33">
      <c r="Q33" s="63">
        <f>IF(OR(L33="",L33="در انتظار"),"",IF(Q33="",TODAY(),Q33))</f>
        <v/>
      </c>
    </row>
    <row r="34">
      <c r="Q34" s="63">
        <f>IF(OR(L34="",L34="در انتظار"),"",IF(Q34="",TODAY(),Q34))</f>
        <v/>
      </c>
    </row>
    <row r="35">
      <c r="Q35" s="63">
        <f>IF(OR(L35="",L35="در انتظار"),"",IF(Q35="",TODAY(),Q35))</f>
        <v/>
      </c>
    </row>
    <row r="36">
      <c r="Q36" s="63">
        <f>IF(OR(L36="",L36="در انتظار"),"",IF(Q36="",TODAY(),Q36))</f>
        <v/>
      </c>
    </row>
    <row r="37">
      <c r="Q37" s="63">
        <f>IF(OR(L37="",L37="در انتظار"),"",IF(Q37="",TODAY(),Q37))</f>
        <v/>
      </c>
    </row>
    <row r="38">
      <c r="Q38" s="63">
        <f>IF(OR(L38="",L38="در انتظار"),"",IF(Q38="",TODAY(),Q38))</f>
        <v/>
      </c>
    </row>
    <row r="39">
      <c r="Q39" s="63">
        <f>IF(OR(L39="",L39="در انتظار"),"",IF(Q39="",TODAY(),Q39))</f>
        <v/>
      </c>
    </row>
    <row r="40">
      <c r="Q40" s="63">
        <f>IF(OR(L40="",L40="در انتظار"),"",IF(Q40="",TODAY(),Q40))</f>
        <v/>
      </c>
    </row>
    <row r="41">
      <c r="Q41" s="63">
        <f>IF(OR(L41="",L41="در انتظار"),"",IF(Q41="",TODAY(),Q41))</f>
        <v/>
      </c>
    </row>
    <row r="42">
      <c r="Q42" s="63">
        <f>IF(OR(L42="",L42="در انتظار"),"",IF(Q42="",TODAY(),Q42))</f>
        <v/>
      </c>
    </row>
    <row r="43">
      <c r="Q43" s="63">
        <f>IF(OR(L43="",L43="در انتظار"),"",IF(Q43="",TODAY(),Q43))</f>
        <v/>
      </c>
    </row>
    <row r="44">
      <c r="Q44" s="63">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تست‌های برنامه‌نویسی و هاست (جدا از ولیدیشن عملی برد)</t>
        </is>
      </c>
    </row>
    <row r="2" ht="42" customHeight="1">
      <c r="B2" s="7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7" t="inlineStr">
        <is>
          <t>شناسه تست</t>
        </is>
      </c>
      <c r="B4" s="37" t="inlineStr">
        <is>
          <t>دسته</t>
        </is>
      </c>
      <c r="C4" s="37" t="inlineStr">
        <is>
          <t>اولویت</t>
        </is>
      </c>
      <c r="D4" s="37" t="inlineStr">
        <is>
          <t>پیش‌شرط</t>
        </is>
      </c>
      <c r="E4" s="37" t="inlineStr">
        <is>
          <t>روش اجرای دقیق</t>
        </is>
      </c>
      <c r="F4" s="37" t="inlineStr">
        <is>
          <t>ورودی‌ها</t>
        </is>
      </c>
      <c r="G4" s="37" t="inlineStr">
        <is>
          <t>مدت مشاهده</t>
        </is>
      </c>
      <c r="H4" s="37" t="inlineStr">
        <is>
          <t>نتیجه مورد انتظار</t>
        </is>
      </c>
      <c r="I4" s="37" t="inlineStr">
        <is>
          <t>معیار قبولی</t>
        </is>
      </c>
      <c r="J4" s="37" t="inlineStr">
        <is>
          <t>نتیجه واقعی</t>
        </is>
      </c>
      <c r="K4" s="37" t="inlineStr">
        <is>
          <t>وضعیت</t>
        </is>
      </c>
      <c r="L4" s="37" t="inlineStr">
        <is>
          <t>شرح ایراد</t>
        </is>
      </c>
      <c r="M4" s="37" t="inlineStr">
        <is>
          <t>مدرک تست</t>
        </is>
      </c>
      <c r="N4" s="37" t="inlineStr">
        <is>
          <t>commit</t>
        </is>
      </c>
      <c r="O4" s="37" t="inlineStr">
        <is>
          <t>نام تست‌کننده</t>
        </is>
      </c>
      <c r="P4" s="37" t="inlineStr">
        <is>
          <t>تاریخ</t>
        </is>
      </c>
      <c r="Q4" s="37" t="n"/>
    </row>
    <row r="5" ht="54" customHeight="1">
      <c r="A5" s="47" t="inlineStr">
        <is>
          <t>CO-020</t>
        </is>
      </c>
      <c r="B5" s="55" t="inlineStr">
        <is>
          <t>فقط PROTECT_BATTERY مجاز</t>
        </is>
      </c>
      <c r="C5" s="56" t="inlineStr">
        <is>
          <t>بالا</t>
        </is>
      </c>
      <c r="D5" s="55" t="inlineStr">
        <is>
          <t>کد review + تست</t>
        </is>
      </c>
      <c r="E5" s="61"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57" t="inlineStr">
        <is>
          <t>کد + PB11</t>
        </is>
      </c>
      <c r="G5" s="57" t="inlineStr">
        <is>
          <t>—</t>
        </is>
      </c>
      <c r="H5" s="55" t="inlineStr">
        <is>
          <t>هیچ کد board_pins/HAL/PB5/PB7 نباشد، فقط PB11 تغییر کند. PASS: فقط PB11. FAIL: PB5/7.</t>
        </is>
      </c>
      <c r="I5" s="55" t="inlineStr">
        <is>
          <t>PASS: only PB11. FAIL: PB5/7 usage.</t>
        </is>
      </c>
      <c r="J5" s="55" t="n"/>
      <c r="K5" s="55" t="inlineStr">
        <is>
          <t>در انتظار</t>
        </is>
      </c>
      <c r="L5" s="58" t="n"/>
      <c r="M5" s="55" t="n"/>
      <c r="N5" s="55" t="inlineStr">
        <is>
          <t>c6b084f28f2c507cfd342e5dbd0dbd8e45686772</t>
        </is>
      </c>
      <c r="O5" s="57" t="n"/>
      <c r="P5" s="57" t="n"/>
      <c r="Q5" s="59">
        <f>IF(OR(L5="",L5="در انتظار"),"",IF(Q5="",TODAY(),Q5))</f>
        <v/>
      </c>
    </row>
    <row r="6" ht="54" customHeight="1">
      <c r="A6" s="47" t="inlineStr">
        <is>
          <t>CO-021</t>
        </is>
      </c>
      <c r="B6" s="48" t="inlineStr">
        <is>
          <t>زمان از rtos_time</t>
        </is>
      </c>
      <c r="C6" s="50" t="inlineStr">
        <is>
          <t>متوسط</t>
        </is>
      </c>
      <c r="D6" s="48" t="inlineStr">
        <is>
          <t>هر زمان</t>
        </is>
      </c>
      <c r="E6" s="48"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50" t="inlineStr">
        <is>
          <t>کد review</t>
        </is>
      </c>
      <c r="G6" s="50" t="inlineStr">
        <is>
          <t>—</t>
        </is>
      </c>
      <c r="H6" s="48" t="inlineStr">
        <is>
          <t>زمان با rtos_time قابل‌حمل باشد، 3000ms با هر فرکانس تیک درست کار کند. PASS: portable. FAIL: فرض 1ms.</t>
        </is>
      </c>
      <c r="I6" s="48" t="inlineStr">
        <is>
          <t>PASS: portable via rtos_time. FAIL: hardcoded 1ms.</t>
        </is>
      </c>
      <c r="J6" s="51" t="n"/>
      <c r="K6" s="52" t="inlineStr">
        <is>
          <t>در انتظار</t>
        </is>
      </c>
      <c r="L6" s="53" t="n"/>
      <c r="M6" s="48" t="n"/>
      <c r="N6" s="48" t="inlineStr">
        <is>
          <t>c6b084f28f2c507cfd342e5dbd0dbd8e45686772</t>
        </is>
      </c>
      <c r="O6" s="50" t="n"/>
      <c r="P6" s="50" t="n"/>
      <c r="Q6" s="54">
        <f>IF(OR(L6="",L6="در انتظار"),"",IF(Q6="",TODAY(),Q6))</f>
        <v/>
      </c>
    </row>
    <row r="7" ht="54" customHeight="1">
      <c r="A7" s="47" t="inlineStr">
        <is>
          <t>CO-022</t>
        </is>
      </c>
      <c r="B7" s="55" t="inlineStr">
        <is>
          <t>durationTicks صفر → no immediate cut</t>
        </is>
      </c>
      <c r="C7" s="56" t="inlineStr">
        <is>
          <t>بالا</t>
        </is>
      </c>
      <c r="D7" s="55" t="inlineStr">
        <is>
          <t>BATTERY با شرط قطع</t>
        </is>
      </c>
      <c r="E7" s="55"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57" t="inlineStr">
        <is>
          <t>valid true v20700 durTicks0</t>
        </is>
      </c>
      <c r="G7" s="57" t="inlineStr">
        <is>
          <t>3500ms</t>
        </is>
      </c>
      <c r="H7" s="55" t="inlineStr">
        <is>
          <t>هیچ قطع/وصل فوری انجام نشود، state و PB11 حفظ، تایمر reset. PASS: guard بدون تصمیم. FAIL: قطع فوری.</t>
        </is>
      </c>
      <c r="I7" s="55" t="inlineStr">
        <is>
          <t>PASS: guard preserves. FAIL: immediate cut.</t>
        </is>
      </c>
      <c r="J7" s="55" t="n"/>
      <c r="K7" s="55" t="inlineStr">
        <is>
          <t>در انتظار</t>
        </is>
      </c>
      <c r="L7" s="58" t="n"/>
      <c r="M7" s="55" t="n"/>
      <c r="N7" s="55" t="inlineStr">
        <is>
          <t>c6b084f28f2c507cfd342e5dbd0dbd8e45686772</t>
        </is>
      </c>
      <c r="O7" s="57" t="n"/>
      <c r="P7" s="57" t="n"/>
      <c r="Q7" s="59">
        <f>IF(OR(L7="",L7="در انتظار"),"",IF(Q7="",TODAY(),Q7))</f>
        <v/>
      </c>
    </row>
    <row r="8" ht="54" customHeight="1">
      <c r="A8" s="47" t="inlineStr">
        <is>
          <t>CO-023</t>
        </is>
      </c>
      <c r="B8" s="48" t="inlineStr">
        <is>
          <t>snapshot zeroing task_control</t>
        </is>
      </c>
      <c r="C8" s="49" t="inlineStr">
        <is>
          <t>بالا</t>
        </is>
      </c>
      <c r="D8" s="48" t="inlineStr">
        <is>
          <t>MODULE_MEASUREMENT=0 یا GetSnapshot=false</t>
        </is>
      </c>
      <c r="E8" s="48"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50" t="inlineStr">
        <is>
          <t>valid=false</t>
        </is>
      </c>
      <c r="G8" s="50" t="inlineStr">
        <is>
          <t>3500ms</t>
        </is>
      </c>
      <c r="H8" s="48" t="inlineStr">
        <is>
          <t>هیچ فیلد snapshot حاوی زباله پشته نباشد؛ Changeover باید فقط روی valid گیت بزند و PB11 امن بماند؛ task_control مانند task_comm/task_ui/task_protection هر 9 فیلد را صفر کند</t>
        </is>
      </c>
      <c r="I8" s="48" t="inlineStr">
        <is>
          <t>امن</t>
        </is>
      </c>
      <c r="J8" s="48" t="inlineStr">
        <is>
          <t>بدون تصمیم بر اساس زباله؛ PB11 حفظ</t>
        </is>
      </c>
      <c r="K8" s="48" t="n"/>
      <c r="L8" s="62" t="inlineStr">
        <is>
          <t>نیاز به تکرار</t>
        </is>
      </c>
      <c r="M8" s="48" t="n"/>
      <c r="N8" s="48" t="n"/>
      <c r="O8" s="50" t="inlineStr">
        <is>
          <t>62f3782</t>
        </is>
      </c>
      <c r="P8" s="50" t="n"/>
      <c r="Q8" s="54" t="inlineStr">
        <is>
          <t>2026-10-12</t>
        </is>
      </c>
    </row>
    <row r="9">
      <c r="Q9" s="63">
        <f>IF(OR(L9="",L9="در انتظار"),"",IF(Q9="",TODAY(),Q9))</f>
        <v/>
      </c>
    </row>
    <row r="10">
      <c r="Q10" s="63">
        <f>IF(OR(L10="",L10="در انتظار"),"",IF(Q10="",TODAY(),Q10))</f>
        <v/>
      </c>
    </row>
    <row r="11">
      <c r="Q11" s="63">
        <f>IF(OR(L11="",L11="در انتظار"),"",IF(Q11="",TODAY(),Q11))</f>
        <v/>
      </c>
    </row>
    <row r="12">
      <c r="Q12" s="63">
        <f>IF(OR(L12="",L12="در انتظار"),"",IF(Q12="",TODAY(),Q12))</f>
        <v/>
      </c>
    </row>
    <row r="13">
      <c r="Q13" s="63">
        <f>IF(OR(L13="",L13="در انتظار"),"",IF(Q13="",TODAY(),Q13))</f>
        <v/>
      </c>
    </row>
    <row r="14">
      <c r="Q14" s="63">
        <f>IF(OR(L14="",L14="در انتظار"),"",IF(Q14="",TODAY(),Q14))</f>
        <v/>
      </c>
    </row>
    <row r="15">
      <c r="Q15" s="63">
        <f>IF(OR(L15="",L15="در انتظار"),"",IF(Q15="",TODAY(),Q15))</f>
        <v/>
      </c>
    </row>
    <row r="16">
      <c r="Q16" s="63">
        <f>IF(OR(L16="",L16="در انتظار"),"",IF(Q16="",TODAY(),Q16))</f>
        <v/>
      </c>
    </row>
    <row r="17">
      <c r="Q17" s="63">
        <f>IF(OR(L17="",L17="در انتظار"),"",IF(Q17="",TODAY(),Q17))</f>
        <v/>
      </c>
    </row>
    <row r="18">
      <c r="Q18" s="63">
        <f>IF(OR(L18="",L18="در انتظار"),"",IF(Q18="",TODAY(),Q18))</f>
        <v/>
      </c>
    </row>
    <row r="19">
      <c r="Q19" s="63">
        <f>IF(OR(L19="",L19="در انتظار"),"",IF(Q19="",TODAY(),Q19))</f>
        <v/>
      </c>
    </row>
    <row r="20">
      <c r="Q20" s="63">
        <f>IF(OR(L20="",L20="در انتظار"),"",IF(Q20="",TODAY(),Q20))</f>
        <v/>
      </c>
    </row>
    <row r="21">
      <c r="Q21" s="63">
        <f>IF(OR(L21="",L21="در انتظار"),"",IF(Q21="",TODAY(),Q21))</f>
        <v/>
      </c>
    </row>
    <row r="22">
      <c r="Q22" s="63">
        <f>IF(OR(L22="",L22="در انتظار"),"",IF(Q22="",TODAY(),Q22))</f>
        <v/>
      </c>
    </row>
    <row r="23">
      <c r="Q23" s="63">
        <f>IF(OR(L23="",L23="در انتظار"),"",IF(Q23="",TODAY(),Q23))</f>
        <v/>
      </c>
    </row>
    <row r="24">
      <c r="Q24" s="63">
        <f>IF(OR(L24="",L24="در انتظار"),"",IF(Q24="",TODAY(),Q24))</f>
        <v/>
      </c>
    </row>
    <row r="25">
      <c r="Q25" s="63">
        <f>IF(OR(L25="",L25="در انتظار"),"",IF(Q25="",TODAY(),Q25))</f>
        <v/>
      </c>
    </row>
    <row r="26">
      <c r="Q26" s="63">
        <f>IF(OR(L26="",L26="در انتظار"),"",IF(Q26="",TODAY(),Q26))</f>
        <v/>
      </c>
    </row>
    <row r="27">
      <c r="Q27" s="63">
        <f>IF(OR(L27="",L27="در انتظار"),"",IF(Q27="",TODAY(),Q27))</f>
        <v/>
      </c>
    </row>
    <row r="28">
      <c r="Q28" s="63">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37" t="inlineStr">
        <is>
          <t>مرجع سریع سناریوهای Changeover</t>
        </is>
      </c>
      <c r="B1" s="8" t="n"/>
      <c r="C1" s="8" t="n"/>
      <c r="D1" s="8" t="n"/>
      <c r="E1" s="8" t="n"/>
      <c r="F1" s="9" t="n"/>
    </row>
    <row r="2" ht="18" customHeight="1">
      <c r="A2" s="64" t="inlineStr">
        <is>
          <t>این صفحه مرجع انتظار است؛ نتیجه واقعی فقط در «برنامه تست» ثبت شود. مقادیر از کد واقعی استخراج شده؛ مقدار حدسی وجود ندارد.</t>
        </is>
      </c>
    </row>
    <row r="3" ht="18" customHeight="1">
      <c r="A3" s="41" t="inlineStr">
        <is>
          <t>موضوع</t>
        </is>
      </c>
      <c r="B3" s="41" t="inlineStr">
        <is>
          <t>شرط / مقدار (از کد)</t>
        </is>
      </c>
      <c r="C3" s="41" t="inlineStr">
        <is>
          <t>رفتار مورد انتظار</t>
        </is>
      </c>
      <c r="D3" s="41" t="inlineStr">
        <is>
          <t>ثابت / محل کد</t>
        </is>
      </c>
      <c r="E3" s="41" t="inlineStr">
        <is>
          <t>توضیح تکمیلی</t>
        </is>
      </c>
      <c r="F3" s="41" t="inlineStr">
        <is>
          <t>وابستگی</t>
        </is>
      </c>
    </row>
    <row r="4" ht="14" customHeight="1">
      <c r="A4" s="65" t="inlineStr">
        <is>
          <t>Snapshot نامعتبر</t>
        </is>
      </c>
      <c r="B4" s="65" t="inlineStr">
        <is>
          <t>valid==false یا NULL</t>
        </is>
      </c>
      <c r="C4" s="65" t="inlineStr">
        <is>
          <t>state حفظ، PB11 حفظ، تایمر reset</t>
        </is>
      </c>
      <c r="D4" s="66" t="inlineStr">
        <is>
          <t>changeover.c:valid check</t>
        </is>
      </c>
      <c r="E4" s="65" t="inlineStr">
        <is>
          <t>زمان نامعتبر شمرده نشود</t>
        </is>
      </c>
      <c r="F4" s="66" t="inlineStr">
        <is>
          <t>CO-001,002,017</t>
        </is>
      </c>
    </row>
    <row r="5" ht="14" customHeight="1">
      <c r="A5" s="65" t="inlineStr">
        <is>
          <t>Fault</t>
        </is>
      </c>
      <c r="B5" s="65" t="inlineStr">
        <is>
          <t>fault_mask !=0</t>
        </is>
      </c>
      <c r="C5" s="65" t="inlineStr">
        <is>
          <t>state=FAULT، هیچ pin تغییر نکند</t>
        </is>
      </c>
      <c r="D5" s="65" t="inlineStr">
        <is>
          <t>FAULT_NONE</t>
        </is>
      </c>
      <c r="E5" s="65" t="inlineStr">
        <is>
          <t>بالاترین اولویت پس از valid</t>
        </is>
      </c>
      <c r="F5" s="66" t="inlineStr">
        <is>
          <t>CO-004,005,018</t>
        </is>
      </c>
    </row>
    <row r="6" ht="14" customHeight="1">
      <c r="A6" s="65" t="inlineStr">
        <is>
          <t>قطع با آلارم</t>
        </is>
      </c>
      <c r="B6" s="65" t="inlineStr">
        <is>
          <t>v&lt;21000 و فلگ true</t>
        </is>
      </c>
      <c r="C6" s="65" t="inlineStr">
        <is>
          <t>پس از 3000ms PB11 Low (قطع) → SAFE</t>
        </is>
      </c>
      <c r="D6" s="65" t="inlineStr">
        <is>
          <t>CHANGEOVER_BAT_LOW_ALARM_CUT_MV=21000</t>
        </is>
      </c>
      <c r="E6" s="65" t="inlineStr">
        <is>
          <t>پیوسته</t>
        </is>
      </c>
      <c r="F6" s="66" t="inlineStr">
        <is>
          <t>CO-008,010,012</t>
        </is>
      </c>
    </row>
    <row r="7" ht="14" customHeight="1">
      <c r="A7" s="65" t="inlineStr">
        <is>
          <t>قطع مستقل</t>
        </is>
      </c>
      <c r="B7" s="65" t="inlineStr">
        <is>
          <t>v&lt;20800 (بدون فلگ)</t>
        </is>
      </c>
      <c r="C7" s="65" t="inlineStr">
        <is>
          <t>پس از 3000ms PB11 Low</t>
        </is>
      </c>
      <c r="D7" s="65" t="inlineStr">
        <is>
          <t>CHANGEOVER_BAT_CRITICAL_CUT_MV=20800</t>
        </is>
      </c>
      <c r="E7" s="65" t="inlineStr">
        <is>
          <t>مستقل</t>
        </is>
      </c>
      <c r="F7" s="66" t="inlineStr">
        <is>
          <t>CO-009,011</t>
        </is>
      </c>
    </row>
    <row r="8" ht="14" customHeight="1">
      <c r="A8" s="65" t="inlineStr">
        <is>
          <t>فیلتر زمان</t>
        </is>
      </c>
      <c r="B8" s="65" t="inlineStr">
        <is>
          <t>هر شرط &lt;3000ms</t>
        </is>
      </c>
      <c r="C8" s="65" t="inlineStr">
        <is>
          <t>عدم قطع/وصل</t>
        </is>
      </c>
      <c r="D8" s="65" t="inlineStr">
        <is>
          <t>CHANGEOVER_DURATION_MS=3000</t>
        </is>
      </c>
      <c r="E8" s="65" t="inlineStr">
        <is>
          <t>از rtos_time</t>
        </is>
      </c>
      <c r="F8" s="66" t="inlineStr">
        <is>
          <t>CO-012,015</t>
        </is>
      </c>
    </row>
    <row r="9" ht="14" customHeight="1">
      <c r="A9" s="65" t="inlineStr">
        <is>
          <t>وصل مجدد</t>
        </is>
      </c>
      <c r="B9" s="65" t="inlineStr">
        <is>
          <t>input==true و v≥21200</t>
        </is>
      </c>
      <c r="C9" s="65" t="inlineStr">
        <is>
          <t>پس از 3000ms PB11 High → INPUT</t>
        </is>
      </c>
      <c r="D9" s="65" t="inlineStr">
        <is>
          <t>CHANGEOVER_BAT_RECONNECT_MV=21200</t>
        </is>
      </c>
      <c r="E9" s="65" t="inlineStr">
        <is>
          <t>هر دو پیوسته</t>
        </is>
      </c>
      <c r="F9" s="66" t="inlineStr">
        <is>
          <t>CO-013,014,016</t>
        </is>
      </c>
    </row>
    <row r="10" ht="14" customHeight="1">
      <c r="A10" s="65" t="inlineStr">
        <is>
          <t>پس از reconnect</t>
        </is>
      </c>
      <c r="B10" s="65" t="inlineStr">
        <is>
          <t>state=INPUT</t>
        </is>
      </c>
      <c r="C10" s="65" t="inlineStr">
        <is>
          <t>نه IDLE</t>
        </is>
      </c>
      <c r="D10" s="66" t="inlineStr">
        <is>
          <t>app_types.h</t>
        </is>
      </c>
      <c r="E10" s="65" t="inlineStr">
        <is>
          <t>IDLE ممنوع برای valid</t>
        </is>
      </c>
      <c r="F10" s="66" t="inlineStr">
        <is>
          <t>CO-016</t>
        </is>
      </c>
    </row>
    <row r="11" ht="14" customHeight="1">
      <c r="A11" s="65" t="inlineStr">
        <is>
          <t>PB11 حفظ</t>
        </is>
      </c>
      <c r="B11" s="65" t="inlineStr">
        <is>
          <t>invalid/fault</t>
        </is>
      </c>
      <c r="C11" s="65" t="inlineStr">
        <is>
          <t>بدون تغییر</t>
        </is>
      </c>
      <c r="D11" s="65" t="inlineStr">
        <is>
          <t>—</t>
        </is>
      </c>
      <c r="E11" s="65" t="inlineStr">
        <is>
          <t>snapshot-first</t>
        </is>
      </c>
      <c r="F11" s="66" t="inlineStr">
        <is>
          <t>CO-017,018</t>
        </is>
      </c>
    </row>
    <row r="12" ht="14" customHeight="1">
      <c r="A12" s="65" t="inlineStr">
        <is>
          <t>PB5/PB7</t>
        </is>
      </c>
      <c r="B12" s="65" t="inlineStr">
        <is>
          <t>هیچ‌گاه</t>
        </is>
      </c>
      <c r="C12" s="65" t="inlineStr">
        <is>
          <t>بدون تغییر</t>
        </is>
      </c>
      <c r="D12" s="66" t="inlineStr">
        <is>
          <t>bsp_gpio.h:Forbidden</t>
        </is>
      </c>
      <c r="E12" s="65" t="inlineStr">
        <is>
          <t>فقط PROTECT_BATTERY</t>
        </is>
      </c>
      <c r="F12" s="66" t="inlineStr">
        <is>
          <t>CO-019,020</t>
        </is>
      </c>
    </row>
    <row r="13" ht="14" customHeight="1">
      <c r="A13" s="65" t="inlineStr">
        <is>
          <t>زمان</t>
        </is>
      </c>
      <c r="B13" s="65" t="inlineStr">
        <is>
          <t>ticks→ms via rtos_time</t>
        </is>
      </c>
      <c r="C13" s="65" t="inlineStr">
        <is>
          <t>بدون فرض 1ms</t>
        </is>
      </c>
      <c r="D13" s="65" t="inlineStr">
        <is>
          <t>func__Rtos_MillisecondsToTicks</t>
        </is>
      </c>
      <c r="E13" s="65" t="inlineStr">
        <is>
          <t>قابل‌حمل</t>
        </is>
      </c>
      <c r="F13" s="66" t="inlineStr">
        <is>
          <t>CO-021</t>
        </is>
      </c>
    </row>
    <row r="14" ht="14" customHeight="1">
      <c r="A14" s="65" t="inlineStr">
        <is>
          <t>duration0</t>
        </is>
      </c>
      <c r="B14" s="65" t="inlineStr">
        <is>
          <t>Ticks==0</t>
        </is>
      </c>
      <c r="C14" s="65" t="inlineStr">
        <is>
          <t>بدون تصمیم، حفظ state/PB11</t>
        </is>
      </c>
      <c r="D14" s="66" t="inlineStr">
        <is>
          <t>changeover.c guard</t>
        </is>
      </c>
      <c r="E14" s="65" t="inlineStr">
        <is>
          <t>frequency 0</t>
        </is>
      </c>
      <c r="F14" s="66" t="inlineStr">
        <is>
          <t>CO-022</t>
        </is>
      </c>
    </row>
    <row r="15" ht="14" customHeight="1">
      <c r="A15" s="65" t="inlineStr">
        <is>
          <t>منبع داده</t>
        </is>
      </c>
      <c r="B15" s="65" t="inlineStr">
        <is>
          <t>فقط 5 ورودی مجاز</t>
        </is>
      </c>
      <c r="C15" s="65" t="inlineStr">
        <is>
          <t>عدم استفاده از v_in/v_bat12 و ...</t>
        </is>
      </c>
      <c r="D15" s="66" t="inlineStr">
        <is>
          <t>app_types.h</t>
        </is>
      </c>
      <c r="E15" s="65" t="inlineStr">
        <is>
          <t>محدودیت</t>
        </is>
      </c>
      <c r="F15" s="66"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67" t="inlineStr">
        <is>
          <t>ثبت ایرادهای مشاهده‌شده روی برد</t>
        </is>
      </c>
    </row>
    <row r="2" ht="30" customHeight="1">
      <c r="A2" s="3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41" t="inlineStr">
        <is>
          <t>شماره ایراد</t>
        </is>
      </c>
      <c r="B3" s="41" t="inlineStr">
        <is>
          <t>شناسه تست</t>
        </is>
      </c>
      <c r="C3" s="41" t="inlineStr">
        <is>
          <t>تاریخ کشف</t>
        </is>
      </c>
      <c r="D3" s="41" t="inlineStr">
        <is>
          <t>شدت</t>
        </is>
      </c>
      <c r="E3" s="41" t="inlineStr">
        <is>
          <t>شرح کوتاه ایراد</t>
        </is>
      </c>
      <c r="F3" s="41" t="inlineStr">
        <is>
          <t>مراحل بازتولید</t>
        </is>
      </c>
      <c r="G3" s="41" t="inlineStr">
        <is>
          <t>انتظار</t>
        </is>
      </c>
      <c r="H3" s="41" t="inlineStr">
        <is>
          <t>واقعیت</t>
        </is>
      </c>
      <c r="I3" s="41" t="inlineStr">
        <is>
          <t>مدرک / مسیر عکس یا scope</t>
        </is>
      </c>
      <c r="J3" s="41" t="inlineStr">
        <is>
          <t>commit firmware</t>
        </is>
      </c>
      <c r="K3" s="41" t="inlineStr">
        <is>
          <t>محل احتمالی</t>
        </is>
      </c>
      <c r="L3" s="41" t="inlineStr">
        <is>
          <t>وضعیت ایراد</t>
        </is>
      </c>
      <c r="M3" s="41" t="inlineStr">
        <is>
          <t>تأیید رفع / توضیحات</t>
        </is>
      </c>
    </row>
    <row r="4" ht="14" customHeight="1">
      <c r="A4" s="23" t="inlineStr"/>
      <c r="B4" s="23" t="inlineStr"/>
      <c r="C4" s="23" t="inlineStr"/>
      <c r="D4" s="23" t="inlineStr"/>
      <c r="E4" s="23" t="inlineStr"/>
      <c r="F4" s="23" t="inlineStr"/>
      <c r="G4" s="23" t="inlineStr"/>
      <c r="H4" s="23" t="inlineStr"/>
      <c r="I4" s="23" t="inlineStr"/>
      <c r="J4" s="23" t="inlineStr"/>
      <c r="K4" s="23" t="inlineStr"/>
      <c r="L4" s="23" t="inlineStr"/>
      <c r="M4" s="23" t="inlineStr"/>
    </row>
    <row r="5" ht="14" customHeight="1">
      <c r="A5" s="24" t="inlineStr"/>
      <c r="B5" s="24" t="inlineStr"/>
      <c r="C5" s="24" t="inlineStr"/>
      <c r="D5" s="24" t="inlineStr"/>
      <c r="E5" s="24" t="inlineStr"/>
      <c r="F5" s="24" t="inlineStr"/>
      <c r="G5" s="24" t="inlineStr"/>
      <c r="H5" s="24" t="inlineStr"/>
      <c r="I5" s="24" t="inlineStr"/>
      <c r="J5" s="24" t="inlineStr"/>
      <c r="K5" s="24" t="inlineStr"/>
      <c r="L5" s="24" t="inlineStr"/>
      <c r="M5" s="24" t="inlineStr"/>
    </row>
    <row r="6" ht="14" customHeight="1">
      <c r="A6" s="23" t="inlineStr"/>
      <c r="B6" s="23" t="inlineStr"/>
      <c r="C6" s="23" t="inlineStr"/>
      <c r="D6" s="23" t="inlineStr"/>
      <c r="E6" s="23" t="inlineStr"/>
      <c r="F6" s="23" t="inlineStr"/>
      <c r="G6" s="23" t="inlineStr"/>
      <c r="H6" s="23" t="inlineStr"/>
      <c r="I6" s="23" t="inlineStr"/>
      <c r="J6" s="23" t="inlineStr"/>
      <c r="K6" s="23" t="inlineStr"/>
      <c r="L6" s="23" t="inlineStr"/>
      <c r="M6" s="23" t="inlineStr"/>
    </row>
    <row r="7" ht="14" customHeight="1">
      <c r="A7" s="24" t="inlineStr"/>
      <c r="B7" s="24" t="inlineStr"/>
      <c r="C7" s="24" t="inlineStr"/>
      <c r="D7" s="24" t="inlineStr"/>
      <c r="E7" s="24" t="inlineStr"/>
      <c r="F7" s="24" t="inlineStr"/>
      <c r="G7" s="24" t="inlineStr"/>
      <c r="H7" s="24" t="inlineStr"/>
      <c r="I7" s="24" t="inlineStr"/>
      <c r="J7" s="24" t="inlineStr"/>
      <c r="K7" s="24" t="inlineStr"/>
      <c r="L7" s="24" t="inlineStr"/>
      <c r="M7" s="24" t="inlineStr"/>
    </row>
    <row r="8" ht="14" customHeight="1">
      <c r="A8" s="23" t="inlineStr"/>
      <c r="B8" s="23" t="inlineStr"/>
      <c r="C8" s="23" t="inlineStr"/>
      <c r="D8" s="23" t="inlineStr"/>
      <c r="E8" s="23" t="inlineStr"/>
      <c r="F8" s="23" t="inlineStr"/>
      <c r="G8" s="23" t="inlineStr"/>
      <c r="H8" s="23" t="inlineStr"/>
      <c r="I8" s="23" t="inlineStr"/>
      <c r="J8" s="23" t="inlineStr"/>
      <c r="K8" s="23" t="inlineStr"/>
      <c r="L8" s="23" t="inlineStr"/>
      <c r="M8" s="23" t="inlineStr"/>
    </row>
    <row r="9" ht="14" customHeight="1">
      <c r="A9" s="24" t="inlineStr"/>
      <c r="B9" s="24" t="inlineStr"/>
      <c r="C9" s="24" t="inlineStr"/>
      <c r="D9" s="24" t="inlineStr"/>
      <c r="E9" s="24" t="inlineStr"/>
      <c r="F9" s="24" t="inlineStr"/>
      <c r="G9" s="24" t="inlineStr"/>
      <c r="H9" s="24" t="inlineStr"/>
      <c r="I9" s="24" t="inlineStr"/>
      <c r="J9" s="24" t="inlineStr"/>
      <c r="K9" s="24" t="inlineStr"/>
      <c r="L9" s="24" t="inlineStr"/>
      <c r="M9" s="24" t="inlineStr"/>
    </row>
    <row r="10" ht="14" customHeight="1">
      <c r="A10" s="23" t="inlineStr"/>
      <c r="B10" s="23" t="inlineStr"/>
      <c r="C10" s="23" t="inlineStr"/>
      <c r="D10" s="23" t="inlineStr"/>
      <c r="E10" s="23" t="inlineStr"/>
      <c r="F10" s="23" t="inlineStr"/>
      <c r="G10" s="23" t="inlineStr"/>
      <c r="H10" s="23" t="inlineStr"/>
      <c r="I10" s="23" t="inlineStr"/>
      <c r="J10" s="23" t="inlineStr"/>
      <c r="K10" s="23" t="inlineStr"/>
      <c r="L10" s="23" t="inlineStr"/>
      <c r="M10" s="23" t="inlineStr"/>
    </row>
    <row r="11" ht="14" customHeight="1">
      <c r="A11" s="24" t="inlineStr"/>
      <c r="B11" s="24" t="inlineStr"/>
      <c r="C11" s="24" t="inlineStr"/>
      <c r="D11" s="24" t="inlineStr"/>
      <c r="E11" s="24" t="inlineStr"/>
      <c r="F11" s="24" t="inlineStr"/>
      <c r="G11" s="24" t="inlineStr"/>
      <c r="H11" s="24" t="inlineStr"/>
      <c r="I11" s="24" t="inlineStr"/>
      <c r="J11" s="24" t="inlineStr"/>
      <c r="K11" s="24" t="inlineStr"/>
      <c r="L11" s="24" t="inlineStr"/>
      <c r="M11" s="24" t="inlineStr"/>
    </row>
    <row r="12" ht="14" customHeight="1">
      <c r="A12" s="23" t="inlineStr"/>
      <c r="B12" s="23" t="inlineStr"/>
      <c r="C12" s="23" t="inlineStr"/>
      <c r="D12" s="23" t="inlineStr"/>
      <c r="E12" s="23" t="inlineStr"/>
      <c r="F12" s="23" t="inlineStr"/>
      <c r="G12" s="23" t="inlineStr"/>
      <c r="H12" s="23" t="inlineStr"/>
      <c r="I12" s="23" t="inlineStr"/>
      <c r="J12" s="23" t="inlineStr"/>
      <c r="K12" s="23" t="inlineStr"/>
      <c r="L12" s="23" t="inlineStr"/>
      <c r="M12" s="23" t="inlineStr"/>
    </row>
    <row r="13" ht="14" customHeight="1">
      <c r="A13" s="24" t="inlineStr"/>
      <c r="B13" s="24" t="inlineStr"/>
      <c r="C13" s="24" t="inlineStr"/>
      <c r="D13" s="24" t="inlineStr"/>
      <c r="E13" s="24" t="inlineStr"/>
      <c r="F13" s="24" t="inlineStr"/>
      <c r="G13" s="24" t="inlineStr"/>
      <c r="H13" s="24" t="inlineStr"/>
      <c r="I13" s="24" t="inlineStr"/>
      <c r="J13" s="24" t="inlineStr"/>
      <c r="K13" s="24" t="inlineStr"/>
      <c r="L13" s="24" t="inlineStr"/>
      <c r="M13" s="24"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68" t="inlineStr">
        <is>
          <t>تأیید نهایی اعتبارسنجی روی برد — Changeover — PB11</t>
        </is>
      </c>
    </row>
    <row r="2" ht="18" customHeight="1">
      <c r="A2" s="69" t="inlineStr">
        <is>
          <t>این صفحه فقط پس از تکمیل تست‌ها و بستن ایرادهای باز امضا شود. بدون تکمیل این صفحه، اعتبارسنجی ناقص است.</t>
        </is>
      </c>
    </row>
    <row r="3">
      <c r="A3" s="40" t="inlineStr">
        <is>
          <t>مشخصات تست</t>
        </is>
      </c>
    </row>
    <row r="4" ht="14" customHeight="1">
      <c r="A4" s="70" t="inlineStr">
        <is>
          <t>پروژه</t>
        </is>
      </c>
      <c r="B4" s="42" t="inlineStr">
        <is>
          <t>ChangeOver</t>
        </is>
      </c>
      <c r="C4" s="70" t="inlineStr">
        <is>
          <t>ماژول</t>
        </is>
      </c>
      <c r="D4" s="42" t="inlineStr">
        <is>
          <t>Changeover — PB11</t>
        </is>
      </c>
      <c r="E4" s="11" t="n"/>
      <c r="F4" s="9" t="n"/>
    </row>
    <row r="5" ht="14" customHeight="1">
      <c r="A5" s="70" t="inlineStr">
        <is>
          <t>تاریخ ساخت فرم</t>
        </is>
      </c>
      <c r="B5" s="42" t="inlineStr">
        <is>
          <t>2026-09-16 (2.1 — فیلتر 3000ms)</t>
        </is>
      </c>
      <c r="C5" s="70" t="inlineStr">
        <is>
          <t>نسخه فرم</t>
        </is>
      </c>
      <c r="D5" s="42" t="inlineStr">
        <is>
          <t>2.1 — فیلتر 3000ms</t>
        </is>
      </c>
      <c r="E5" s="11" t="n"/>
      <c r="F5" s="9" t="n"/>
    </row>
    <row r="6" ht="14" customHeight="1">
      <c r="A6" s="70" t="inlineStr">
        <is>
          <t>commit firmware</t>
        </is>
      </c>
      <c r="B6" s="42" t="inlineStr">
        <is>
          <t>TESTER: fill flashed firmware commit</t>
        </is>
      </c>
      <c r="C6" s="70" t="inlineStr">
        <is>
          <t>شناسه برد</t>
        </is>
      </c>
      <c r="D6" s="27" t="inlineStr"/>
      <c r="E6" s="11" t="n"/>
      <c r="F6" s="9" t="n"/>
    </row>
    <row r="7" ht="14" customHeight="1">
      <c r="A7" s="70" t="inlineStr">
        <is>
          <t>تست‌کننده اصلی</t>
        </is>
      </c>
      <c r="B7" s="27" t="inlineStr"/>
      <c r="C7" s="70" t="inlineStr">
        <is>
          <t>تاریخ شروع</t>
        </is>
      </c>
      <c r="D7" s="27" t="inlineStr"/>
      <c r="E7" s="11" t="n"/>
      <c r="F7" s="9" t="n"/>
    </row>
    <row r="8" ht="14" customHeight="1">
      <c r="A8" s="70" t="inlineStr">
        <is>
          <t>تاریخ پایان</t>
        </is>
      </c>
      <c r="B8" s="27" t="inlineStr"/>
      <c r="C8" s="70" t="inlineStr">
        <is>
          <t>ابزار اندازه‌گیری</t>
        </is>
      </c>
      <c r="D8" s="42" t="inlineStr">
        <is>
          <t>منبع آزمایشگاهی + DMM + اسیلوسکوپ + تایمر RTOS</t>
        </is>
      </c>
      <c r="E8" s="11" t="n"/>
      <c r="F8" s="9" t="n"/>
    </row>
    <row r="9" ht="14" customHeight="1">
      <c r="A9" s="70" t="inlineStr">
        <is>
          <t>فرکانس تیک</t>
        </is>
      </c>
      <c r="B9" s="42" t="inlineStr">
        <is>
          <t>از osKernelGetTickFreq (قابل‌حمل)</t>
        </is>
      </c>
      <c r="C9" s="26" t="inlineStr"/>
      <c r="D9" s="27" t="inlineStr"/>
      <c r="E9" s="11" t="n"/>
      <c r="F9" s="9" t="n"/>
    </row>
    <row r="10" ht="14" customHeight="1">
      <c r="A10" s="70" t="inlineStr">
        <is>
          <t>فرکانس تیک</t>
        </is>
      </c>
      <c r="B10" s="42" t="inlineStr">
        <is>
          <t>از osKernelGetTickFreq (قابل‌حمل)</t>
        </is>
      </c>
      <c r="C10" s="26" t="inlineStr"/>
      <c r="D10" s="27" t="inlineStr"/>
      <c r="E10" s="11" t="n"/>
      <c r="F10" s="11" t="n"/>
    </row>
    <row r="11" ht="14" customHeight="1">
      <c r="A11" s="70" t="inlineStr">
        <is>
          <t>آستانه‌ها</t>
        </is>
      </c>
      <c r="B11" s="42" t="inlineStr">
        <is>
          <t>21000/20800/21200</t>
        </is>
      </c>
      <c r="C11" s="26" t="inlineStr"/>
      <c r="D11" s="27" t="inlineStr"/>
      <c r="E11" s="11" t="n"/>
      <c r="F11" s="11" t="n"/>
    </row>
    <row r="12" ht="14" customHeight="1">
      <c r="A12" s="70" t="inlineStr">
        <is>
          <t>فیلتر</t>
        </is>
      </c>
      <c r="B12" s="42" t="inlineStr">
        <is>
          <t>3000ms</t>
        </is>
      </c>
      <c r="C12" s="26" t="inlineStr"/>
      <c r="D12" s="27" t="inlineStr"/>
      <c r="E12" s="11" t="n"/>
      <c r="F12" s="11" t="n"/>
    </row>
    <row r="13" ht="14" customHeight="1">
      <c r="A13" s="70" t="inlineStr">
        <is>
          <t>مجاز pin</t>
        </is>
      </c>
      <c r="B13" s="42" t="inlineStr">
        <is>
          <t>فقط BSP_GPIO_PROTECT_BATTERY</t>
        </is>
      </c>
      <c r="C13" s="26" t="inlineStr"/>
      <c r="D13" s="27" t="inlineStr"/>
      <c r="E13" s="11" t="n"/>
      <c r="F13" s="11" t="n"/>
    </row>
    <row r="14" ht="14" customHeight="1">
      <c r="A14" s="70" t="inlineStr">
        <is>
          <t>ممنوع</t>
        </is>
      </c>
      <c r="B14" s="42" t="inlineStr">
        <is>
          <t>PB5/PB7/HAL/board_pins</t>
        </is>
      </c>
      <c r="C14" s="26" t="inlineStr"/>
      <c r="D14" s="27" t="inlineStr"/>
      <c r="E14" s="11" t="n"/>
      <c r="F14" s="11" t="n"/>
    </row>
    <row r="15">
      <c r="A15" s="40" t="inlineStr">
        <is>
          <t>خلاصه خودکار وضعیت تست‌ها (پس از تست برد پر شود)</t>
        </is>
      </c>
    </row>
    <row r="16">
      <c r="A16" s="41" t="inlineStr">
        <is>
          <t>شاخص</t>
        </is>
      </c>
      <c r="B16" s="41" t="inlineStr">
        <is>
          <t>مقدار</t>
        </is>
      </c>
      <c r="C16" s="41" t="inlineStr">
        <is>
          <t>توضیح</t>
        </is>
      </c>
      <c r="D16" s="41" t="inlineStr">
        <is>
          <t>فرمول پیشنهادی</t>
        </is>
      </c>
      <c r="E16" s="8" t="n"/>
      <c r="F16" s="9" t="n"/>
    </row>
    <row r="17" ht="13" customHeight="1">
      <c r="A17" s="42" t="inlineStr">
        <is>
          <t>تعداد کل تست‌ها</t>
        </is>
      </c>
      <c r="B17" s="71">
        <f>COUNTA('برنامه تست'!A5:A200)</f>
        <v/>
      </c>
      <c r="C17" s="42" t="inlineStr">
        <is>
          <t>کل ردیف‌های برنامه تست</t>
        </is>
      </c>
      <c r="D17" s="10" t="inlineStr"/>
      <c r="E17" s="8" t="n"/>
      <c r="F17" s="9" t="n"/>
    </row>
    <row r="18" ht="13" customHeight="1">
      <c r="A18" s="42" t="inlineStr">
        <is>
          <t>تعداد قبول (PASS)</t>
        </is>
      </c>
      <c r="B18" s="71">
        <f>COUNTIF('برنامه تست'!K5:K200,"قبول")</f>
        <v/>
      </c>
      <c r="C18" s="42" t="inlineStr">
        <is>
          <t>تعداد ردیف با وضعیت = قبول</t>
        </is>
      </c>
      <c r="D18" s="42" t="inlineStr">
        <is>
          <t>COUNTIF('برنامه تست'!K5:K200,"قبول")</t>
        </is>
      </c>
      <c r="E18" s="8" t="n"/>
      <c r="F18" s="9" t="n"/>
    </row>
    <row r="19" ht="13" customHeight="1">
      <c r="A19" s="42" t="inlineStr">
        <is>
          <t>تعداد رد (FAIL)</t>
        </is>
      </c>
      <c r="B19" s="71">
        <f>COUNTIF('برنامه تست'!K5:K200,"رد")</f>
        <v/>
      </c>
      <c r="C19" s="42" t="inlineStr">
        <is>
          <t>تعداد ردیف با وضعیت = رد</t>
        </is>
      </c>
      <c r="D19" s="42" t="inlineStr">
        <is>
          <t>COUNTIF('برنامه تست'!K5:K200,"رد")</t>
        </is>
      </c>
      <c r="E19" s="8" t="n"/>
      <c r="F19" s="9" t="n"/>
    </row>
    <row r="20" ht="13" customHeight="1">
      <c r="A20" s="42" t="inlineStr">
        <is>
          <t>تعداد در انتظار</t>
        </is>
      </c>
      <c r="B20" s="71">
        <f>COUNTIF('برنامه تست'!K5:K200,"در انتظار")</f>
        <v/>
      </c>
      <c r="C20" s="42" t="inlineStr">
        <is>
          <t>تعداد ردیف با وضعیت = در انتظار</t>
        </is>
      </c>
      <c r="D20" s="42" t="inlineStr">
        <is>
          <t>COUNTIF('برنامه تست'!K5:K200,"در انتظار")</t>
        </is>
      </c>
      <c r="E20" s="8" t="n"/>
      <c r="F20" s="9" t="n"/>
    </row>
    <row r="21" ht="13" customHeight="1">
      <c r="A21" s="42" t="inlineStr">
        <is>
          <t>تعداد مسدود</t>
        </is>
      </c>
      <c r="B21" s="71">
        <f>COUNTIF('برنامه تست'!K5:K200,"مسدود")</f>
        <v/>
      </c>
      <c r="C21" s="42" t="inlineStr">
        <is>
          <t>تعداد ردیف با وضعیت = مسدود</t>
        </is>
      </c>
      <c r="D21" s="10" t="inlineStr"/>
      <c r="E21" s="8" t="n"/>
      <c r="F21" s="9" t="n"/>
    </row>
    <row r="22" ht="13" customHeight="1">
      <c r="A22" s="42" t="inlineStr">
        <is>
          <t>نرخ قبولی</t>
        </is>
      </c>
      <c r="B22" s="71">
        <f>IF(B17=0,"",TEXT(B18/B17,"0%"))</f>
        <v/>
      </c>
      <c r="C22" s="42" t="inlineStr">
        <is>
          <t>PASS / TOTAL</t>
        </is>
      </c>
      <c r="D22" s="10" t="inlineStr"/>
      <c r="E22" s="8" t="n"/>
      <c r="F22" s="9" t="n"/>
    </row>
    <row r="23">
      <c r="A23" s="40" t="inlineStr">
        <is>
          <t>امضاها</t>
        </is>
      </c>
    </row>
    <row r="24" ht="18" customHeight="1">
      <c r="A24" s="41" t="inlineStr">
        <is>
          <t>نقش</t>
        </is>
      </c>
      <c r="B24" s="41" t="inlineStr">
        <is>
          <t>نام و نام خانوادگی</t>
        </is>
      </c>
      <c r="C24" s="41" t="inlineStr">
        <is>
          <t>تاریخ</t>
        </is>
      </c>
      <c r="D24" s="41" t="inlineStr">
        <is>
          <t>امضا</t>
        </is>
      </c>
      <c r="E24" s="41" t="inlineStr">
        <is>
          <t>توضیحات</t>
        </is>
      </c>
      <c r="F24" s="9" t="n"/>
    </row>
    <row r="25" ht="22" customHeight="1">
      <c r="A25" s="42" t="inlineStr">
        <is>
          <t>تست‌کننده</t>
        </is>
      </c>
      <c r="B25" s="10" t="inlineStr"/>
      <c r="C25" s="10" t="inlineStr"/>
      <c r="D25" s="10" t="inlineStr"/>
      <c r="E25" s="10" t="inlineStr"/>
      <c r="F25" s="9" t="n"/>
    </row>
    <row r="26" ht="22" customHeight="1">
      <c r="A26" s="42" t="inlineStr">
        <is>
          <t>بازبین فنی</t>
        </is>
      </c>
      <c r="B26" s="10" t="inlineStr"/>
      <c r="C26" s="10" t="inlineStr"/>
      <c r="D26" s="10" t="inlineStr"/>
      <c r="E26" s="10" t="inlineStr"/>
      <c r="F26" s="9" t="n"/>
    </row>
    <row r="27" ht="22" customHeight="1">
      <c r="A27" s="42" t="inlineStr">
        <is>
          <t>تأیید نهایی</t>
        </is>
      </c>
      <c r="B27" s="10" t="inlineStr"/>
      <c r="C27" s="10" t="inlineStr"/>
      <c r="D27" s="10" t="inlineStr"/>
      <c r="E27" s="10" t="inlineStr"/>
      <c r="F27" s="9" t="n"/>
    </row>
    <row r="28">
      <c r="A28" s="69"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40" t="inlineStr">
        <is>
          <t>وضعیت</t>
        </is>
      </c>
    </row>
    <row r="2">
      <c r="A2" s="72" t="inlineStr">
        <is>
          <t>در انتظار</t>
        </is>
      </c>
    </row>
    <row r="3">
      <c r="A3" s="72" t="inlineStr">
        <is>
          <t>انجام شد</t>
        </is>
      </c>
    </row>
    <row r="4">
      <c r="A4" s="72" t="inlineStr">
        <is>
          <t>قبول</t>
        </is>
      </c>
    </row>
    <row r="5">
      <c r="A5" s="72" t="inlineStr">
        <is>
          <t>رد</t>
        </is>
      </c>
    </row>
    <row r="6">
      <c r="A6" s="72" t="inlineStr">
        <is>
          <t>مسدود</t>
        </is>
      </c>
    </row>
    <row r="7">
      <c r="A7" t="inlineStr">
        <is>
          <t>نیاز به تکرار</t>
        </is>
      </c>
    </row>
    <row r="8" ht="14" customHeight="1">
      <c r="A8" s="40" t="inlineStr">
        <is>
          <t>اولویت</t>
        </is>
      </c>
    </row>
    <row r="9">
      <c r="A9" s="72" t="inlineStr">
        <is>
          <t>بالا</t>
        </is>
      </c>
    </row>
    <row r="10">
      <c r="A10" s="72" t="inlineStr">
        <is>
          <t>متوسط</t>
        </is>
      </c>
    </row>
    <row r="11">
      <c r="A11" s="72" t="inlineStr">
        <is>
          <t>پایین</t>
        </is>
      </c>
    </row>
    <row r="12">
      <c r="A12" s="72" t="inlineStr">
        <is>
          <t>بحرانی</t>
        </is>
      </c>
    </row>
    <row r="13"/>
    <row r="14" ht="14" customHeight="1">
      <c r="A14" s="40" t="inlineStr">
        <is>
          <t>دسته</t>
        </is>
      </c>
    </row>
    <row r="15">
      <c r="A15" s="72" t="inlineStr">
        <is>
          <t>BoardTest</t>
        </is>
      </c>
    </row>
    <row r="16">
      <c r="A16" s="72" t="inlineStr">
        <is>
          <t>InputOk</t>
        </is>
      </c>
    </row>
    <row r="17">
      <c r="A17" s="72" t="inlineStr">
        <is>
          <t>Charging</t>
        </is>
      </c>
    </row>
    <row r="18">
      <c r="A18" s="72" t="inlineStr">
        <is>
          <t>BatteryRun</t>
        </is>
      </c>
    </row>
    <row r="19">
      <c r="A19" s="72" t="inlineStr">
        <is>
          <t>هیسترزیس</t>
        </is>
      </c>
    </row>
    <row r="20">
      <c r="A20" s="72" t="inlineStr">
        <is>
          <t>InputOverVoltage</t>
        </is>
      </c>
    </row>
    <row r="21">
      <c r="A21" s="72" t="inlineStr">
        <is>
          <t>Snapshot</t>
        </is>
      </c>
    </row>
    <row r="22">
      <c r="A22" s="72" t="inlineStr">
        <is>
          <t>Buzzer</t>
        </is>
      </c>
    </row>
    <row r="23">
      <c r="A23" s="72" t="inlineStr">
        <is>
          <t>Measurement</t>
        </is>
      </c>
    </row>
    <row r="24">
      <c r="A24" s="72" t="inlineStr">
        <is>
          <t>Changeover</t>
        </is>
      </c>
    </row>
    <row r="25"/>
    <row r="26" ht="14" customHeight="1">
      <c r="A26" s="40" t="inlineStr">
        <is>
          <t>نتیجه ایراد</t>
        </is>
      </c>
    </row>
    <row r="27">
      <c r="A27" s="72" t="inlineStr">
        <is>
          <t>باز</t>
        </is>
      </c>
    </row>
    <row r="28">
      <c r="A28" s="72" t="inlineStr">
        <is>
          <t>در حال بررسی</t>
        </is>
      </c>
    </row>
    <row r="29">
      <c r="A29" s="72" t="inlineStr">
        <is>
          <t>رفع شد</t>
        </is>
      </c>
    </row>
    <row r="30">
      <c r="A30" s="72"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73" t="inlineStr">
        <is>
          <t>ماشین حالت ماژول تغییر مسیر (Changeover)</t>
        </is>
      </c>
    </row>
    <row r="2"/>
    <row r="3" ht="24" customHeight="1">
      <c r="A3" s="74" t="inlineStr">
        <is>
          <t>حالت‌ها و گذارهای همین ماژول</t>
        </is>
      </c>
      <c r="B3" s="75" t="inlineStr">
        <is>
          <t>Changeover_State_Machine.xlsx</t>
        </is>
      </c>
    </row>
    <row r="4" ht="24" customHeight="1">
      <c r="A4" s="74" t="inlineStr">
        <is>
          <t>ماشین حالت کل برنامه (نمای سیستمی)</t>
        </is>
      </c>
      <c r="B4" s="75" t="inlineStr">
        <is>
          <t>../../../Documentation/System_State_Machine.xlsx</t>
        </is>
      </c>
    </row>
    <row r="5" ht="24" customHeight="1">
      <c r="A5" s="74" t="inlineStr">
        <is>
          <t>راهنمای رنگ‌ها</t>
        </is>
      </c>
      <c r="B5" s="76" t="inlineStr">
        <is>
          <t>سبز = عادی/سالم · زرد = هشدار یا انتظار · قرمز = خطا یا قفل · نارنجی = در حال کار · خاکستری = بی‌کار · آبی = اطلاعاتی</t>
        </is>
      </c>
    </row>
    <row r="6" ht="24" customHeight="1">
      <c r="A6" s="74" t="inlineStr">
        <is>
          <t>بازتولید</t>
        </is>
      </c>
      <c r="B6" s="75"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2026-10-16T17:06:58Z</dcterms:modified>
</cp:coreProperties>
</file>