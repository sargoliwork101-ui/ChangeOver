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s>
  <fills count="15">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0">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7" fillId="13" borderId="1" applyAlignment="1" pivotButton="0" quotePrefix="0" xfId="0">
      <alignment horizontal="center" vertical="center" wrapText="1"/>
    </xf>
    <xf numFmtId="0" fontId="49" fillId="13" borderId="0" applyAlignment="1" pivotButton="0" quotePrefix="0" xfId="0">
      <alignment horizontal="right" vertical="center" wrapText="1"/>
    </xf>
    <xf numFmtId="0" fontId="49" fillId="13" borderId="0" applyAlignment="1" pivotButton="0" quotePrefix="0" xfId="0">
      <alignment horizontal="center" vertical="center" wrapText="1"/>
    </xf>
    <xf numFmtId="0" fontId="51" fillId="13" borderId="1" applyAlignment="1" pivotButton="0" quotePrefix="0" xfId="0">
      <alignment horizontal="center" vertical="center" wrapText="1"/>
    </xf>
    <xf numFmtId="0" fontId="47" fillId="13" borderId="1" pivotButton="0" quotePrefix="0" xfId="0"/>
    <xf numFmtId="0" fontId="20" fillId="14" borderId="1" applyAlignment="1" pivotButton="0" quotePrefix="0" xfId="0">
      <alignment horizontal="right" vertical="center" wrapText="1"/>
    </xf>
    <xf numFmtId="0" fontId="56" fillId="14" borderId="1" applyAlignment="1" pivotButton="0" quotePrefix="0" xfId="0">
      <alignment horizontal="center" vertical="center" wrapText="1"/>
    </xf>
    <xf numFmtId="0" fontId="20" fillId="14" borderId="1" applyAlignment="1" pivotButton="0" quotePrefix="0" xfId="0">
      <alignment horizontal="center" vertical="center" wrapText="1"/>
    </xf>
    <xf numFmtId="0" fontId="17" fillId="8" borderId="0" pivotButton="0" quotePrefix="0" xfId="0"/>
    <xf numFmtId="0" fontId="19" fillId="14" borderId="1" applyAlignment="1" pivotButton="0" quotePrefix="0" xfId="0">
      <alignment horizontal="right" vertical="center" wrapText="1"/>
    </xf>
    <xf numFmtId="164" fontId="20" fillId="14" borderId="1" applyAlignment="1" pivotButton="0" quotePrefix="0" xfId="0">
      <alignment horizontal="center" vertical="center" wrapText="1"/>
    </xf>
    <xf numFmtId="0" fontId="58" fillId="10" borderId="1" applyAlignment="1" pivotButton="0" quotePrefix="0" xfId="0">
      <alignment horizontal="center" vertical="center" wrapText="1"/>
    </xf>
    <xf numFmtId="0" fontId="48" fillId="14" borderId="1" applyAlignment="1" pivotButton="0" quotePrefix="0" xfId="0">
      <alignment horizontal="center" vertical="center" wrapText="1"/>
    </xf>
    <xf numFmtId="0" fontId="48" fillId="10" borderId="1" applyAlignment="1" pivotButton="0" quotePrefix="0" xfId="0">
      <alignment horizontal="center" vertical="center" wrapText="1"/>
    </xf>
    <xf numFmtId="0" fontId="48" fillId="9" borderId="1" applyAlignment="1" pivotButton="0" quotePrefix="0" xfId="0">
      <alignment horizontal="center" vertical="center" wrapText="1"/>
    </xf>
    <xf numFmtId="0" fontId="60" fillId="9" borderId="0" applyAlignment="1" pivotButton="0" quotePrefix="0" xfId="0">
      <alignment horizontal="center" vertical="center" wrapText="1"/>
    </xf>
    <xf numFmtId="0" fontId="61"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42" t="inlineStr">
        <is>
          <t>برگه تست و اعتبارسنجی عملی ماژول Measurement — ADC و کالیبراسیون</t>
        </is>
      </c>
    </row>
    <row r="2" ht="40" customHeight="1">
      <c r="A2" s="86" t="inlineStr">
        <is>
          <t>ChangeOver | اندازه‌گیری با ADC1 انجام می‌شود: ۵ کانال با DMA (bsp_measurement).
نسخه 1.0. هر 10 میلی‌ثانیه یک بار اندازه می‌گیریم.
برای معتبر شدن، 3 فریم کامل لازم است (warmup).
فرمول‌ها از خود کد BSP گرفته شده‌اند.</t>
        </is>
      </c>
    </row>
    <row r="3" ht="30" customHeight="1">
      <c r="A3" s="143"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فقط ماژول Measurement را چک می‌کند.
در هر تست این‌ها بررسی می‌شود: معتبر بودن داده، فریم‌های ADC، تبدیل به میلی‌ولت و میلی‌آمپر، ورودی‌ها و اینکه عکس لحظه‌ای (snapshot) کامل و یکجا خوانده شود.</t>
        </is>
      </c>
    </row>
    <row r="5" ht="13" customHeight="1">
      <c r="A5" s="90" t="inlineStr">
        <is>
          <t>در هر ردیف، روش اجرا و نتیجهٔ مورد انتظار نوشته شده است.
قبول یا رد هر تست با عدد مشخص است. تلرانس از کالیبراسیون BSP گرفته شده است.</t>
        </is>
      </c>
    </row>
    <row r="6" ht="13" customHeight="1">
      <c r="A6" s="90" t="inlineStr">
        <is>
          <t>قبل از تست روی برد، ستون «نتیجه واقعی» را خالی بگذار و وضعیت را «در انتظار» نگه دار.
برای تستی که انجام نشده، «قبول» ننویس.</t>
        </is>
      </c>
    </row>
    <row r="7" ht="18" customHeight="1">
      <c r="A7" s="144" t="inlineStr">
        <is>
          <t>دامنه</t>
        </is>
      </c>
    </row>
    <row r="8" ht="13" customHeight="1">
      <c r="A8" s="90" t="inlineStr">
        <is>
          <t>بعد از روشن‌شدن (Init)، داده نامعتبر است (valid=false).
تا وقتی ۳ فریم کامل و پایدار نیامده، داده نامعتبر می‌ماند.
بعد از فریم سوم، داده معتبر می‌شود (valid=true) و همهٔ مقدارها تازه می‌شوند: میلی‌ولت، میلی‌آمپر و حاضر بودن ورودی (input_present).</t>
        </is>
      </c>
    </row>
    <row r="9" ht="13" customHeight="1">
      <c r="A9" s="90" t="inlineStr">
        <is>
          <t>اگر فریمی ناقص یا ناپایدار باشد، داده نامعتبر می‌شود و شمارش ۳ فریم از نو شروع می‌شود.
قطع‌شدن ورودی ۲۴ ولت به‌تنهایی نباید دادهٔ ADC را نامعتبر کند.</t>
        </is>
      </c>
    </row>
    <row r="10" ht="13" customHeight="1">
      <c r="A10" s="92" t="inlineStr">
        <is>
          <t>کالیبراسیون از فایل bsp_measurement.c:
ولتاژ مرجع: 3300 میلی‌ولت. بیشترین عدد ADC: 4095.
تقسیم ولتاژ ۲۴ ولت: مقاومت‌های 69200+6800 و 6800 اهم (ضریب حدود 11.176).
تقسیم ولتاژ ۱۲ ولت: مقاومت‌های 34200+6800 و 6800 اهم (ضریب حدود 6.029).
مقاومت شانت: 10 میلی‌اهم. گین: 101.</t>
        </is>
      </c>
    </row>
    <row r="11" ht="13" customHeight="1">
      <c r="A11" s="90" t="inlineStr">
        <is>
          <t>فرمول‌ها:
تبدیل عدد ADC به میلی‌ولت روی پایه: عدد × 3300 ÷ 4095.
ولتاژ ۲۴ ولت: میلی‌ولت پایه × 76000 ÷ 6800.
ولتاژ ۱۲ ولت: میلی‌ولت پایه × 41000 ÷ 6800.
جریان (میلی‌آمپر): عدد × 3300 × 1000 ÷ (4095 × 101 × 10).</t>
        </is>
      </c>
    </row>
    <row r="12" ht="13" customHeight="1">
      <c r="A12" s="90" t="inlineStr">
        <is>
          <t>زمان‌ها و عددهای واقعی از کد:
دورهٔ اندازه‌گیری: 10 میلی‌ثانیه (MEASUREMENT_PERIOD_MS).
برای معتبر شدن: 3 فریم (MEASUREMENT_WARMUP_FRAME_COUNT).
DMA دو فریم ۵ کاناله می‌خواند (2×5).
پایداری فریم با شمارندهٔ DMA (CNDTR) قبل و بعد چک می‌شود.
عکس لحظه‌ای با قفل سیستم (osKernelLock) یکجا خوانده می‌شود.</t>
        </is>
      </c>
    </row>
    <row r="13" ht="18" customHeight="1">
      <c r="A13" s="144" t="inlineStr">
        <is>
          <t>روش اجرای تست</t>
        </is>
      </c>
    </row>
    <row r="14" ht="13" customHeight="1">
      <c r="A14" s="90" t="inlineStr">
        <is>
          <t>۱) برد را با منبع آزمایشگاهی روشن کن.
هر ۵ کانال ADC (PA1 و PA2 و PA3 و PA5 و PA7) را با ولتاژ دقیق و منبع جریان کالیبره‌شده بده.
پایهٔ PB4 را برای «حاضر بودن ورودی» کنترل کن.</t>
        </is>
      </c>
    </row>
    <row r="15" ht="13" customHeight="1">
      <c r="A15" s="90" t="inlineStr">
        <is>
          <t>۲) برنامه با نسخهٔ c6b084f را فلش کن.
در «تأیید نهایی» این‌ها را بنویس: نسخهٔ برنامه، شناسهٔ برد و ابزار (مولتی‌متر، اسکوپ و منبع دقیق).</t>
        </is>
      </c>
    </row>
    <row r="16" ht="13" customHeight="1">
      <c r="A16" s="90" t="inlineStr">
        <is>
          <t>۳) تست گرم‌شدن (warmup): بعد از روشن‌شدن، فریم‌ها را بشمار (با func__BspAdc_GetRaw یا Live Watch) و ببین داده کی معتبر می‌شود.</t>
        </is>
      </c>
    </row>
    <row r="17" ht="13" customHeight="1">
      <c r="A17" s="90" t="inlineStr">
        <is>
          <t>۴) تست ولتاژ و جریان: هر کانال را با عدد (counts) معلوم بده.
مقدار میلی‌ولت و میلی‌آمپر را با فرمول BSP حساب کن و با عدد خوانده‌شده مقایسه کن.
تلرانس: روی پایه ±1 پله (LSB) یعنی حدود ±0.8 میلی‌ولت؛ برای ولتاژ ۲۴ ولت حدود ±9 میلی‌ولت؛ برای ولتاژ ۱۲ ولت حدود ±4.8 میلی‌ولت؛ برای جریان حدود ±0.8 میلی‌آمپر.</t>
        </is>
      </c>
    </row>
    <row r="18" ht="13" customHeight="1">
      <c r="A18" s="90" t="inlineStr">
        <is>
          <t>۵) تست DMA: دو فریم پشت سر هم را چک کن.
شمارندهٔ DMA (CNDTR) باید پایدار باشد و هر فریم ۵ نمونه کامل و بدون پارگی کپی شود. (وقفه موقع کپی خاموش است و شمارنده قبل و بعد چک می‌شود.)</t>
        </is>
      </c>
    </row>
    <row r="19" ht="13" customHeight="1">
      <c r="A19" s="90" t="inlineStr">
        <is>
          <t>۶) تست عکس لحظه‌ای: وقتی برنامه در حال کار است، از دو تسک هم‌زمان عکس لحظه‌ای بخوان.
نباید نصفه‌نیمه باشد؛ یا همه‌اش قدیمی است یا همه‌اش تازه. (قفل سیستم osKernelLock همین را تضمین می‌کند.)</t>
        </is>
      </c>
    </row>
    <row r="20">
      <c r="A20" s="145" t="inlineStr">
        <is>
          <t>تاریخچه نسخه</t>
        </is>
      </c>
    </row>
    <row r="21">
      <c r="A21" s="146" t="inlineStr">
        <is>
          <t>تاریخ</t>
        </is>
      </c>
      <c r="B21" s="146" t="inlineStr">
        <is>
          <t>نسخه</t>
        </is>
      </c>
      <c r="C21" s="146" t="inlineStr">
        <is>
          <t>شرح تغییر</t>
        </is>
      </c>
      <c r="D21" s="146" t="inlineStr">
        <is>
          <t>نسخهٔ برنامه</t>
        </is>
      </c>
      <c r="E21" s="147"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این فایل جدا برای Measurement ساخته شد. ۲۱ تست دارد. فرمول‌ها و تلرانس‌ها از فایل bsp_measurement.c گرفته شده‌اند. دورهٔ اندازه‌گیری 10 میلی‌ثانیه است و برای معتبر شدن 3 فریم لازم است.</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4"/>
    <row r="25">
      <c r="A25" s="13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42" t="inlineStr">
        <is>
          <t>برنامه تست عملی — ماژول Measurement</t>
        </is>
      </c>
      <c r="Q1" s="85" t="n"/>
    </row>
    <row r="2" ht="30" customHeight="1">
      <c r="A2" s="101" t="inlineStr">
        <is>
          <t>هر ردیف را با DMM/اسکوپ و محاسبه از فرمول BSP اندازه بگیر؛ مقدار حدسی ننویس. valid باید دقیقاً پس از ۳ فریم true شود.</t>
        </is>
      </c>
      <c r="Q2" s="85" t="n"/>
    </row>
    <row r="3" ht="32" customHeight="1">
      <c r="A3" s="102" t="inlineStr">
        <is>
          <t>فرمول‌ها و tolerance از bsp_measurement.c واقعی است؛ PASS/FAIL با tolerance ±1 LSB + 1% مقاومت تعریف شده است.</t>
        </is>
      </c>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چه چیزی باید ببینید تا بگویید درست است</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54" customHeight="1">
      <c r="A5" s="103" t="inlineStr">
        <is>
          <t>MS-001</t>
        </is>
      </c>
      <c r="B5" s="111" t="inlineStr">
        <is>
          <t>Init</t>
        </is>
      </c>
      <c r="C5" s="112" t="inlineStr">
        <is>
          <t>بالا</t>
        </is>
      </c>
      <c r="D5" s="111" t="inlineStr">
        <is>
          <t>دستگاه خاموش؛ باتری و برق شهر وصل؛ مولتی‌متر دستی آماده</t>
        </is>
      </c>
      <c r="E5" s="111" t="inlineStr">
        <is>
          <t>گام ۱: دستگاه را روشن کن.
گام ۲: عدد ولتاژ باتری و ورودی را در پنل بخوان.
گام ۳: همان لحظه با مولتی‌متر روی ترمینال‌ها اندازه بگیر.</t>
        </is>
      </c>
      <c r="F5" s="113" t="inlineStr">
        <is>
          <t>روشن‌کردن ساده</t>
        </is>
      </c>
      <c r="G5" s="113" t="inlineStr">
        <is>
          <t>دو دقیقه</t>
        </is>
      </c>
      <c r="H5" s="111" t="inlineStr">
        <is>
          <t>عددهای پنل زنده‌اند و با مولتی‌متر دستی می‌خوانند (اختلاف در حد چند صدم ولت)</t>
        </is>
      </c>
      <c r="I5" s="111" t="inlineStr">
        <is>
          <t>باید ببینید: عددهای پنل زنده‌اند و با مولتی‌متر دستی می‌خوانند (اختلاف در حد چند صدم ولت). اگر عدد ثابت بود یا اختلاف زیاد داشت، قبول نیست.</t>
        </is>
      </c>
      <c r="J5" s="111" t="n"/>
      <c r="K5" s="108" t="inlineStr">
        <is>
          <t>در انتظار</t>
        </is>
      </c>
      <c r="L5" s="109" t="n"/>
      <c r="M5" s="104" t="n"/>
      <c r="N5" s="111" t="inlineStr">
        <is>
          <t>c6b084f28f2c507cfd342e5dbd0dbd8e45686772</t>
        </is>
      </c>
      <c r="O5" s="106" t="n"/>
      <c r="P5" s="113">
        <f>IF(OR(K5="",K5="در انتظار"),"",IF(P5="",TODAY(),P5))</f>
        <v/>
      </c>
      <c r="Q5" s="110" t="n"/>
    </row>
    <row r="6" ht="54" customHeight="1">
      <c r="A6" s="103" t="inlineStr">
        <is>
          <t>MS-013</t>
        </is>
      </c>
      <c r="B6" s="148" t="inlineStr">
        <is>
          <t>بررسی input_present / High</t>
        </is>
      </c>
      <c r="C6" s="149" t="inlineStr">
        <is>
          <t>متوسط</t>
        </is>
      </c>
      <c r="D6" s="148" t="inlineStr">
        <is>
          <t>دستگاه روی باتری روشن است و برق شهر قطع است</t>
        </is>
      </c>
      <c r="E6" s="148" t="inlineStr">
        <is>
          <t>گام ۱: برق شهر را وصل کن.
گام ۲: در پنل ببین ورودی «حاضر» می‌شود و عددش را با مولتی‌متر چک کن.</t>
        </is>
      </c>
      <c r="F6" s="150" t="inlineStr">
        <is>
          <t>وصل‌کردن برق شهر</t>
        </is>
      </c>
      <c r="G6" s="150" t="inlineStr">
        <is>
          <t>دو دقیقه</t>
        </is>
      </c>
      <c r="H6" s="148" t="inlineStr">
        <is>
          <t>پنل ورودی را حاضر و با ولتاژ درست نشان می‌دهد</t>
        </is>
      </c>
      <c r="I6" s="148" t="inlineStr">
        <is>
          <t>باید ببینید: پنل ورودی را حاضر و با ولتاژ درست نشان می‌دهد. اگر هنوز قطع نشان داد، قبول نیست.</t>
        </is>
      </c>
      <c r="J6" s="111" t="n"/>
      <c r="K6" s="108" t="inlineStr">
        <is>
          <t>در انتظار</t>
        </is>
      </c>
      <c r="L6" s="109" t="n"/>
      <c r="M6" s="104" t="n"/>
      <c r="N6" s="148" t="inlineStr">
        <is>
          <t>c6b084f28f2c507cfd342e5dbd0dbd8e45686772</t>
        </is>
      </c>
      <c r="O6" s="106" t="n"/>
      <c r="P6" s="150">
        <f>IF(OR(K6="",K6="در انتظار"),"",IF(P6="",TODAY(),P6))</f>
        <v/>
      </c>
      <c r="Q6" s="110" t="n"/>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row>
    <row r="8" ht="54" customHeight="1">
      <c r="A8" s="103" t="inlineStr">
        <is>
          <t>MS-023</t>
        </is>
      </c>
      <c r="B8" s="148" t="inlineStr">
        <is>
          <t>عملکرد واقعی اندازه‌گیری</t>
        </is>
      </c>
      <c r="C8" s="150" t="inlineStr">
        <is>
          <t>متوسط</t>
        </is>
      </c>
      <c r="D8" s="148" t="inlineStr">
        <is>
          <t>منبع دقیق آزمایشگاهی و مولتی‌متر</t>
        </is>
      </c>
      <c r="E8" s="148"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48" t="inlineStr">
        <is>
          <t>ورودی و باتری 24 ولت</t>
        </is>
      </c>
      <c r="G8" s="150" t="inlineStr">
        <is>
          <t>یک دقیقه</t>
        </is>
      </c>
      <c r="H8" s="148" t="inlineStr">
        <is>
          <t>عددهای پنل نزدیک مقدار واقعی مولتی‌متر</t>
        </is>
      </c>
      <c r="I8" s="148" t="inlineStr">
        <is>
          <t>باید ببینید: عددهای پنل نزدیک مقدار واقعی مولتی‌مترند. اگر دور بودند، قبول نیست.</t>
        </is>
      </c>
      <c r="J8" s="148" t="inlineStr">
        <is>
          <t>اختلاف پنل با مولتی‌متر کم و منطقی باشد</t>
        </is>
      </c>
      <c r="K8" s="104" t="n"/>
      <c r="L8" s="117" t="inlineStr">
        <is>
          <t>در انتظار</t>
        </is>
      </c>
      <c r="M8" s="104" t="n"/>
      <c r="N8" s="104" t="n"/>
      <c r="O8" s="106" t="n"/>
      <c r="P8" s="150">
        <f>IF(OR(K8="",K8="در انتظار"),"",IF(P8="",TODAY(),P8))</f>
        <v/>
      </c>
      <c r="Q8" s="110" t="n"/>
    </row>
    <row r="9" ht="54" customHeight="1">
      <c r="A9" s="103" t="inlineStr">
        <is>
          <t>MS-021</t>
        </is>
      </c>
      <c r="B9" s="111" t="inlineStr">
        <is>
          <t>کالیبراسیون برد / tolerance</t>
        </is>
      </c>
      <c r="C9" s="113" t="inlineStr">
        <is>
          <t>متوسط</t>
        </is>
      </c>
      <c r="D9" s="111" t="inlineStr">
        <is>
          <t>مولتی‌متر مرجع مطمئن و پنل در حالت کالیبراسیون</t>
        </is>
      </c>
      <c r="E9" s="111" t="inlineStr">
        <is>
          <t>گام ۱: طبق راهنمای پنل، در یک ولتاژ پایین و یک ولتاژ بالا عدد دستگاه را با مولتی‌متر یکی کن.
گام ۲: در یک ولتاژ میانی هر دو را مقایسه کن.</t>
        </is>
      </c>
      <c r="F9" s="113" t="inlineStr">
        <is>
          <t>کالیبراسیون دو نقطه و چک میانی</t>
        </is>
      </c>
      <c r="G9" s="113" t="inlineStr">
        <is>
          <t>ربع ساعت</t>
        </is>
      </c>
      <c r="H9" s="111" t="inlineStr">
        <is>
          <t>بعد از کالیبراسیون، عدد پنل در نقطهٔ میانی هم با مولتی‌متر می‌خواند</t>
        </is>
      </c>
      <c r="I9" s="111" t="inlineStr">
        <is>
          <t>باید ببینید: بعد از کالیبراسیون عدد پنل در نقطهٔ میانی هم با مولتی‌متر می‌خواند. اگر اختلاف محسوس داشت، قبول نیست.</t>
        </is>
      </c>
      <c r="J9" s="111" t="n"/>
      <c r="K9" s="108" t="inlineStr">
        <is>
          <t>در انتظار</t>
        </is>
      </c>
      <c r="L9" s="109" t="n"/>
      <c r="M9" s="104" t="n"/>
      <c r="N9" s="111" t="inlineStr">
        <is>
          <t>c6b084f28f2c507cfd342e5dbd0dbd8e45686772</t>
        </is>
      </c>
      <c r="O9" s="106" t="n"/>
      <c r="P9" s="113">
        <f>IF(OR(K9="",K9="در انتظار"),"",IF(P9="",TODAY(),P9))</f>
        <v/>
      </c>
      <c r="Q9" s="110" t="n"/>
    </row>
    <row r="10" ht="54" customHeight="1">
      <c r="A10" s="103" t="inlineStr">
        <is>
          <t>MS-024</t>
        </is>
      </c>
      <c r="B10" s="148" t="inlineStr">
        <is>
          <t>عملکرد واقعی اندازه‌گیری</t>
        </is>
      </c>
      <c r="C10" s="150" t="inlineStr">
        <is>
          <t>متوسط</t>
        </is>
      </c>
      <c r="D10" s="148" t="inlineStr">
        <is>
          <t>دستگاه روشن و پنل عددها را نشان می‌دهد</t>
        </is>
      </c>
      <c r="E10" s="148"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48" t="inlineStr">
        <is>
          <t>قطع کامل ورودی</t>
        </is>
      </c>
      <c r="G10" s="150" t="inlineStr">
        <is>
          <t>چند ثانیه</t>
        </is>
      </c>
      <c r="H10" s="148" t="inlineStr">
        <is>
          <t>ورودی صفر، بقیهٔ اندازه‌گیری‌ها سالم</t>
        </is>
      </c>
      <c r="I10" s="148" t="inlineStr">
        <is>
          <t>باید ببینید: با ورودی صفر، بقیهٔ اندازه‌گیری‌ها سالم و عادی‌اند. اگر بقیه هم خراب شدند، قبول نیست.</t>
        </is>
      </c>
      <c r="J10" s="148" t="inlineStr">
        <is>
          <t>فقط ورودی صفر شود و دستگاه عادی بماند</t>
        </is>
      </c>
      <c r="K10" s="111" t="n"/>
      <c r="L10" s="117" t="inlineStr">
        <is>
          <t>در انتظار</t>
        </is>
      </c>
      <c r="M10" s="111" t="n"/>
      <c r="N10" s="111" t="n"/>
      <c r="O10" s="113" t="n"/>
      <c r="P10" s="150">
        <f>IF(OR(K10="",K10="در انتظار"),"",IF(P10="",TODAY(),P10))</f>
        <v/>
      </c>
      <c r="Q10" s="115" t="n"/>
    </row>
    <row r="11" ht="54" customHeight="1">
      <c r="A11" s="103" t="inlineStr">
        <is>
          <t>MS-025</t>
        </is>
      </c>
      <c r="B11" s="111" t="inlineStr">
        <is>
          <t>عملکرد واقعی اندازه‌گیری</t>
        </is>
      </c>
      <c r="C11" s="113" t="inlineStr">
        <is>
          <t>متوسط</t>
        </is>
      </c>
      <c r="D11" s="111" t="inlineStr">
        <is>
          <t>بار معلوم و مولتی‌متر سری</t>
        </is>
      </c>
      <c r="E11" s="111"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11" t="inlineStr">
        <is>
          <t>بار حدود 500 میلی‌آمپر</t>
        </is>
      </c>
      <c r="G11" s="113" t="inlineStr">
        <is>
          <t>یک دقیقه</t>
        </is>
      </c>
      <c r="H11" s="111" t="inlineStr">
        <is>
          <t>جریان پنل نزدیک جریان واقعی</t>
        </is>
      </c>
      <c r="I11" s="111" t="inlineStr">
        <is>
          <t>باید ببینید: جریان پنل نزدیک جریان واقعی است. اگر دور بود، قبول نیست.</t>
        </is>
      </c>
      <c r="J11" s="111" t="inlineStr">
        <is>
          <t>اختلاف جریان پنل با مولتی‌متر کم باشد</t>
        </is>
      </c>
      <c r="K11" s="104" t="n"/>
      <c r="L11" s="117" t="inlineStr">
        <is>
          <t>در انتظار</t>
        </is>
      </c>
      <c r="M11" s="104" t="n"/>
      <c r="N11" s="104" t="n"/>
      <c r="O11" s="106" t="n"/>
      <c r="P11" s="113">
        <f>IF(OR(K11="",K11="در انتظار"),"",IF(P11="",TODAY(),P11))</f>
        <v/>
      </c>
      <c r="Q11" s="110" t="n"/>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3">
    <mergeCell ref="A1:P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48" t="inlineStr">
        <is>
          <t>Warmup / فریم دوم</t>
        </is>
      </c>
      <c r="C6" s="149" t="inlineStr">
        <is>
          <t>بالا</t>
        </is>
      </c>
      <c r="D6" s="152" t="inlineStr">
        <is>
          <t>پس از MS-002</t>
        </is>
      </c>
      <c r="E6" s="152"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50" t="inlineStr">
        <is>
          <t>فریم 2 کامل, counts 2482</t>
        </is>
      </c>
      <c r="G6" s="150" t="inlineStr">
        <is>
          <t>10ms</t>
        </is>
      </c>
      <c r="H6" s="148" t="inlineStr">
        <is>
          <t>valid همچنان false، counter=2. PASS: still false. FAIL: true.</t>
        </is>
      </c>
      <c r="I6" s="148" t="inlineStr">
        <is>
          <t>PASS: فریم2 still false. FAIL: true.</t>
        </is>
      </c>
      <c r="J6" s="111" t="n"/>
      <c r="K6" s="108" t="inlineStr">
        <is>
          <t>در انتظار</t>
        </is>
      </c>
      <c r="L6" s="109" t="n"/>
      <c r="M6" s="104" t="n"/>
      <c r="N6" s="148" t="inlineStr">
        <is>
          <t>c6b084f28f2c507cfd342e5dbd0dbd8e45686772</t>
        </is>
      </c>
      <c r="O6" s="106" t="n"/>
      <c r="P6" s="106" t="n"/>
      <c r="Q6" s="153">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است: دو فریم داده‌ای آمده و warmup=2 شده است.
گام ۲: فریم سوم کامل را اعمال کن: کانال‌های ولتاژ counts برابر 2482 (یعنی 2 ولت روی پایه) و کانال‌های جریان counts برابر 610 (یعنی 0.49 ولت روی پایه).
گام ۳: یک Run بزن.
گام ۴: حالا باید valid=true شود و همهٔ globals به‌روز باشند.
V24 حدود 22352 میلی‌ولت است. V12 حدود 12058 میلی‌ولت است. جریان حدود 486 میلی‌آمپر است. input_present هم مطابق وضعیت PB4 است.
گام ۵: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48" t="inlineStr">
        <is>
          <t>Warmup / فریم ناقص</t>
        </is>
      </c>
      <c r="C8" s="149" t="inlineStr">
        <is>
          <t>بالا</t>
        </is>
      </c>
      <c r="D8" s="148" t="inlineStr">
        <is>
          <t>پس از valid=true</t>
        </is>
      </c>
      <c r="E8" s="152"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50" t="inlineStr">
        <is>
          <t>فریم ناقص/ناپایدار (GetRaw false)</t>
        </is>
      </c>
      <c r="G8" s="150" t="inlineStr">
        <is>
          <t>10ms</t>
        </is>
      </c>
      <c r="H8" s="148" t="inlineStr">
        <is>
          <t>valid=false فوری، warmupCounter reset به 0، snapshot.valid false. PASS: invalid و reset. FAIL: همچنان true.</t>
        </is>
      </c>
      <c r="I8" s="148" t="inlineStr">
        <is>
          <t>PASS: unstable → invalid+reset. FAIL: remains true.</t>
        </is>
      </c>
      <c r="J8" s="111" t="n"/>
      <c r="K8" s="108" t="inlineStr">
        <is>
          <t>در انتظار</t>
        </is>
      </c>
      <c r="L8" s="109" t="n"/>
      <c r="M8" s="104" t="n"/>
      <c r="N8" s="148" t="inlineStr">
        <is>
          <t>c6b084f28f2c507cfd342e5dbd0dbd8e45686772</t>
        </is>
      </c>
      <c r="O8" s="106" t="n"/>
      <c r="P8" s="106" t="n"/>
      <c r="Q8" s="153">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48" t="inlineStr">
        <is>
          <t>ورودی 24V قطع</t>
        </is>
      </c>
      <c r="C10" s="150" t="inlineStr">
        <is>
          <t>متوسط</t>
        </is>
      </c>
      <c r="D10" s="148" t="inlineStr">
        <is>
          <t>valid=true با Vin=0</t>
        </is>
      </c>
      <c r="E10" s="148"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50" t="inlineStr">
        <is>
          <t>v_in 0V (counts 0), سایر 2V</t>
        </is>
      </c>
      <c r="G10" s="150" t="inlineStr">
        <is>
          <t>10ms</t>
        </is>
      </c>
      <c r="H10" s="148" t="inlineStr">
        <is>
          <t>valid همچنان true (قطع ورودی ADC را invalid نمی‌کند)، v_in_mv≈0، سایر مقادیر به‌روز. PASS: valid true با Vin صفر. FAIL: valid false.</t>
        </is>
      </c>
      <c r="I10" s="148" t="inlineStr">
        <is>
          <t>PASS: Vin zero still valid. FAIL: invalid.</t>
        </is>
      </c>
      <c r="J10" s="111" t="n"/>
      <c r="K10" s="108" t="inlineStr">
        <is>
          <t>در انتظار</t>
        </is>
      </c>
      <c r="L10" s="109" t="n"/>
      <c r="M10" s="104" t="n"/>
      <c r="N10" s="148" t="inlineStr">
        <is>
          <t>c6b084f28f2c507cfd342e5dbd0dbd8e45686772</t>
        </is>
      </c>
      <c r="O10" s="106" t="n"/>
      <c r="P10" s="106" t="n"/>
      <c r="Q10" s="153">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گام ۵: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48" t="inlineStr">
        <is>
          <t>بررسی v_bat24_mv</t>
        </is>
      </c>
      <c r="C12" s="149" t="inlineStr">
        <is>
          <t>بالا</t>
        </is>
      </c>
      <c r="D12" s="148" t="inlineStr">
        <is>
          <t>valid=true</t>
        </is>
      </c>
      <c r="E12" s="148"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50" t="inlineStr">
        <is>
          <t>counts 2482</t>
        </is>
      </c>
      <c r="G12" s="150" t="inlineStr">
        <is>
          <t>10ms</t>
        </is>
      </c>
      <c r="H12" s="148" t="inlineStr">
        <is>
          <t>v_bat24_mv≈22352mV ±9mV. PASS. FAIL: خطا.</t>
        </is>
      </c>
      <c r="I12" s="148" t="inlineStr">
        <is>
          <t>PASS: مطابق فرمول V24. FAIL: خطا.</t>
        </is>
      </c>
      <c r="J12" s="111" t="n"/>
      <c r="K12" s="108" t="inlineStr">
        <is>
          <t>در انتظار</t>
        </is>
      </c>
      <c r="L12" s="109" t="n"/>
      <c r="M12" s="104" t="n"/>
      <c r="N12" s="148" t="inlineStr">
        <is>
          <t>c6b084f28f2c507cfd342e5dbd0dbd8e45686772</t>
        </is>
      </c>
      <c r="O12" s="106" t="n"/>
      <c r="P12" s="106" t="n"/>
      <c r="Q12" s="153">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48" t="inlineStr">
        <is>
          <t>بررسی current1</t>
        </is>
      </c>
      <c r="C14" s="149" t="inlineStr">
        <is>
          <t>بالا</t>
        </is>
      </c>
      <c r="D14" s="148" t="inlineStr">
        <is>
          <t>valid=true</t>
        </is>
      </c>
      <c r="E14" s="148"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50" t="inlineStr">
        <is>
          <t>counts 610 (0.49V)</t>
        </is>
      </c>
      <c r="G14" s="150" t="inlineStr">
        <is>
          <t>10ms</t>
        </is>
      </c>
      <c r="H14" s="148" t="inlineStr">
        <is>
          <t>i_ch1≈ counts*3300*1000/(4095*101*10) ≈ 486mA ±1mA. PASS. FAIL: خطا.</t>
        </is>
      </c>
      <c r="I14" s="148" t="inlineStr">
        <is>
          <t>PASS: مطابق فرمول جریان. FAIL: خطا.</t>
        </is>
      </c>
      <c r="J14" s="111" t="n"/>
      <c r="K14" s="108" t="inlineStr">
        <is>
          <t>در انتظار</t>
        </is>
      </c>
      <c r="L14" s="109" t="n"/>
      <c r="M14" s="104" t="n"/>
      <c r="N14" s="148" t="inlineStr">
        <is>
          <t>c6b084f28f2c507cfd342e5dbd0dbd8e45686772</t>
        </is>
      </c>
      <c r="O14" s="106" t="n"/>
      <c r="P14" s="106" t="n"/>
      <c r="Q14" s="153">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48" t="inlineStr">
        <is>
          <t>دوره 10ms تسک Measurement</t>
        </is>
      </c>
      <c r="C16" s="149" t="inlineStr">
        <is>
          <t>بالا</t>
        </is>
      </c>
      <c r="D16" s="148" t="inlineStr">
        <is>
          <t>valid=true</t>
        </is>
      </c>
      <c r="E16" s="148"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50" t="inlineStr">
        <is>
          <t>—</t>
        </is>
      </c>
      <c r="G16" s="150" t="inlineStr">
        <is>
          <t>1s</t>
        </is>
      </c>
      <c r="H16" s="148" t="inlineStr">
        <is>
          <t>فاصله بین Runها باید 10ms ±1ms (MEASUREMENT_PERIOD_MS) با osDelayUntil. PASS: 10ms period. FAIL: 5ms یا 20ms.</t>
        </is>
      </c>
      <c r="I16" s="148" t="inlineStr">
        <is>
          <t>PASS: 10ms period. FAIL: otherwise.</t>
        </is>
      </c>
      <c r="J16" s="111" t="n"/>
      <c r="K16" s="108" t="inlineStr">
        <is>
          <t>در انتظار</t>
        </is>
      </c>
      <c r="L16" s="109" t="n"/>
      <c r="M16" s="104" t="n"/>
      <c r="N16" s="148" t="inlineStr">
        <is>
          <t>c6b084f28f2c507cfd342e5dbd0dbd8e45686772</t>
        </is>
      </c>
      <c r="O16" s="106" t="n"/>
      <c r="P16" s="106" t="n"/>
      <c r="Q16" s="153">
        <f>IF(OR(L16="",L16="در انتظار"),"",IF(Q16="",TODAY(),Q16))</f>
        <v/>
      </c>
    </row>
    <row r="17" ht="54" customHeight="1">
      <c r="A17" s="103" t="inlineStr">
        <is>
          <t>MS-019</t>
        </is>
      </c>
      <c r="B17" s="111" t="inlineStr">
        <is>
          <t>تطبیق فرمول و کالیبراسیون / صفر</t>
        </is>
      </c>
      <c r="C17" s="112" t="inlineStr">
        <is>
          <t>بالا</t>
        </is>
      </c>
      <c r="D17" s="111" t="inlineStr">
        <is>
          <t>valid=true</t>
        </is>
      </c>
      <c r="E17" s="111"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13" t="inlineStr">
        <is>
          <t>counts 0</t>
        </is>
      </c>
      <c r="G17" s="113" t="inlineStr">
        <is>
          <t>10ms</t>
        </is>
      </c>
      <c r="H17" s="111" t="inlineStr">
        <is>
          <t>همه 0mV/mA. PASS: 0. FAIL: non-zero.</t>
        </is>
      </c>
      <c r="I17" s="111" t="inlineStr">
        <is>
          <t>PASS: zero. FAIL: non-zero.</t>
        </is>
      </c>
      <c r="J17" s="111" t="n"/>
      <c r="K17" s="108" t="inlineStr">
        <is>
          <t>در انتظار</t>
        </is>
      </c>
      <c r="L17" s="109" t="n"/>
      <c r="M17" s="104" t="n"/>
      <c r="N17" s="111" t="inlineStr">
        <is>
          <t>c6b084f28f2c507cfd342e5dbd0dbd8e45686772</t>
        </is>
      </c>
      <c r="O17" s="106" t="n"/>
      <c r="P17" s="106" t="n"/>
      <c r="Q17" s="115">
        <f>IF(OR(L17="",L17="در انتظار"),"",IF(Q17="",TODAY(),Q17))</f>
        <v/>
      </c>
    </row>
    <row r="18" ht="54" customHeight="1">
      <c r="A18" s="103" t="inlineStr">
        <is>
          <t>MS-020</t>
        </is>
      </c>
      <c r="B18" s="148" t="inlineStr">
        <is>
          <t>تطبیق فرمول / فول</t>
        </is>
      </c>
      <c r="C18" s="149" t="inlineStr">
        <is>
          <t>بالا</t>
        </is>
      </c>
      <c r="D18" s="148" t="inlineStr">
        <is>
          <t>valid=true</t>
        </is>
      </c>
      <c r="E18" s="148" t="inlineStr">
        <is>
          <t>گام ۱: از valid=true شروع کن.
گام ۲: روی همهٔ کانال‌ها counts=4095 بده (فول‌اسکیل).
گام ۳: با دست حساب کن: ولتاژ پایه 3300 میلی‌ولت می‌شود. V24 می‌شود 3300 ضربدر 76000 تقسیم بر 6800، یعنی حدود 36882 میلی‌ولت. V12 حدود 19897 میلی‌ولت می‌شود. جریان هم 3300 ضربدر 1000 تقسیم بر (101 ضربدر 10)، یعنی حدود 3267 میلی‌آمپر.
گام ۴: هر سه مقدار خوانده‌شده را با همین حساب‌ها مقایسه کن. باید در تلرانس مجاز همان‌ها باشند.</t>
        </is>
      </c>
      <c r="F18" s="150" t="inlineStr">
        <is>
          <t>counts 4095 (فول)</t>
        </is>
      </c>
      <c r="G18" s="150" t="inlineStr">
        <is>
          <t>10ms</t>
        </is>
      </c>
      <c r="H18" s="148" t="inlineStr">
        <is>
          <t>V24≈36882mV، V12≈19897mV، Current≈3267mA ±tolerance (V12 با 41000/6800). PASS: فول مطابق فرمول. FAIL: خطا.</t>
        </is>
      </c>
      <c r="I18" s="148" t="inlineStr">
        <is>
          <t>PASS: فول 36882/19897/3267. FAIL: خطا.</t>
        </is>
      </c>
      <c r="J18" s="111" t="n"/>
      <c r="K18" s="148" t="inlineStr">
        <is>
          <t>در انتظار</t>
        </is>
      </c>
      <c r="L18" s="114" t="n"/>
      <c r="M18" s="111" t="n"/>
      <c r="N18" s="148" t="inlineStr">
        <is>
          <t>c6b084f28f2c507cfd342e5dbd0dbd8e45686772</t>
        </is>
      </c>
      <c r="O18" s="113" t="n"/>
      <c r="P18" s="113" t="n"/>
      <c r="Q18" s="153">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40.5" customHeight="1">
      <c r="A5" s="103" t="inlineStr">
        <is>
          <t>MS-015</t>
        </is>
      </c>
      <c r="B5" s="111" t="inlineStr">
        <is>
          <t>NULL در GetSnapshot</t>
        </is>
      </c>
      <c r="C5" s="112" t="inlineStr">
        <is>
          <t>بالا</t>
        </is>
      </c>
      <c r="D5" s="111" t="inlineStr">
        <is>
          <t>هر زمان</t>
        </is>
      </c>
      <c r="E5" s="111"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گام ۴: کرش یا true برگشتن یعنی رد تست.</t>
        </is>
      </c>
      <c r="F5" s="113" t="inlineStr">
        <is>
          <t>NULL pointer</t>
        </is>
      </c>
      <c r="G5" s="113" t="inlineStr">
        <is>
          <t>100ms</t>
        </is>
      </c>
      <c r="H5" s="111" t="inlineStr">
        <is>
          <t>return false، بدون کرش، snapshot تغییر نکند. PASS: false. FAIL: کرش یا true.</t>
        </is>
      </c>
      <c r="I5" s="111" t="inlineStr">
        <is>
          <t>PASS: NULL → false. FAIL: true/crash.</t>
        </is>
      </c>
      <c r="J5" s="111" t="n"/>
      <c r="K5" s="108" t="inlineStr">
        <is>
          <t>در انتظار</t>
        </is>
      </c>
      <c r="L5" s="109" t="n"/>
      <c r="M5" s="104" t="n"/>
      <c r="N5" s="111" t="inlineStr">
        <is>
          <t>c6b084f28f2c507cfd342e5dbd0dbd8e45686772</t>
        </is>
      </c>
      <c r="O5" s="106" t="n"/>
      <c r="P5" s="106" t="n"/>
      <c r="Q5" s="115">
        <f>IF(OR(L5="",L5="در انتظار"),"",IF(Q5="",TODAY(),Q5))</f>
        <v/>
      </c>
    </row>
    <row r="6" ht="54" customHeight="1">
      <c r="A6" s="103" t="inlineStr">
        <is>
          <t>MS-016</t>
        </is>
      </c>
      <c r="B6" s="148" t="inlineStr">
        <is>
          <t>Snapshot چندفیلدی اتمیک</t>
        </is>
      </c>
      <c r="C6" s="149" t="inlineStr">
        <is>
          <t>بالا</t>
        </is>
      </c>
      <c r="D6" s="148" t="inlineStr">
        <is>
          <t>valid=true</t>
        </is>
      </c>
      <c r="E6" s="148" t="inlineStr">
        <is>
          <t>گام ۱: از valid=true شروع کن و مقدارها را در حال تغییر نگه دار.
گام ۲: درست هنگام اجرای func__Measurement_Run، از دو تسک مختلف هم‌زمان GetSnapshot بخوان.
گام ۳: این خواندن هم‌زمان را 20 میلی‌ثانیه تکرار کن.
گام ۴: هر snapshot کپی‌شده باید یا کاملاً نسخهٔ قدیم باشد یا کاملاً نسخهٔ جدید؛ نه مخلوطی از هر دو. (این یکجایی با osKernelLock تضمین می‌شود.)
گام ۵: خواندن پاره‌پاره (torn) یعنی رد تست.</t>
        </is>
      </c>
      <c r="F6" s="150" t="inlineStr">
        <is>
          <t>concurrent read</t>
        </is>
      </c>
      <c r="G6" s="150" t="inlineStr">
        <is>
          <t>20ms</t>
        </is>
      </c>
      <c r="H6" s="148" t="inlineStr">
        <is>
          <t>هر دو snapshot کپی‌شده باید یا کامل قدیمی یا کامل جدید باشد، نه ترکیبی. با osKernelLock تضمین. PASS: atomic. FAIL: torn read.</t>
        </is>
      </c>
      <c r="I6" s="148" t="inlineStr">
        <is>
          <t>PASS: no torn data. FAIL: partial.</t>
        </is>
      </c>
      <c r="J6" s="111" t="n"/>
      <c r="K6" s="148" t="inlineStr">
        <is>
          <t>در انتظار</t>
        </is>
      </c>
      <c r="L6" s="114" t="n"/>
      <c r="M6" s="111" t="n"/>
      <c r="N6" s="148" t="inlineStr">
        <is>
          <t>c6b084f28f2c507cfd342e5dbd0dbd8e45686772</t>
        </is>
      </c>
      <c r="O6" s="113" t="n"/>
      <c r="P6" s="113" t="n"/>
      <c r="Q6" s="153">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48" t="inlineStr">
        <is>
          <t>snapshot zeroing مصرف‌کننده</t>
        </is>
      </c>
      <c r="C8" s="149" t="inlineStr">
        <is>
          <t>بالا</t>
        </is>
      </c>
      <c r="D8" s="148" t="inlineStr">
        <is>
          <t>Measurement خاموش</t>
        </is>
      </c>
      <c r="E8" s="148"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50" t="inlineStr">
        <is>
          <t>valid=false</t>
        </is>
      </c>
      <c r="G8" s="150" t="inlineStr">
        <is>
          <t>3s</t>
        </is>
      </c>
      <c r="H8" s="148" t="inlineStr">
        <is>
          <t>مصرف‌کننده‌ها (Changeover/Charger/Fault/Imbalance) بدون خواندن زباله safe-idle بمانند</t>
        </is>
      </c>
      <c r="I8" s="148" t="inlineStr">
        <is>
          <t>—</t>
        </is>
      </c>
      <c r="J8" s="148" t="inlineStr">
        <is>
          <t>بدون indeterminate struct</t>
        </is>
      </c>
      <c r="K8" s="111" t="n"/>
      <c r="L8" s="122" t="inlineStr">
        <is>
          <t>نیاز به تکرار</t>
        </is>
      </c>
      <c r="M8" s="111" t="n"/>
      <c r="N8" s="111" t="n"/>
      <c r="O8" s="150" t="inlineStr">
        <is>
          <t>62f3782</t>
        </is>
      </c>
      <c r="P8" s="113" t="n"/>
      <c r="Q8" s="153"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42"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146" t="inlineStr">
        <is>
          <t>موضوع</t>
        </is>
      </c>
      <c r="B3" s="146" t="inlineStr">
        <is>
          <t>شرط / مقدار (از کد)</t>
        </is>
      </c>
      <c r="C3" s="146" t="inlineStr">
        <is>
          <t>رفتار مورد انتظار</t>
        </is>
      </c>
      <c r="D3" s="146" t="inlineStr">
        <is>
          <t>ثابت / محل کد</t>
        </is>
      </c>
      <c r="E3" s="146" t="inlineStr">
        <is>
          <t>توضیح تکمیلی</t>
        </is>
      </c>
      <c r="F3" s="146"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42" t="inlineStr">
        <is>
          <t>ثبت ایرادهای مشاهده‌شده روی برد</t>
        </is>
      </c>
    </row>
    <row r="2" ht="30" customHeight="1">
      <c r="A2" s="143"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6" t="inlineStr">
        <is>
          <t>شماره ایراد</t>
        </is>
      </c>
      <c r="B3" s="146" t="inlineStr">
        <is>
          <t>شناسه تست</t>
        </is>
      </c>
      <c r="C3" s="146" t="inlineStr">
        <is>
          <t>تاریخ کشف</t>
        </is>
      </c>
      <c r="D3" s="146" t="inlineStr">
        <is>
          <t>شدت</t>
        </is>
      </c>
      <c r="E3" s="146" t="inlineStr">
        <is>
          <t>شرح کوتاه ایراد</t>
        </is>
      </c>
      <c r="F3" s="146" t="inlineStr">
        <is>
          <t>مراحل بازتولید</t>
        </is>
      </c>
      <c r="G3" s="146" t="inlineStr">
        <is>
          <t>انتظار</t>
        </is>
      </c>
      <c r="H3" s="146" t="inlineStr">
        <is>
          <t>واقعیت</t>
        </is>
      </c>
      <c r="I3" s="146" t="inlineStr">
        <is>
          <t>مدرک / مسیر عکس یا scope</t>
        </is>
      </c>
      <c r="J3" s="146" t="inlineStr">
        <is>
          <t>نسخهٔ برنامه</t>
        </is>
      </c>
      <c r="K3" s="146" t="inlineStr">
        <is>
          <t>محل احتمالی</t>
        </is>
      </c>
      <c r="L3" s="146" t="inlineStr">
        <is>
          <t>وضعیت ایراد</t>
        </is>
      </c>
      <c r="M3" s="146" t="inlineStr">
        <is>
          <t>تأیید رفع / توضیحات</t>
        </is>
      </c>
    </row>
    <row r="4" ht="14" customHeight="1">
      <c r="A4" s="154" t="inlineStr"/>
      <c r="B4" s="154" t="inlineStr"/>
      <c r="C4" s="154" t="inlineStr"/>
      <c r="D4" s="154" t="inlineStr"/>
      <c r="E4" s="154" t="inlineStr"/>
      <c r="F4" s="154" t="inlineStr"/>
      <c r="G4" s="154" t="inlineStr"/>
      <c r="H4" s="154" t="inlineStr"/>
      <c r="I4" s="154" t="inlineStr"/>
      <c r="J4" s="154" t="inlineStr"/>
      <c r="K4" s="154" t="inlineStr"/>
      <c r="L4" s="154" t="inlineStr"/>
      <c r="M4" s="154"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54" t="inlineStr"/>
      <c r="B6" s="154" t="inlineStr"/>
      <c r="C6" s="154" t="inlineStr"/>
      <c r="D6" s="154" t="inlineStr"/>
      <c r="E6" s="154" t="inlineStr"/>
      <c r="F6" s="154" t="inlineStr"/>
      <c r="G6" s="154" t="inlineStr"/>
      <c r="H6" s="154" t="inlineStr"/>
      <c r="I6" s="154" t="inlineStr"/>
      <c r="J6" s="154" t="inlineStr"/>
      <c r="K6" s="154" t="inlineStr"/>
      <c r="L6" s="154" t="inlineStr"/>
      <c r="M6" s="154"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54" t="inlineStr"/>
      <c r="B8" s="154" t="inlineStr"/>
      <c r="C8" s="154" t="inlineStr"/>
      <c r="D8" s="154" t="inlineStr"/>
      <c r="E8" s="154" t="inlineStr"/>
      <c r="F8" s="154" t="inlineStr"/>
      <c r="G8" s="154" t="inlineStr"/>
      <c r="H8" s="154" t="inlineStr"/>
      <c r="I8" s="154" t="inlineStr"/>
      <c r="J8" s="154" t="inlineStr"/>
      <c r="K8" s="154" t="inlineStr"/>
      <c r="L8" s="154" t="inlineStr"/>
      <c r="M8" s="154"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54" t="inlineStr"/>
      <c r="B10" s="154" t="inlineStr"/>
      <c r="C10" s="154" t="inlineStr"/>
      <c r="D10" s="154" t="inlineStr"/>
      <c r="E10" s="154" t="inlineStr"/>
      <c r="F10" s="154" t="inlineStr"/>
      <c r="G10" s="154" t="inlineStr"/>
      <c r="H10" s="154" t="inlineStr"/>
      <c r="I10" s="154" t="inlineStr"/>
      <c r="J10" s="154" t="inlineStr"/>
      <c r="K10" s="154" t="inlineStr"/>
      <c r="L10" s="154" t="inlineStr"/>
      <c r="M10" s="154"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54" t="inlineStr"/>
      <c r="B12" s="154" t="inlineStr"/>
      <c r="C12" s="154" t="inlineStr"/>
      <c r="D12" s="154" t="inlineStr"/>
      <c r="E12" s="154" t="inlineStr"/>
      <c r="F12" s="154" t="inlineStr"/>
      <c r="G12" s="154" t="inlineStr"/>
      <c r="H12" s="154" t="inlineStr"/>
      <c r="I12" s="154" t="inlineStr"/>
      <c r="J12" s="154" t="inlineStr"/>
      <c r="K12" s="154" t="inlineStr"/>
      <c r="L12" s="154" t="inlineStr"/>
      <c r="M12" s="154"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42"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145" t="inlineStr">
        <is>
          <t>مشخصات تست</t>
        </is>
      </c>
    </row>
    <row r="4" ht="14" customHeight="1">
      <c r="A4" s="159" t="inlineStr">
        <is>
          <t>پروژه</t>
        </is>
      </c>
      <c r="B4" s="96" t="inlineStr">
        <is>
          <t>ChangeOver</t>
        </is>
      </c>
      <c r="C4" s="159" t="inlineStr">
        <is>
          <t>ماژول</t>
        </is>
      </c>
      <c r="D4" s="96" t="inlineStr">
        <is>
          <t>Measurement — ADC/ کالیبراسیون</t>
        </is>
      </c>
      <c r="E4" s="98" t="n"/>
      <c r="F4" s="9" t="n"/>
    </row>
    <row r="5" ht="14" customHeight="1">
      <c r="A5" s="159" t="inlineStr">
        <is>
          <t>تاریخ ساخت فرم</t>
        </is>
      </c>
      <c r="B5" s="96" t="inlineStr">
        <is>
          <t>2026-09-16 (1.0)</t>
        </is>
      </c>
      <c r="C5" s="159" t="inlineStr">
        <is>
          <t>نسخه فرم</t>
        </is>
      </c>
      <c r="D5" s="96" t="inlineStr">
        <is>
          <t>1.0</t>
        </is>
      </c>
      <c r="E5" s="98" t="n"/>
      <c r="F5" s="9" t="n"/>
    </row>
    <row r="6" ht="14" customHeight="1">
      <c r="A6" s="159" t="inlineStr">
        <is>
          <t>نسخهٔ برنامه</t>
        </is>
      </c>
      <c r="B6" s="96" t="inlineStr">
        <is>
          <t>نسخهٔ برنامهٔ فلش‌شده (تست‌کننده پر کند)</t>
        </is>
      </c>
      <c r="C6" s="159" t="inlineStr">
        <is>
          <t>شناسه برد</t>
        </is>
      </c>
      <c r="D6" s="132" t="inlineStr"/>
      <c r="E6" s="98" t="n"/>
      <c r="F6" s="9" t="n"/>
    </row>
    <row r="7" ht="14" customHeight="1">
      <c r="A7" s="159" t="inlineStr">
        <is>
          <t>تست‌کننده اصلی</t>
        </is>
      </c>
      <c r="B7" s="132" t="inlineStr"/>
      <c r="C7" s="159" t="inlineStr">
        <is>
          <t>تاریخ شروع</t>
        </is>
      </c>
      <c r="D7" s="132" t="inlineStr"/>
      <c r="E7" s="98" t="n"/>
      <c r="F7" s="9" t="n"/>
    </row>
    <row r="8" ht="14" customHeight="1">
      <c r="A8" s="159" t="inlineStr">
        <is>
          <t>تاریخ پایان</t>
        </is>
      </c>
      <c r="B8" s="132" t="inlineStr"/>
      <c r="C8" s="159" t="inlineStr">
        <is>
          <t>ابزار اندازه‌گیری</t>
        </is>
      </c>
      <c r="D8" s="155" t="inlineStr">
        <is>
          <t>منبع آزمایشگاهی + DMM + اسیلوسکوپ + تایمر RTOS</t>
        </is>
      </c>
      <c r="E8" s="98" t="n"/>
      <c r="F8" s="9" t="n"/>
    </row>
    <row r="9" ht="14" customHeight="1">
      <c r="A9" s="159" t="inlineStr">
        <is>
          <t>فرکانس تیک</t>
        </is>
      </c>
      <c r="B9" s="156" t="inlineStr">
        <is>
          <t>از osKernelGetTickFreq (قابل‌حمل)</t>
        </is>
      </c>
      <c r="C9" s="159" t="inlineStr"/>
      <c r="D9" s="132" t="inlineStr"/>
      <c r="E9" s="98" t="n"/>
      <c r="F9" s="9" t="n"/>
    </row>
    <row r="10" ht="14" customHeight="1">
      <c r="A10" s="159" t="inlineStr">
        <is>
          <t>دامنه</t>
        </is>
      </c>
      <c r="B10" s="155" t="inlineStr">
        <is>
          <t>ADC 5ch + DMA + کالیبراسیون</t>
        </is>
      </c>
      <c r="C10" s="159" t="inlineStr"/>
      <c r="D10" s="132" t="inlineStr"/>
      <c r="E10" s="98" t="n"/>
      <c r="F10" s="98" t="n"/>
    </row>
    <row r="11" ht="14" customHeight="1">
      <c r="A11" s="159" t="inlineStr">
        <is>
          <t>آستانه warmup</t>
        </is>
      </c>
      <c r="B11" s="156" t="inlineStr">
        <is>
          <t>3 فریم</t>
        </is>
      </c>
      <c r="C11" s="159" t="inlineStr"/>
      <c r="D11" s="132" t="inlineStr"/>
      <c r="E11" s="98" t="n"/>
      <c r="F11" s="98" t="n"/>
    </row>
    <row r="12" ht="14" customHeight="1">
      <c r="A12" s="159" t="inlineStr">
        <is>
          <t>دوره</t>
        </is>
      </c>
      <c r="B12" s="155" t="inlineStr">
        <is>
          <t>10ms</t>
        </is>
      </c>
      <c r="C12" s="159" t="inlineStr"/>
      <c r="D12" s="132" t="inlineStr"/>
      <c r="E12" s="98" t="n"/>
      <c r="F12" s="98" t="n"/>
    </row>
    <row r="13" ht="14" customHeight="1">
      <c r="A13" s="159" t="inlineStr">
        <is>
          <t>کالیبراسیون</t>
        </is>
      </c>
      <c r="B13" s="156" t="inlineStr">
        <is>
          <t>Vref3300/4095 Div24/Div12 Shunt10 Gain101</t>
        </is>
      </c>
      <c r="C13" s="159" t="inlineStr"/>
      <c r="D13" s="132" t="inlineStr"/>
      <c r="E13" s="98" t="n"/>
      <c r="F13" s="98" t="n"/>
    </row>
    <row r="14">
      <c r="A14" s="145" t="inlineStr">
        <is>
          <t>خلاصه خودکار وضعیت تست‌ها (پس از تست برد پر شود)</t>
        </is>
      </c>
    </row>
    <row r="15">
      <c r="A15" s="146" t="inlineStr">
        <is>
          <t>شاخص</t>
        </is>
      </c>
      <c r="B15" s="146" t="inlineStr">
        <is>
          <t>مقدار</t>
        </is>
      </c>
      <c r="C15" s="146" t="inlineStr">
        <is>
          <t>توضیح</t>
        </is>
      </c>
      <c r="D15" s="146" t="inlineStr">
        <is>
          <t>فرمول پیشنهادی</t>
        </is>
      </c>
      <c r="E15" s="8" t="n"/>
      <c r="F15" s="9" t="n"/>
    </row>
    <row r="16" ht="13" customHeight="1">
      <c r="A16" s="157" t="inlineStr">
        <is>
          <t>تعداد کل تست‌ها</t>
        </is>
      </c>
      <c r="B16" s="133">
        <f>COUNTA('برنامه تست'!A5:A200)</f>
        <v/>
      </c>
      <c r="C16" s="155" t="inlineStr">
        <is>
          <t>کل ردیف‌های برنامه تست</t>
        </is>
      </c>
      <c r="D16" s="96" t="inlineStr"/>
      <c r="E16" s="8" t="n"/>
      <c r="F16" s="9" t="n"/>
    </row>
    <row r="17" ht="13" customHeight="1">
      <c r="A17" s="157" t="inlineStr">
        <is>
          <t>تعداد قبول (PASS)</t>
        </is>
      </c>
      <c r="B17" s="133">
        <f>COUNTIF('برنامه تست'!K5:K200,"قبول")</f>
        <v/>
      </c>
      <c r="C17" s="156" t="inlineStr">
        <is>
          <t>تعداد ردیف با وضعیت = قبول</t>
        </is>
      </c>
      <c r="D17" s="156" t="inlineStr">
        <is>
          <t>COUNTIF('برنامه تست'!K5:K200,"قبول")</t>
        </is>
      </c>
      <c r="E17" s="8" t="n"/>
      <c r="F17" s="9" t="n"/>
    </row>
    <row r="18" ht="13" customHeight="1">
      <c r="A18" s="157" t="inlineStr">
        <is>
          <t>تعداد رد (FAIL)</t>
        </is>
      </c>
      <c r="B18" s="133">
        <f>COUNTIF('برنامه تست'!K5:K200,"رد")</f>
        <v/>
      </c>
      <c r="C18" s="155" t="inlineStr">
        <is>
          <t>تعداد ردیف با وضعیت = رد</t>
        </is>
      </c>
      <c r="D18" s="155" t="inlineStr">
        <is>
          <t>COUNTIF('برنامه تست'!K5:K200,"رد")</t>
        </is>
      </c>
      <c r="E18" s="8" t="n"/>
      <c r="F18" s="9" t="n"/>
    </row>
    <row r="19" ht="13" customHeight="1">
      <c r="A19" s="157" t="inlineStr">
        <is>
          <t>تعداد در انتظار</t>
        </is>
      </c>
      <c r="B19" s="133">
        <f>COUNTIF('برنامه تست'!K5:K200,"در انتظار")</f>
        <v/>
      </c>
      <c r="C19" s="156" t="inlineStr">
        <is>
          <t>تعداد ردیف با وضعیت = در انتظار</t>
        </is>
      </c>
      <c r="D19" s="156" t="inlineStr">
        <is>
          <t>COUNTIF('برنامه تست'!K5:K200,"در انتظار")</t>
        </is>
      </c>
      <c r="E19" s="8" t="n"/>
      <c r="F19" s="9" t="n"/>
    </row>
    <row r="20" ht="13" customHeight="1">
      <c r="A20" s="157" t="inlineStr">
        <is>
          <t>تعداد مسدود</t>
        </is>
      </c>
      <c r="B20" s="133">
        <f>COUNTIF('برنامه تست'!K5:K200,"مسدود")</f>
        <v/>
      </c>
      <c r="C20" s="155" t="inlineStr">
        <is>
          <t>تعداد ردیف با وضعیت = مسدود</t>
        </is>
      </c>
      <c r="D20" s="96" t="inlineStr"/>
      <c r="E20" s="8" t="n"/>
      <c r="F20" s="9" t="n"/>
    </row>
    <row r="21" ht="13" customHeight="1">
      <c r="A21" s="157" t="inlineStr">
        <is>
          <t>نرخ قبولی</t>
        </is>
      </c>
      <c r="B21" s="133">
        <f>IF(B16=0,"",TEXT(B17/B16,"0%"))</f>
        <v/>
      </c>
      <c r="C21" s="156" t="inlineStr">
        <is>
          <t>PASS / TOTAL</t>
        </is>
      </c>
      <c r="D21" s="96" t="inlineStr"/>
      <c r="E21" s="8" t="n"/>
      <c r="F21" s="9" t="n"/>
    </row>
    <row r="22">
      <c r="A22" s="145" t="inlineStr">
        <is>
          <t>امضاها</t>
        </is>
      </c>
    </row>
    <row r="23" ht="18" customHeight="1">
      <c r="A23" s="146" t="inlineStr">
        <is>
          <t>نقش</t>
        </is>
      </c>
      <c r="B23" s="146" t="inlineStr">
        <is>
          <t>نام و نام خانوادگی</t>
        </is>
      </c>
      <c r="C23" s="146" t="inlineStr">
        <is>
          <t>تاریخ</t>
        </is>
      </c>
      <c r="D23" s="146" t="inlineStr">
        <is>
          <t>امضا</t>
        </is>
      </c>
      <c r="E23" s="146" t="inlineStr">
        <is>
          <t>توضیحات</t>
        </is>
      </c>
      <c r="F23" s="9" t="n"/>
    </row>
    <row r="24" ht="22" customHeight="1">
      <c r="A24" s="157" t="inlineStr">
        <is>
          <t>تست‌کننده</t>
        </is>
      </c>
      <c r="B24" s="96" t="inlineStr"/>
      <c r="C24" s="96" t="inlineStr"/>
      <c r="D24" s="96" t="inlineStr"/>
      <c r="E24" s="96" t="inlineStr"/>
      <c r="F24" s="9" t="n"/>
    </row>
    <row r="25" ht="22" customHeight="1">
      <c r="A25" s="157" t="inlineStr">
        <is>
          <t>بازبین فنی</t>
        </is>
      </c>
      <c r="B25" s="96" t="inlineStr"/>
      <c r="C25" s="96" t="inlineStr"/>
      <c r="D25" s="96" t="inlineStr"/>
      <c r="E25" s="96" t="inlineStr"/>
      <c r="F25" s="9" t="n"/>
    </row>
    <row r="26" ht="22" customHeight="1">
      <c r="A26" s="157" t="inlineStr">
        <is>
          <t>تأیید نهایی</t>
        </is>
      </c>
      <c r="B26" s="96" t="inlineStr"/>
      <c r="C26" s="96" t="inlineStr"/>
      <c r="D26" s="96" t="inlineStr"/>
      <c r="E26" s="96" t="inlineStr"/>
      <c r="F26" s="9" t="n"/>
    </row>
    <row r="27">
      <c r="A27" s="158"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5"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145"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145"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145"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2"/>
    <row r="3" ht="24" customHeight="1">
      <c r="A3" s="32" t="inlineStr">
        <is>
          <t>حالت‌ها و گذارهای همین ماژول</t>
        </is>
      </c>
      <c r="B3" s="33" t="inlineStr">
        <is>
          <t>Measurement_State_Machine.xlsx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2026-10-17T12:55:52Z</dcterms:modified>
</cp:coreProperties>
</file>