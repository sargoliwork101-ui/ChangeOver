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تست'!$A$4:$Q$62</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calcMode="auto" fullCalcOnLoad="1" iterate="1" iterateCount="100" iterateDelta="0.001" forceFullCalc="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20" fillId="5" borderId="0" applyAlignment="1" pivotButton="0" quotePrefix="0" xfId="0">
      <alignment horizontal="right" vertical="center" wrapText="1"/>
    </xf>
    <xf numFmtId="0" fontId="22" fillId="5" borderId="0" applyAlignment="1" pivotButton="0" quotePrefix="0" xfId="0">
      <alignment horizontal="right" vertical="center" wrapText="1"/>
    </xf>
    <xf numFmtId="0" fontId="28" fillId="5" borderId="0" pivotButton="0" quotePrefix="0" xfId="0"/>
    <xf numFmtId="0" fontId="7" fillId="10" borderId="2" applyAlignment="1" pivotButton="0" quotePrefix="0" xfId="0">
      <alignment horizontal="right" vertical="center" wrapText="1"/>
    </xf>
    <xf numFmtId="0" fontId="25"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_AGENT_SPEC.md" TargetMode="External" Id="rId1" /></Relationships>
</file>

<file path=xl/worksheets/_rels/sheet2.xml.rels><Relationships xmlns="http://schemas.openxmlformats.org/package/2006/relationships"><Relationship Type="http://schemas.openxmlformats.org/officeDocument/2006/relationships/hyperlink" Target="../Charger/Tester/host_test_charger.py" TargetMode="External" Id="rId1" /><Relationship Type="http://schemas.openxmlformats.org/officeDocument/2006/relationships/hyperlink" Target="../../../esp_link_panel/Tester/host_test_scenario_cards.js" TargetMode="External" Id="rId2" /><Relationship Type="http://schemas.openxmlformats.org/officeDocument/2006/relationships/hyperlink" Target="../../../esp_link_panel/Tester/host_test_scenario_cards.js" TargetMode="External" Id="rId3" /><Relationship Type="http://schemas.openxmlformats.org/officeDocument/2006/relationships/hyperlink" Target="../../../esp_link_panel/Tester/host_test_scenario_cards.js" TargetMode="External" Id="rId4" /></Relationships>
</file>

<file path=xl/worksheets/_rels/sheet5.xml.rels><Relationships xmlns="http://schemas.openxmlformats.org/package/2006/relationships"><Relationship Type="http://schemas.openxmlformats.org/officeDocument/2006/relationships/hyperlink" Target="../../Bsp/Src/bsp_uart.c" TargetMode="External" Id="rId1" /><Relationship Type="http://schemas.openxmlformats.org/officeDocument/2006/relationships/hyperlink" Target="../../../ESP_AGENT_SPEC.md" TargetMode="External" Id="rId2" /><Relationship Type="http://schemas.openxmlformats.org/officeDocument/2006/relationships/hyperlink" Target="../CalLut/cal_lut.c" TargetMode="External" Id="rId3" /></Relationships>
</file>

<file path=xl/worksheets/_rels/sheet9.xml.rels><Relationships xmlns="http://schemas.openxmlformats.org/package/2006/relationships"><Relationship Type="http://schemas.openxmlformats.org/officeDocument/2006/relationships/hyperlink" Target="EspLink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1" t="inlineStr">
        <is>
          <t>برگه تست و اعتبارسنجی عملی ماژول EspLink</t>
        </is>
      </c>
    </row>
    <row r="2">
      <c r="A2" s="48" t="inlineStr">
        <is>
          <t>EspLink | این ماژول پل ارتباطی با ESP است.
ارتباط سریال (UART) با سرعت 921600 و قالب 8N1 است و از DMA دوطرفه استفاده می‌کند.
پروتکل نسخهٔ 1.2 است: تنظیم پارامتر (SET_PARAM)، خواندن پارامترها (GET_PARAMS)، دادهٔ زنده (TLM_LIVE)، گزارش پارامتر (PARAM_REPORT) و فرستادن یکجای پارامترها (PARAMS_BULK).
یک مود تست دستی هم هست (شناسهٔ 19).</t>
        </is>
      </c>
    </row>
    <row r="3" ht="30" customHeight="1">
      <c r="A3" s="82" t="inlineStr">
        <is>
          <t>هدف فایل</t>
        </is>
      </c>
    </row>
    <row r="4">
      <c r="A4" s="48" t="inlineStr"/>
    </row>
    <row r="5">
      <c r="A5" s="83" t="inlineStr">
        <is>
          <t>برای فعال‌کردن، فقط یک خط را عوض کن: MODULE_ESP=1.
پایهٔ CH_PD از PA8 و توسط خود برد کنترل می‌شود.</t>
        </is>
      </c>
    </row>
    <row r="6">
      <c r="A6" s="84" t="inlineStr">
        <is>
          <t>قرارداد کامل ارتباط در فایل ESP_AGENT_SPEC.md (نسخهٔ 1.2) است.
محدودیت‌های سمت ESP در README همین ماژول نوشته شده است.</t>
        </is>
      </c>
    </row>
    <row r="7">
      <c r="A7" s="83" t="inlineStr">
        <is>
          <t>برنامهٔ پنل وب در پوشهٔ esp_link_panel/ است. ممیزی خط‌به‌خط انجام شده است (کامیت 32098b4).</t>
        </is>
      </c>
    </row>
    <row r="8">
      <c r="A8" s="48" t="inlineStr"/>
    </row>
    <row r="9">
      <c r="A9" s="83" t="inlineStr">
        <is>
          <t>هشدار: تست‌های مود دستی فقط با بار ایمن انجام شود: بار الکترونیکی با محدودکننده و منبع محدودشده.</t>
        </is>
      </c>
    </row>
    <row r="10">
      <c r="A10" s="83" t="inlineStr">
        <is>
          <t>یادداشت: تست‌های روی کامپیوتر (Host) و تست‌های خود پنل وب (DOM) در این فرم نوشته شده‌اند.
ولی هیچ‌کدام جای تست واقعی را نمی‌گیرند: برد، فلش و ارتباط سریال (UART) باید روی برد واقعی تست شوند.</t>
        </is>
      </c>
    </row>
    <row r="12">
      <c r="A12" s="8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4" t="inlineStr">
        <is>
          <t>پیش‌بینی زندهٔ برنامه</t>
        </is>
      </c>
      <c r="B14" s="95"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6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1" t="inlineStr">
        <is>
          <t>برنامهٔ تست عملی — ماژول EspLink</t>
        </is>
      </c>
      <c r="T1" s="96" t="inlineStr">
        <is>
          <t>ورودی‌های پیش‌بینی — خانه‌های زرد را عوض کن و ستون «پیش‌بینی زنده» را ببین</t>
        </is>
      </c>
    </row>
    <row r="2">
      <c r="A2" s="48" t="inlineStr">
        <is>
          <t>وضعیت فقط یکی از: در انتظار / قبول / رد / مسدود / نیاز به تکرار. تست Host جایگزین تست برد نیست.</t>
        </is>
      </c>
      <c r="T2" s="97" t="inlineStr">
        <is>
          <t>ارتباط برقرار است؟ (1/0)</t>
        </is>
      </c>
      <c r="U2" s="98" t="n">
        <v>1</v>
      </c>
    </row>
    <row r="3">
      <c r="A3" s="48" t="inlineStr">
        <is>
          <t>برای هر ردیف پیش‌شرط، ورودی، انتظار و معیار قبولی صریح است؛ نتیجهٔ واقعی فقط با اندازه‌گیری روی برد پر می‌شود.</t>
        </is>
      </c>
      <c r="T3" s="99" t="inlineStr">
        <is>
          <t>پیش‌بینی برای حالت پایدار است؛ چشمک و زمان‌بندی را با چشم و کرنومتر چک کن و با برد مقایسه کن.</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چه چیزی باید ببینید تا بگویید درست است</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c r="R4" s="82" t="inlineStr">
        <is>
          <t>پیش‌بینی زندهٔ برنامه (فرمول)</t>
        </is>
      </c>
    </row>
    <row r="5" ht="54" customHeight="1">
      <c r="A5" s="53" t="inlineStr">
        <is>
          <t>EL-001</t>
        </is>
      </c>
      <c r="B5" s="59" t="inlineStr">
        <is>
          <t>CH_PD و بوت</t>
        </is>
      </c>
      <c r="C5" s="60" t="inlineStr">
        <is>
          <t>بالا</t>
        </is>
      </c>
      <c r="D5" s="59" t="inlineStr">
        <is>
          <t>کابل ESP و پنل آماده است؛ دستگاه خاموش</t>
        </is>
      </c>
      <c r="E5" s="59" t="inlineStr">
        <is>
          <t>گام ۱: دستگاه را روشن کن.
گام ۲: پنل را باز کن و ببین ارتباط برقرار و عددها زنده می‌شوند.</t>
        </is>
      </c>
      <c r="F5" s="61" t="inlineStr">
        <is>
          <t>روشن‌کردن دستگاه با پنل</t>
        </is>
      </c>
      <c r="G5" s="61" t="inlineStr">
        <is>
          <t>یک دقیقه</t>
        </is>
      </c>
      <c r="H5" s="59" t="inlineStr">
        <is>
          <t>پنل بالا می‌آید و عددهای زندهٔ دستگاه را نشان می‌دهد</t>
        </is>
      </c>
      <c r="I5" s="59" t="inlineStr">
        <is>
          <t>ارتباط پایدار</t>
        </is>
      </c>
      <c r="J5" s="59" t="inlineStr">
        <is>
          <t>باید ببینید: پنل بالا می‌آید و عددهای زندهٔ دستگاه را نشان می‌دهد. اگر پنل نیامد یا عددی نبود، قبول نیست.</t>
        </is>
      </c>
      <c r="K5" s="54" t="n"/>
      <c r="L5" s="57" t="inlineStr">
        <is>
          <t>در انتظار</t>
        </is>
      </c>
      <c r="M5" s="54" t="n"/>
      <c r="N5" s="54" t="n"/>
      <c r="O5" s="61" t="inlineStr">
        <is>
          <t>(بعد از تست پر شود)</t>
        </is>
      </c>
      <c r="P5" s="56" t="n"/>
      <c r="Q5" s="62">
        <f>IF(OR(L5="",L5="در انتظار"),"",IF(Q5="",TODAY(),Q5))</f>
        <v/>
      </c>
      <c r="R5" s="95">
        <f>IF($U$2=1,"ESP بالا آمده و ارتباط برقرار است؛ پنل باید باز شود","ارتباط نیست: پنل داده‌ای ندارد")</f>
        <v/>
      </c>
    </row>
    <row r="6" ht="40.5" customHeight="1">
      <c r="A6" s="53" t="inlineStr">
        <is>
          <t>EL-002</t>
        </is>
      </c>
      <c r="B6" s="86" t="inlineStr">
        <is>
          <t>تله‌متری زنده</t>
        </is>
      </c>
      <c r="C6" s="87" t="inlineStr">
        <is>
          <t>بالا</t>
        </is>
      </c>
      <c r="D6" s="86" t="inlineStr">
        <is>
          <t>دستگاه روشن و پنل باز است؛ یک مولتی‌متر دستی داری</t>
        </is>
      </c>
      <c r="E6" s="86" t="inlineStr">
        <is>
          <t>گام ۱: ولتاژ باتری و ورودی را روی پنل بخوان.
گام ۲: همان‌ها را با مولتی‌متر روی ترمینال اندازه بگیر.
گام ۳: ولتاژ ورودی را کمی عوض کن و تازه‌شدن عدد پنل را ببین.</t>
        </is>
      </c>
      <c r="F6" s="88" t="inlineStr">
        <is>
          <t>مقایسهٔ زندهٔ پنل با مولتی‌متر</t>
        </is>
      </c>
      <c r="G6" s="88" t="inlineStr">
        <is>
          <t>پنج دقیقه</t>
        </is>
      </c>
      <c r="H6" s="86" t="inlineStr">
        <is>
          <t>عددهای پنل زنده و نزدیک مولتی‌مترند و با تغییر ولتاژ همان لحظه عوض می‌شوند</t>
        </is>
      </c>
      <c r="I6" s="86" t="inlineStr">
        <is>
          <t>به‌روزرسانی پیوسته</t>
        </is>
      </c>
      <c r="J6" s="86" t="inlineStr">
        <is>
          <t>باید ببینید: عددهای پنل زنده‌اند، نزدیک مولتی‌مترند و با تغییر ولتاژ همان لحظه عوض می‌شوند. اگر عدد یخ زد یا خیلی دور بود، قبول نیست.</t>
        </is>
      </c>
      <c r="K6" s="59" t="n"/>
      <c r="L6" s="57" t="inlineStr">
        <is>
          <t>در انتظار</t>
        </is>
      </c>
      <c r="M6" s="59" t="n"/>
      <c r="N6" s="59" t="n"/>
      <c r="O6" s="88" t="inlineStr">
        <is>
          <t>(بعد از تست پر شود)</t>
        </is>
      </c>
      <c r="P6" s="61" t="n"/>
      <c r="Q6" s="89">
        <f>IF(OR(L6="",L6="در انتظار"),"",IF(Q6="",TODAY(),Q6))</f>
        <v/>
      </c>
      <c r="R6" s="95">
        <f>IF($U$2=1,"تله‌متری زنده در پنل تازه می‌شود","تله‌متری تازه نمی‌شود؛ آخرین عددها می‌مانند")</f>
        <v/>
      </c>
    </row>
    <row r="7" ht="54" customHeight="1">
      <c r="A7" s="53" t="inlineStr">
        <is>
          <t>EL-004</t>
        </is>
      </c>
      <c r="B7" s="59" t="inlineStr">
        <is>
          <t>SET_PARAM → REPORT</t>
        </is>
      </c>
      <c r="C7" s="60" t="inlineStr">
        <is>
          <t>متوسط</t>
        </is>
      </c>
      <c r="D7" s="59" t="inlineStr">
        <is>
          <t>پنل باز و دستگاه روشن است</t>
        </is>
      </c>
      <c r="E7" s="59" t="inlineStr">
        <is>
          <t>گام ۱: یک پارامتر بی‌خطر را از پنل عوض کن (مثلاً بلندی/دورهٔ بوق).
گام ۲: رفتار دستگاه را ببین که همان لحظه عوض شود.
گام ۳: مقدار را به حالت اول برگردان.</t>
        </is>
      </c>
      <c r="F7" s="61" t="inlineStr">
        <is>
          <t>تغییر یک پارامتر از پنل</t>
        </is>
      </c>
      <c r="G7" s="61" t="inlineStr">
        <is>
          <t>پنج دقیقه</t>
        </is>
      </c>
      <c r="H7" s="59" t="inlineStr">
        <is>
          <t>تغییر پنل همان لحظه روی دستگاه اثر می‌گذارد</t>
        </is>
      </c>
      <c r="I7" s="59" t="inlineStr">
        <is>
          <t>تا تغییر بعدی</t>
        </is>
      </c>
      <c r="J7" s="59" t="inlineStr">
        <is>
          <t>باید ببینید: تغییر از پنل همان لحظه روی دستگاه اثر می‌گذارد. اگر بی‌اثر بود یا نیاز به ریست داشت، قبول نیست.</t>
        </is>
      </c>
      <c r="K7" s="59" t="n"/>
      <c r="L7" s="57" t="inlineStr">
        <is>
          <t>در انتظار</t>
        </is>
      </c>
      <c r="M7" s="59" t="n"/>
      <c r="N7" s="59" t="n"/>
      <c r="O7" s="61" t="inlineStr">
        <is>
          <t>(بعد از تست پر شود)</t>
        </is>
      </c>
      <c r="P7" s="61" t="n"/>
      <c r="Q7" s="62">
        <f>IF(OR(L7="",L7="در انتظار"),"",IF(Q7="",TODAY(),Q7))</f>
        <v/>
      </c>
      <c r="R7" s="100" t="inlineStr">
        <is>
          <t>—</t>
        </is>
      </c>
    </row>
    <row r="8" ht="40.5" customHeight="1">
      <c r="A8" s="53" t="inlineStr">
        <is>
          <t>EL-005</t>
        </is>
      </c>
      <c r="B8" s="86" t="inlineStr">
        <is>
          <t>پارامتر ۱۹ مود دستی</t>
        </is>
      </c>
      <c r="C8" s="87" t="inlineStr">
        <is>
          <t>متوسط</t>
        </is>
      </c>
      <c r="D8" s="86" t="inlineStr">
        <is>
          <t>پنل باز و دستگاه روشن است</t>
        </is>
      </c>
      <c r="E8" s="86" t="inlineStr">
        <is>
          <t>گام ۱: پارامتر مود تست دستی شارژر (شمارهٔ ۱۹) را از پنل روشن کن.
گام ۲: ببین شارژر به مود دستی می‌رود.
گام ۳: خاموشش کن و برگشت به شارژ خودکار را ببین.</t>
        </is>
      </c>
      <c r="F8" s="88" t="inlineStr">
        <is>
          <t>روشن/خاموش پارامتر ۱۹ از پنل</t>
        </is>
      </c>
      <c r="G8" s="88" t="inlineStr">
        <is>
          <t>پنج دقیقه</t>
        </is>
      </c>
      <c r="H8" s="86" t="inlineStr">
        <is>
          <t>با روشن‌کردن، شارژر دستی و با خاموش‌کردن، خودکار می‌شود</t>
        </is>
      </c>
      <c r="I8" s="86" t="inlineStr">
        <is>
          <t>تابع پنل</t>
        </is>
      </c>
      <c r="J8" s="86" t="inlineStr">
        <is>
          <t>باید ببینید: با روشن‌کردن مود دستی شارژر دستی و با خاموش‌کردنش خودکار می‌شود. اگر در یک مود گیر کرد، قبول نیست.</t>
        </is>
      </c>
      <c r="K8" s="54" t="n"/>
      <c r="L8" s="57" t="inlineStr">
        <is>
          <t>در انتظار</t>
        </is>
      </c>
      <c r="M8" s="54" t="n"/>
      <c r="N8" s="54" t="n"/>
      <c r="O8" s="88" t="inlineStr">
        <is>
          <t>(بعد از تست پر شود)</t>
        </is>
      </c>
      <c r="P8" s="56" t="n"/>
      <c r="Q8" s="89">
        <f>IF(OR(L8="",L8="در انتظار"),"",IF(Q8="",TODAY(),Q8))</f>
        <v/>
      </c>
      <c r="R8" s="100" t="inlineStr">
        <is>
          <t>—</t>
        </is>
      </c>
    </row>
    <row r="9" ht="54" customHeight="1">
      <c r="A9" s="53" t="inlineStr">
        <is>
          <t>EL-003</t>
        </is>
      </c>
      <c r="B9" s="59" t="inlineStr">
        <is>
          <t>GET_PARAMS → BULK</t>
        </is>
      </c>
      <c r="C9" s="60" t="inlineStr">
        <is>
          <t>متوسط</t>
        </is>
      </c>
      <c r="D9" s="59" t="inlineStr">
        <is>
          <t>پنل باز و دستگاه روشن است</t>
        </is>
      </c>
      <c r="E9" s="59" t="inlineStr">
        <is>
          <t>گام ۱: از پنل فهرست پارامترها را کامل بخوان.
گام ۲: چند مقدار معلوم (مثلاً سقف جریان شارژ) را با رفتار واقعی دستگاه مقایسه کن.</t>
        </is>
      </c>
      <c r="F9" s="61" t="inlineStr">
        <is>
          <t>خواندن کامل پارامترها از پنل</t>
        </is>
      </c>
      <c r="G9" s="61" t="inlineStr">
        <is>
          <t>پنج دقیقه</t>
        </is>
      </c>
      <c r="H9" s="59" t="inlineStr">
        <is>
          <t>همهٔ پارامترها با مقدارهای واقعی دستگاه برمی‌گردند</t>
        </is>
      </c>
      <c r="I9" s="59" t="inlineStr">
        <is>
          <t>—</t>
        </is>
      </c>
      <c r="J9" s="59" t="inlineStr">
        <is>
          <t>باید ببینید: همهٔ پارامترها با مقدارهای واقعی دستگاه در پنل برمی‌گردند. اگر مقدار خالی یا اشتباه بود، قبول نیست.</t>
        </is>
      </c>
      <c r="K9" s="54" t="n"/>
      <c r="L9" s="57" t="inlineStr">
        <is>
          <t>در انتظار</t>
        </is>
      </c>
      <c r="M9" s="54" t="n"/>
      <c r="N9" s="54" t="n"/>
      <c r="O9" s="61" t="inlineStr">
        <is>
          <t>(بعد از تست پر شود)</t>
        </is>
      </c>
      <c r="P9" s="56" t="n"/>
      <c r="Q9" s="62">
        <f>IF(OR(L9="",L9="در انتظار"),"",IF(Q9="",TODAY(),Q9))</f>
        <v/>
      </c>
      <c r="R9" s="100" t="inlineStr">
        <is>
          <t>—</t>
        </is>
      </c>
    </row>
    <row r="10" ht="54" customHeight="1">
      <c r="A10" s="53" t="inlineStr">
        <is>
          <t>EL-006</t>
        </is>
      </c>
      <c r="B10" s="86" t="inlineStr">
        <is>
          <t>تغذیه ددمن با هر فریم</t>
        </is>
      </c>
      <c r="C10" s="88" t="inlineStr">
        <is>
          <t>متوسط</t>
        </is>
      </c>
      <c r="D10" s="86" t="inlineStr">
        <is>
          <t>پنل باز است و دستگاه در حال کار عادی</t>
        </is>
      </c>
      <c r="E10" s="86" t="inlineStr">
        <is>
          <t>گام ۱: پنل را نیم ساعت باز نگه دار و دستگاه را به کارش بگذار.
گام ۲: هر از چندی نگاه کن ارتباط زنده مانده یا نه.</t>
        </is>
      </c>
      <c r="F10" s="88" t="inlineStr">
        <is>
          <t>نیم ساعت ارتباط باز</t>
        </is>
      </c>
      <c r="G10" s="88" t="inlineStr">
        <is>
          <t>نیم ساعت</t>
        </is>
      </c>
      <c r="H10" s="86" t="inlineStr">
        <is>
          <t>ارتباط در تمام مدت زنده می‌ماند و عددها تازه می‌شوند</t>
        </is>
      </c>
      <c r="I10" s="86" t="inlineStr">
        <is>
          <t>بدون افتادن</t>
        </is>
      </c>
      <c r="J10" s="86" t="inlineStr">
        <is>
          <t>باید ببینید: ارتباط در تمام مدت زنده می‌ماند و عددها تازه می‌شوند. اگر بی‌دلیل افتاد، قبول نیست.</t>
        </is>
      </c>
      <c r="K10" s="59" t="n"/>
      <c r="L10" s="57" t="inlineStr">
        <is>
          <t>در انتظار</t>
        </is>
      </c>
      <c r="M10" s="59" t="n"/>
      <c r="N10" s="59" t="n"/>
      <c r="O10" s="88" t="inlineStr">
        <is>
          <t>(بعد از تست پر شود)</t>
        </is>
      </c>
      <c r="P10" s="61" t="n"/>
      <c r="Q10" s="89">
        <f>IF(OR(L10="",L10="در انتظار"),"",IF(Q10="",TODAY(),Q10))</f>
        <v/>
      </c>
      <c r="R10" s="100" t="inlineStr">
        <is>
          <t>—</t>
        </is>
      </c>
    </row>
    <row r="11" ht="40.5" customHeight="1">
      <c r="A11" s="53" t="inlineStr">
        <is>
          <t>EL-010</t>
        </is>
      </c>
      <c r="B11" s="59" t="inlineStr">
        <is>
          <t>فلگ‌های تله‌متری</t>
        </is>
      </c>
      <c r="C11" s="61" t="inlineStr">
        <is>
          <t>متوسط</t>
        </is>
      </c>
      <c r="D11" s="59" t="inlineStr">
        <is>
          <t>پنل باز؛ دستگاه با برق شهر در حال شارژ باتری است</t>
        </is>
      </c>
      <c r="E11" s="59" t="inlineStr">
        <is>
          <t>گام ۱: حین شارژ سیم باتری را بکش تا خطای ۶ بیاید.
گام ۲: در پنل ببین خطای ۶ و توقف شارژ نشان داده می‌شود.
گام ۳: باتری را وصل کن و پاک‌شدن خطا را در پنل ببین.</t>
        </is>
      </c>
      <c r="F11" s="61" t="inlineStr">
        <is>
          <t>ساختن و پاک‌کردن خطای ۶</t>
        </is>
      </c>
      <c r="G11" s="61" t="inlineStr">
        <is>
          <t>پنج دقیقه</t>
        </is>
      </c>
      <c r="H11" s="59" t="inlineStr">
        <is>
          <t>پرچم خطا در پنل دقیقاً با چراغ‌های دستگاه یکی است</t>
        </is>
      </c>
      <c r="I11" s="59" t="inlineStr">
        <is>
          <t>هم‌گام با دستگاه</t>
        </is>
      </c>
      <c r="J11" s="59" t="inlineStr">
        <is>
          <t>باید ببینید: پرچم خطا در پنل دقیقاً با چراغ‌های روی دستگاه یکی است. اگر اختلاف دیدید، قبول نیست.</t>
        </is>
      </c>
      <c r="K11" s="59" t="n"/>
      <c r="L11" s="57" t="inlineStr">
        <is>
          <t>در انتظار</t>
        </is>
      </c>
      <c r="M11" s="59" t="n"/>
      <c r="N11" s="59" t="n"/>
      <c r="O11" s="61" t="inlineStr">
        <is>
          <t>(بعد از تست پر شود)</t>
        </is>
      </c>
      <c r="P11" s="61" t="n"/>
      <c r="Q11" s="62">
        <f>IF(OR(L11="",L11="در انتظار"),"",IF(Q11="",TODAY(),Q11))</f>
        <v/>
      </c>
      <c r="R11" s="100" t="inlineStr">
        <is>
          <t>—</t>
        </is>
      </c>
    </row>
    <row r="12" ht="54" customHeight="1">
      <c r="A12" s="53" t="inlineStr">
        <is>
          <t>EL-011</t>
        </is>
      </c>
      <c r="B12" s="86" t="inlineStr">
        <is>
          <t>state 9 و b5</t>
        </is>
      </c>
      <c r="C12" s="87" t="inlineStr">
        <is>
          <t>متوسط</t>
        </is>
      </c>
      <c r="D12" s="86" t="inlineStr">
        <is>
          <t>پنل باز و دستگاه روشن است</t>
        </is>
      </c>
      <c r="E12" s="86" t="inlineStr">
        <is>
          <t>گام ۱: دستگاه را به شارژ بزن و وضعیت شارژر را در پنل بخوان.
گام ۲: شارژ را قطع کن (برق شهر را بکش) و دوباره وضعیت را بخوان.
گام ۳: هر دو را با چیزی که روی دستگاه می‌بینی مقایسه کن.</t>
        </is>
      </c>
      <c r="F12" s="88" t="inlineStr">
        <is>
          <t>شروع و قطع شارژ جلوی پنل</t>
        </is>
      </c>
      <c r="G12" s="88" t="inlineStr">
        <is>
          <t>پنج دقیقه</t>
        </is>
      </c>
      <c r="H12" s="86" t="inlineStr">
        <is>
          <t>وضعیت شارژر در پنل در هر دو حالت با واقعیت یکی است</t>
        </is>
      </c>
      <c r="I12" s="86" t="inlineStr">
        <is>
          <t>—</t>
        </is>
      </c>
      <c r="J12" s="86" t="inlineStr">
        <is>
          <t>باید ببینید: وضعیت شارژر در پنل در هر دو حالت با واقعیت دستگاه یکی است. اگر پنل وضعیت دروغ نشان داد، قبول نیست.</t>
        </is>
      </c>
      <c r="K12" s="54" t="n"/>
      <c r="L12" s="57" t="inlineStr">
        <is>
          <t>در انتظار</t>
        </is>
      </c>
      <c r="M12" s="54" t="n"/>
      <c r="N12" s="54" t="n"/>
      <c r="O12" s="88" t="inlineStr">
        <is>
          <t>(بعد از تست پر شود)</t>
        </is>
      </c>
      <c r="P12" s="56" t="n"/>
      <c r="Q12" s="89">
        <f>IF(OR(L12="",L12="در انتظار"),"",IF(Q12="",TODAY(),Q12))</f>
        <v/>
      </c>
      <c r="R12" s="100" t="inlineStr">
        <is>
          <t>—</t>
        </is>
      </c>
    </row>
    <row r="13" ht="54" customHeight="1">
      <c r="A13" s="53" t="inlineStr">
        <is>
          <t>EL-013</t>
        </is>
      </c>
      <c r="B13" s="59" t="inlineStr">
        <is>
          <t>کالیبراسیون و read-back</t>
        </is>
      </c>
      <c r="C13" s="60" t="inlineStr">
        <is>
          <t>متوسط</t>
        </is>
      </c>
      <c r="D13" s="59" t="inlineStr">
        <is>
          <t>پنل باز و راهنمای کالیبراسیون را می‌دانی</t>
        </is>
      </c>
      <c r="E13" s="59" t="inlineStr">
        <is>
          <t>گام ۱: از پنل یک نقطهٔ کالیبراسیون را بفرست.
گام ۲: همان نقطه را از پنل بخوان.
گام ۳: عدد برگشتی را با عدد فرستاده مقایسه کن.</t>
        </is>
      </c>
      <c r="F13" s="61" t="inlineStr">
        <is>
          <t>فرستادن و خواندن کالیبراسیون</t>
        </is>
      </c>
      <c r="G13" s="61" t="inlineStr">
        <is>
          <t>پنج دقیقه</t>
        </is>
      </c>
      <c r="H13" s="59" t="inlineStr">
        <is>
          <t>عدد برگشتی دقیقاً همان فرستاده است</t>
        </is>
      </c>
      <c r="I13" s="59" t="inlineStr">
        <is>
          <t>ماندگار</t>
        </is>
      </c>
      <c r="J13" s="59" t="inlineStr">
        <is>
          <t>باید ببینید: عدد برگشتی از دستگاه دقیقاً همان عدد فرستاده‌شده است. اگر اختلاف دیدید، قبول نیست.</t>
        </is>
      </c>
      <c r="K13" s="59" t="inlineStr">
        <is>
          <t>تست روی کامپیوتر قبول شد:
پنل (DOM): 331 بررسی. نام‌محور بودن خلاصه، تیک انتخاب همهٔ نمونه‌ها، پنجرهٔ تأیید تکی و نوشتن و خواندن همهٔ پارامترهای درست چک شد.
شارژر: 53 بررسی.
تست روی برد اجرا نشده است.</t>
        </is>
      </c>
      <c r="L13" s="57" t="inlineStr">
        <is>
          <t>در انتظار</t>
        </is>
      </c>
      <c r="M13" s="59" t="inlineStr">
        <is>
          <t>تست روی کامپیوتر جای تست برد را نمی‌گیرد. برد باید با بیلد تازه فلش شود.</t>
        </is>
      </c>
      <c r="N13" s="64" t="inlineStr">
        <is>
          <t>Firmware/Modules/Charger/Tester/host_test_charger.py؛ tools/check_firmware_syntax.sh</t>
        </is>
      </c>
      <c r="O13" s="61" t="inlineStr">
        <is>
          <t>WORKTREE</t>
        </is>
      </c>
      <c r="P13" s="56" t="n"/>
      <c r="Q13" s="62">
        <f>IF(OR(L13="",L13="در انتظار"),"",IF(Q13="",TODAY(),Q13))</f>
        <v/>
      </c>
      <c r="R13" s="100" t="inlineStr">
        <is>
          <t>—</t>
        </is>
      </c>
    </row>
    <row r="14" ht="54" customHeight="1">
      <c r="A14" s="53" t="inlineStr">
        <is>
          <t>EL-014</t>
        </is>
      </c>
      <c r="B14" s="86" t="inlineStr">
        <is>
          <t>LUT readback عددبه‌عدد</t>
        </is>
      </c>
      <c r="C14" s="87" t="inlineStr">
        <is>
          <t>متوسط</t>
        </is>
      </c>
      <c r="D14" s="86" t="inlineStr">
        <is>
          <t>پنل باز و یک جدول LUT ذخیره شده است</t>
        </is>
      </c>
      <c r="E14" s="86" t="inlineStr">
        <is>
          <t>گام ۱: جدول را از پنل کامل بخوان.
گام ۲: چند عددش را با جدولی که قبلاً فرستاده بودی مقایسه کن.</t>
        </is>
      </c>
      <c r="F14" s="88" t="inlineStr">
        <is>
          <t>خواندن کامل جدول از پنل</t>
        </is>
      </c>
      <c r="G14" s="88" t="inlineStr">
        <is>
          <t>پنج دقیقه</t>
        </is>
      </c>
      <c r="H14" s="86" t="inlineStr">
        <is>
          <t>جدول عددبه‌عدد همان ذخیره‌شده است؛ هیچ عددی جابه‌جا یا کم نیست</t>
        </is>
      </c>
      <c r="I14" s="86" t="inlineStr">
        <is>
          <t>—</t>
        </is>
      </c>
      <c r="J14" s="86" t="inlineStr">
        <is>
          <t>باید ببینید: جدول برگشتی عددبه‌عدد همان جدول ذخیره‌شده است؛ هیچ عددی جابه‌جا یا کم نیست. اگر اختلافی دیدید، قبول نیست.</t>
        </is>
      </c>
      <c r="K14" s="86" t="inlineStr">
        <is>
          <t>تست روی کامپیوتر قبول شد:
CalLut: 159 بررسی. ESP: 112 بررسی. پنل (DOM): 324 بررسی.
چک‌ها: پیش‌بررسی (preflight)، خواندن دوبارهٔ همهٔ کالیبراسیون‌های درست، انتخاب جدا بین جاروب (SWEEP) و دستی با گام، تم کلیدهای پنل و به‌روزرسانی جدا.
اجرای روی برد فیزیکی انجام نشده است.</t>
        </is>
      </c>
      <c r="L14" s="57" t="inlineStr">
        <is>
          <t>در انتظار</t>
        </is>
      </c>
      <c r="M14" s="86" t="inlineStr">
        <is>
          <t>تست روی کامپیوتر جای تست برد را نمی‌گیرد. با برنامهٔ تازه روی برد واقعی تکرار شود.</t>
        </is>
      </c>
      <c r="N14" s="90" t="inlineStr">
        <is>
          <t>Firmware/Modules/CalLut/Tester/run_host_test_cal_lut.sh؛ esp_link_panel/Tester/run_esp_tests.sh؛ esp_link_panel/Tester/host_test_scenario_cards.js</t>
        </is>
      </c>
      <c r="O14" s="88" t="inlineStr">
        <is>
          <t>WORKTREE</t>
        </is>
      </c>
      <c r="P14" s="61" t="n"/>
      <c r="Q14" s="89">
        <f>IF(OR(L14="",L14="در انتظار"),"",IF(Q14="",TODAY(),Q14))</f>
        <v/>
      </c>
      <c r="R14" s="100" t="inlineStr">
        <is>
          <t>—</t>
        </is>
      </c>
    </row>
    <row r="15" ht="67.5" customHeight="1">
      <c r="A15" s="53" t="inlineStr">
        <is>
          <t>EL-015</t>
        </is>
      </c>
      <c r="B15" s="59" t="inlineStr">
        <is>
          <t>صفرنقطه و کانال نامعتبر</t>
        </is>
      </c>
      <c r="C15" s="60" t="inlineStr">
        <is>
          <t>متوسط</t>
        </is>
      </c>
      <c r="D15" s="59" t="inlineStr">
        <is>
          <t>پنل باز و جدول سالمی ذخیره است</t>
        </is>
      </c>
      <c r="E15" s="59" t="inlineStr">
        <is>
          <t>گام ۱: از پنل یک نقطهٔ صفر یا کانال ناموجود بفرست.
گام ۲: جدول را دوباره بخوان.</t>
        </is>
      </c>
      <c r="F15" s="61" t="inlineStr">
        <is>
          <t>فرستادن نقطهٔ صفر/کانال بد</t>
        </is>
      </c>
      <c r="G15" s="61" t="inlineStr">
        <is>
          <t>پنج دقیقه</t>
        </is>
      </c>
      <c r="H15" s="59" t="inlineStr">
        <is>
          <t>دستگاه ورودی خراب را نمی‌پذیرد و جدول قبلی سالم می‌ماند</t>
        </is>
      </c>
      <c r="I15" s="59" t="inlineStr">
        <is>
          <t>حفظ جدول قبلی</t>
        </is>
      </c>
      <c r="J15" s="59" t="inlineStr">
        <is>
          <t>باید ببینید: دستگاه ورودی خراب را نمی‌پذیرد و جدول قبلی سالم می‌ماند. اگر جدول خراب شد، قبول نیست.</t>
        </is>
      </c>
      <c r="K15" s="59" t="inlineStr">
        <is>
          <t>تست روی کامپیوتر قبول شد:
CalLut: 159 بررسی. ESP: 112 بررسی. پنل (DOM): 324 بررسی.
چک‌ها: گیت خواندن دوبارهٔ کالیبراسیون، به‌روزرسانی جدا، کلیدهای برگشت به کارخانه یکدست و خلاصهٔ نقطهٔ صفر.
اجرای روی برد فیزیکی انجام نشده است.</t>
        </is>
      </c>
      <c r="L15" s="57" t="inlineStr">
        <is>
          <t>در انتظار</t>
        </is>
      </c>
      <c r="M15" s="59" t="inlineStr">
        <is>
          <t>تست روی کامپیوتر جای تست برد را نمی‌گیرد. گذر نقطهٔ صفر و کانال نامعتبر باید روی برد واقعی هم تکرار شود.</t>
        </is>
      </c>
      <c r="N15" s="64" t="inlineStr">
        <is>
          <t>esp_link_panel/Tester/host_test_scenario_cards.js؛ Firmware/Modules/CalLut/Tester/run_host_test_cal_lut.sh</t>
        </is>
      </c>
      <c r="O15" s="61" t="inlineStr">
        <is>
          <t>WORKTREE</t>
        </is>
      </c>
      <c r="P15" s="56" t="n"/>
      <c r="Q15" s="62">
        <f>IF(OR(L15="",L15="در انتظار"),"",IF(Q15="",TODAY(),Q15))</f>
        <v/>
      </c>
      <c r="R15" s="100" t="inlineStr">
        <is>
          <t>—</t>
        </is>
      </c>
    </row>
    <row r="16" ht="81" customHeight="1">
      <c r="A16" s="53" t="inlineStr">
        <is>
          <t>EL-016</t>
        </is>
      </c>
      <c r="B16" s="86" t="inlineStr">
        <is>
          <t>reset grant و flush NVM</t>
        </is>
      </c>
      <c r="C16" s="87" t="inlineStr">
        <is>
          <t>متوسط</t>
        </is>
      </c>
      <c r="D16" s="86" t="inlineStr">
        <is>
          <t>پنل باز و جدولی ذخیره است</t>
        </is>
      </c>
      <c r="E16" s="86" t="inlineStr">
        <is>
          <t>گام ۱: ریست جدول را از پنل با تأیید انجام بده.
گام ۲: برق دستگاه را قطع و وصل کن.
گام ۳: جدول را دوباره بخوان.</t>
        </is>
      </c>
      <c r="F16" s="88" t="inlineStr">
        <is>
          <t>ریست جدول و قطع‌ووصل برق</t>
        </is>
      </c>
      <c r="G16" s="88" t="inlineStr">
        <is>
          <t>پنج دقیقه</t>
        </is>
      </c>
      <c r="H16" s="86" t="inlineStr">
        <is>
          <t>جدول پاک مانده و بعد از روشن‌شدن برنمی‌گردد</t>
        </is>
      </c>
      <c r="I16" s="86" t="inlineStr">
        <is>
          <t>ماندگار</t>
        </is>
      </c>
      <c r="J16" s="86" t="inlineStr">
        <is>
          <t>باید ببینید: جدول پاک‌شده بعد از خاموش و روشن‌کردن هم برنمی‌گردد. اگر برگشت، قبول نیست.</t>
        </is>
      </c>
      <c r="K16" s="86" t="inlineStr">
        <is>
          <t>تست روی کامپیوتر قبول شد:
پارسر: 14 بررسی. حافظهٔ ماندگار (NVM). CalLut: 159 بررسی. ESP: 112 بررسی. پنل (DOM): 331 بررسی. شارژر: 53 بررسی.
ممیزی سازگاری، مهر نسخه (stamp) و پیش‌نمایش رسمی هم قبول شدند.
تست فیزیکی برد انجام نشده است.</t>
        </is>
      </c>
      <c r="L16" s="57" t="inlineStr">
        <is>
          <t>در انتظار</t>
        </is>
      </c>
      <c r="M16" s="86" t="inlineStr">
        <is>
          <t>تست روی کامپیوتر جای تست فیزیکی را نمی‌گیرد: نه STM32 و ESP، نه ارتباط سریال، نه فلش و نه ماندگاری.
روی برد واقعی با تزریق و اندازه‌گیری دوباره انجام شود و خالی‌کردن حافظه (flush) هم چک شود.</t>
        </is>
      </c>
      <c r="N16" s="90" t="inlineStr">
        <is>
          <t>Firmware/Modules/EspLink/Tester/run_host_test_parser.sh؛ run_host_test_nvm.sh؛ Firmware/Modules/CalLut/Tester/run_host_test_cal_lut.sh؛ esp_link_panel/Tester/host_test_scenario_cards.js؛ tools/audit_consistency.py</t>
        </is>
      </c>
      <c r="O16" s="88" t="inlineStr">
        <is>
          <t>WORKTREE</t>
        </is>
      </c>
      <c r="P16" s="61" t="n"/>
      <c r="Q16" s="89">
        <f>IF(OR(L16="",L16="در انتظار"),"",IF(Q16="",TODAY(),Q16))</f>
        <v/>
      </c>
      <c r="R16" s="100" t="inlineStr">
        <is>
          <t>—</t>
        </is>
      </c>
    </row>
    <row r="17" ht="54" customHeight="1">
      <c r="A17" s="53" t="inlineStr">
        <is>
          <t>EL-020</t>
        </is>
      </c>
      <c r="B17" s="59" t="inlineStr">
        <is>
          <t>قفل ترکیب چشمک سبز در پنل</t>
        </is>
      </c>
      <c r="C17" s="60" t="inlineStr">
        <is>
          <t>متوسط</t>
        </is>
      </c>
      <c r="D17" s="59" t="inlineStr">
        <is>
          <t>پنل باز؛ تنظیم‌های چراغ سبز شارژ کامل را می‌بینی</t>
        </is>
      </c>
      <c r="E17" s="59" t="inlineStr">
        <is>
          <t>گام ۱: از پنل عددی بفرست که بخواهد سبز ثابتِ «شارژ کامل» را زودتر از پرشدن واقعی باتری روشن کند (ترکیب ناسازگار).
گام ۲: ببین پنل چه می‌کند.
گام ۳: یک ترکیب درست بفرست و قبول‌شدنش را ببین.</t>
        </is>
      </c>
      <c r="F17" s="61" t="inlineStr">
        <is>
          <t>ترکیب ناسازگار و بعد سازگار از پنل</t>
        </is>
      </c>
      <c r="G17" s="61" t="inlineStr">
        <is>
          <t>پنج دقیقه</t>
        </is>
      </c>
      <c r="H17" s="59" t="inlineStr">
        <is>
          <t>پنل جلوی ترکیب ناسازگار را می‌گیرد و نمی‌گذارد به دستگاه برسد؛ ترکیب درست قبول می‌شود</t>
        </is>
      </c>
      <c r="I17" s="59" t="inlineStr">
        <is>
          <t>—</t>
        </is>
      </c>
      <c r="J17" s="59" t="inlineStr">
        <is>
          <t>باید ببینید: پنل جلوی ترکیب ناسازگار چشمک سبز را می‌گیرد و ترکیب درست را قبول می‌کند. اگر ترکیب بد به دستگاه رسید، قبول نیست.</t>
        </is>
      </c>
      <c r="K17" s="59" t="inlineStr">
        <is>
          <t>هاست 2026-10-15: منطق نگهبان در ۶ حالت (مسدود/آزاد) درست بود و هر دو گیت سبز؛ تست پنل زنده/برد: در انتظار</t>
        </is>
      </c>
      <c r="L17" s="57" t="inlineStr">
        <is>
          <t>در انتظار</t>
        </is>
      </c>
      <c r="M17" s="59" t="n"/>
      <c r="N17" s="59" t="n"/>
      <c r="O17" s="61" t="inlineStr">
        <is>
          <t>8efddaa</t>
        </is>
      </c>
      <c r="P17" s="61" t="n"/>
      <c r="Q17" s="62">
        <f>IF(OR(L17="",L17="در انتظار"),"",IF(Q17="",TODAY(),Q17))</f>
        <v/>
      </c>
      <c r="R17" s="100" t="inlineStr">
        <is>
          <t>—</t>
        </is>
      </c>
    </row>
    <row r="18" ht="67.5" customHeight="1">
      <c r="A18" s="53" t="inlineStr">
        <is>
          <t>EL-017</t>
        </is>
      </c>
      <c r="B18" s="86" t="inlineStr">
        <is>
          <t>پنل دیالوگ alert</t>
        </is>
      </c>
      <c r="C18" s="87" t="inlineStr">
        <is>
          <t>پایین</t>
        </is>
      </c>
      <c r="D18" s="86" t="inlineStr">
        <is>
          <t>پنل باز و دستگاه در حال کار است</t>
        </is>
      </c>
      <c r="E18" s="86" t="inlineStr">
        <is>
          <t>گام ۱: کاری کن یک پیام هشدار در پنل بیاید. مثلاً یک خطای واقعی بساز، مثل قطع باتری.
گام ۲: متن پیام را بخوان و تأییدش کن.
گام ۳: ببین کار دستگاه هنگام پیام به هم نریخته باشد.</t>
        </is>
      </c>
      <c r="F18" s="88" t="inlineStr">
        <is>
          <t>هشدار واقعی در پنل</t>
        </is>
      </c>
      <c r="G18" s="88" t="inlineStr">
        <is>
          <t>پنج دقیقه</t>
        </is>
      </c>
      <c r="H18" s="86" t="inlineStr">
        <is>
          <t>پیام درست و خوانا می‌آید، با تأیید بسته می‌شود و کار دستگاه ادامه دارد</t>
        </is>
      </c>
      <c r="I18" s="86" t="inlineStr">
        <is>
          <t>—</t>
        </is>
      </c>
      <c r="J18" s="86" t="inlineStr">
        <is>
          <t>باید ببینید: پیام درست و خوانا می‌آید، با تأیید بسته می‌شود و کار دستگاه ادامه دارد. اگر هنگ یا پیام اشتباه دیدید، قبول نیست.</t>
        </is>
      </c>
      <c r="K18" s="54" t="n"/>
      <c r="L18" s="65" t="inlineStr">
        <is>
          <t>نیاز به تکرار</t>
        </is>
      </c>
      <c r="M18" s="54" t="n"/>
      <c r="N18" s="86" t="inlineStr">
        <is>
          <t>../../../esp_link_panel/Tester/host_test_scenario_cards.js</t>
        </is>
      </c>
      <c r="O18" s="88" t="inlineStr">
        <is>
          <t>62f3782</t>
        </is>
      </c>
      <c r="P18" s="56" t="n"/>
      <c r="Q18" s="89">
        <f>IF(OR(L18="",L18="در انتظار"),"",IF(Q18="",TODAY(),Q18))</f>
        <v/>
      </c>
      <c r="R18" s="100" t="inlineStr">
        <is>
          <t>—</t>
        </is>
      </c>
    </row>
    <row r="19" ht="67.5" customHeight="1">
      <c r="A19" s="53" t="inlineStr">
        <is>
          <t>EL-018</t>
        </is>
      </c>
      <c r="B19" s="59" t="inlineStr">
        <is>
          <t>پنل دیالوگ confirm</t>
        </is>
      </c>
      <c r="C19" s="60" t="inlineStr">
        <is>
          <t>پایین</t>
        </is>
      </c>
      <c r="D19" s="59" t="inlineStr">
        <is>
          <t>پنل باز است</t>
        </is>
      </c>
      <c r="E19" s="59" t="inlineStr">
        <is>
          <t>گام ۱: یک تغییر مهم را در پنل شروع کن تا پیام تأیید بیاید.
گام ۲: این بار دکمهٔ «لغو» (Cancel) را بزن.
گام ۳: مقدار را دوباره بخوان.</t>
        </is>
      </c>
      <c r="F19" s="61" t="inlineStr">
        <is>
          <t>لغو کردن پیام تأیید</t>
        </is>
      </c>
      <c r="G19" s="61" t="inlineStr">
        <is>
          <t>پنج دقیقه</t>
        </is>
      </c>
      <c r="H19" s="59" t="inlineStr">
        <is>
          <t>با لغو، هیچ تغییری اعمال نشده و مقدار قبلی سر جاست</t>
        </is>
      </c>
      <c r="I19" s="59" t="inlineStr">
        <is>
          <t>—</t>
        </is>
      </c>
      <c r="J19" s="59" t="inlineStr">
        <is>
          <t>باید ببینید: با لغو، هیچ تغییری اعمال نشده و مقدار قبلی سر جاست. اگر با وجود لغو اعمال شد، قبول نیست.</t>
        </is>
      </c>
      <c r="K19" s="59" t="n"/>
      <c r="L19" s="65" t="inlineStr">
        <is>
          <t>نیاز به تکرار</t>
        </is>
      </c>
      <c r="M19" s="59" t="n"/>
      <c r="N19" s="59" t="inlineStr">
        <is>
          <t>../../../esp_link_panel/Tester/host_test_scenario_cards.js</t>
        </is>
      </c>
      <c r="O19" s="61" t="inlineStr">
        <is>
          <t>62f3782</t>
        </is>
      </c>
      <c r="P19" s="61" t="n"/>
      <c r="Q19" s="62">
        <f>IF(OR(L19="",L19="در انتظار"),"",IF(Q19="",TODAY(),Q19))</f>
        <v/>
      </c>
      <c r="R19" s="100" t="inlineStr">
        <is>
          <t>—</t>
        </is>
      </c>
    </row>
    <row r="20" ht="54" customHeight="1">
      <c r="A20" s="53" t="inlineStr">
        <is>
          <t>EL-007</t>
        </is>
      </c>
      <c r="B20" s="86" t="inlineStr">
        <is>
          <t>سرریز ring</t>
        </is>
      </c>
      <c r="C20" s="88" t="inlineStr">
        <is>
          <t>پایین</t>
        </is>
      </c>
      <c r="D20" s="86" t="inlineStr">
        <is>
          <t>پنل باز و دستگاه روشن است</t>
        </is>
      </c>
      <c r="E20" s="86" t="inlineStr">
        <is>
          <t>گام ۱: چند پارامتر را پشت سر هم و سریع از پنل عوض کن.
گام ۲: بعد همه را یکی‌یکی بخوان و با چیزی که فرستادی مقایسه کن.</t>
        </is>
      </c>
      <c r="F20" s="88" t="inlineStr">
        <is>
          <t>تغییر سریع چند پارامتر</t>
        </is>
      </c>
      <c r="G20" s="88" t="inlineStr">
        <is>
          <t>پنج دقیقه</t>
        </is>
      </c>
      <c r="H20" s="86" t="inlineStr">
        <is>
          <t>هیچ تغییری گم نمی‌شود و پنل و دستگاه هنگ نمی‌کنند</t>
        </is>
      </c>
      <c r="I20" s="86" t="inlineStr">
        <is>
          <t>—</t>
        </is>
      </c>
      <c r="J20" s="86" t="inlineStr">
        <is>
          <t>باید ببینید: هیچ تغییری گم نمی‌شود و پنل و دستگاه هنگ نمی‌کنند. اگر تغییری گم شد یا هنگ دیدید، قبول نیست.</t>
        </is>
      </c>
      <c r="K20" s="54" t="n"/>
      <c r="L20" s="57" t="inlineStr">
        <is>
          <t>در انتظار</t>
        </is>
      </c>
      <c r="M20" s="54" t="n"/>
      <c r="N20" s="54" t="n"/>
      <c r="O20" s="88" t="inlineStr">
        <is>
          <t>(بعد از تست پر شود)</t>
        </is>
      </c>
      <c r="P20" s="56" t="n"/>
      <c r="Q20" s="89">
        <f>IF(OR(L20="",L20="در انتظار"),"",IF(Q20="",TODAY(),Q20))</f>
        <v/>
      </c>
      <c r="R20" s="100" t="inlineStr">
        <is>
          <t>—</t>
        </is>
      </c>
    </row>
    <row r="21" ht="54" customHeight="1">
      <c r="A21" s="53" t="inlineStr">
        <is>
          <t>EL-008</t>
        </is>
      </c>
      <c r="B21" s="59" t="inlineStr">
        <is>
          <t>محدودیت burst</t>
        </is>
      </c>
      <c r="C21" s="61" t="inlineStr">
        <is>
          <t>پایین</t>
        </is>
      </c>
      <c r="D21" s="59" t="inlineStr">
        <is>
          <t>پنل باز و دستگاه روشن است</t>
        </is>
      </c>
      <c r="E21" s="59" t="inlineStr">
        <is>
          <t>گام ۱: در مدت کوتاه دستورهای زیادی از پنل بفرست (خواندن و نوشتن پشت سر هم).
گام ۲: رفتار دستگاه و پنل را نگاه کن.</t>
        </is>
      </c>
      <c r="F21" s="61" t="inlineStr">
        <is>
          <t>بار زیاد دستور از پنل</t>
        </is>
      </c>
      <c r="G21" s="61" t="inlineStr">
        <is>
          <t>پنج دقیقه</t>
        </is>
      </c>
      <c r="H21" s="59" t="inlineStr">
        <is>
          <t>دستگاه به نوبت و کامل جواب می‌دهد؛ هنگ، ریست یا جواب نصفه نیست</t>
        </is>
      </c>
      <c r="I21" s="59" t="inlineStr">
        <is>
          <t>—</t>
        </is>
      </c>
      <c r="J21" s="59" t="inlineStr">
        <is>
          <t>باید ببینید: دستگاه زیر بار به نوبت و کامل جواب می‌دهد؛ هنگ، ریست یا جواب نصفه نیست. اگر هنگ یا ریست دیدید، قبول نیست.</t>
        </is>
      </c>
      <c r="K21" s="59" t="n"/>
      <c r="L21" s="57" t="inlineStr">
        <is>
          <t>در انتظار</t>
        </is>
      </c>
      <c r="M21" s="59" t="n"/>
      <c r="N21" s="59" t="n"/>
      <c r="O21" s="61" t="inlineStr">
        <is>
          <t>(بعد از تست پر شود)</t>
        </is>
      </c>
      <c r="P21" s="61" t="n"/>
      <c r="Q21" s="62">
        <f>IF(OR(L21="",L21="در انتظار"),"",IF(Q21="",TODAY(),Q21))</f>
        <v/>
      </c>
      <c r="R21" s="100" t="inlineStr">
        <is>
          <t>—</t>
        </is>
      </c>
    </row>
    <row r="22" ht="54" customHeight="1">
      <c r="A22" s="53" t="inlineStr">
        <is>
          <t>EL-019</t>
        </is>
      </c>
      <c r="B22" s="86" t="inlineStr">
        <is>
          <t>صف دیالوگ PMQ</t>
        </is>
      </c>
      <c r="C22" s="88" t="inlineStr">
        <is>
          <t>پایین</t>
        </is>
      </c>
      <c r="D22" s="86" t="inlineStr">
        <is>
          <t>پنل باز و دستگاه روشن است</t>
        </is>
      </c>
      <c r="E22" s="86" t="inlineStr">
        <is>
          <t>گام ۱: پشت سر هم چند پیام/دیالوگ بساز (چند خطا یا چند تأیید).
گام ۲: ببین به نوبت نشان داده می‌شوند.
گام ۳: همه را ببند.</t>
        </is>
      </c>
      <c r="F22" s="88" t="inlineStr">
        <is>
          <t>چند پیام پشت سر هم</t>
        </is>
      </c>
      <c r="G22" s="88" t="inlineStr">
        <is>
          <t>پنج دقیقه</t>
        </is>
      </c>
      <c r="H22" s="86" t="inlineStr">
        <is>
          <t>پیام‌ها به نوبت و بدون گم‌شدن و قاطی‌شدن نشان داده می‌شوند</t>
        </is>
      </c>
      <c r="I22" s="86" t="inlineStr">
        <is>
          <t>صف مرتب</t>
        </is>
      </c>
      <c r="J22" s="86" t="inlineStr">
        <is>
          <t>باید ببینید: پیام‌ها به نوبت و بدون گم‌شدن و قاطی‌شدن نشان داده می‌شوند. اگر پیامی گم یا قاطی شد، قبول نیست.</t>
        </is>
      </c>
      <c r="K22" s="54" t="n"/>
      <c r="L22" s="65" t="inlineStr">
        <is>
          <t>نیاز به تکرار</t>
        </is>
      </c>
      <c r="M22" s="54" t="n"/>
      <c r="N22" s="54" t="n"/>
      <c r="O22" s="88" t="inlineStr">
        <is>
          <t>62f3782</t>
        </is>
      </c>
      <c r="P22" s="56" t="n"/>
      <c r="Q22" s="89">
        <f>IF(OR(L22="",L22="در انتظار"),"",IF(Q22="",TODAY(),Q22))</f>
        <v/>
      </c>
      <c r="R22" s="100" t="inlineStr">
        <is>
          <t>—</t>
        </is>
      </c>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row r="47">
      <c r="A47" s="79" t="n"/>
      <c r="B47" s="79" t="n"/>
      <c r="C47" s="79" t="n"/>
      <c r="D47" s="79" t="n"/>
      <c r="E47" s="79" t="n"/>
      <c r="F47" s="79" t="n"/>
      <c r="G47" s="79" t="n"/>
      <c r="H47" s="79" t="n"/>
      <c r="I47" s="79" t="n"/>
      <c r="J47" s="79" t="n"/>
      <c r="K47" s="79" t="n"/>
      <c r="L47" s="79" t="n"/>
      <c r="M47" s="79" t="n"/>
      <c r="N47" s="79" t="n"/>
      <c r="O47" s="79" t="n"/>
      <c r="P47" s="79" t="n"/>
      <c r="Q47" s="80" t="n"/>
    </row>
    <row r="48">
      <c r="A48" s="79" t="n"/>
      <c r="B48" s="79" t="n"/>
      <c r="C48" s="79" t="n"/>
      <c r="D48" s="79" t="n"/>
      <c r="E48" s="79" t="n"/>
      <c r="F48" s="79" t="n"/>
      <c r="G48" s="79" t="n"/>
      <c r="H48" s="79" t="n"/>
      <c r="I48" s="79" t="n"/>
      <c r="J48" s="79" t="n"/>
      <c r="K48" s="79" t="n"/>
      <c r="L48" s="79" t="n"/>
      <c r="M48" s="79" t="n"/>
      <c r="N48" s="79" t="n"/>
      <c r="O48" s="79" t="n"/>
      <c r="P48" s="79" t="n"/>
      <c r="Q48" s="80" t="n"/>
    </row>
    <row r="49">
      <c r="A49" s="79" t="n"/>
      <c r="B49" s="79" t="n"/>
      <c r="C49" s="79" t="n"/>
      <c r="D49" s="79" t="n"/>
      <c r="E49" s="79" t="n"/>
      <c r="F49" s="79" t="n"/>
      <c r="G49" s="79" t="n"/>
      <c r="H49" s="79" t="n"/>
      <c r="I49" s="79" t="n"/>
      <c r="J49" s="79" t="n"/>
      <c r="K49" s="79" t="n"/>
      <c r="L49" s="79" t="n"/>
      <c r="M49" s="79" t="n"/>
      <c r="N49" s="79" t="n"/>
      <c r="O49" s="79" t="n"/>
      <c r="P49" s="79" t="n"/>
      <c r="Q49" s="80" t="n"/>
    </row>
    <row r="50">
      <c r="A50" s="79" t="n"/>
      <c r="B50" s="79" t="n"/>
      <c r="C50" s="79" t="n"/>
      <c r="D50" s="79" t="n"/>
      <c r="E50" s="79" t="n"/>
      <c r="F50" s="79" t="n"/>
      <c r="G50" s="79" t="n"/>
      <c r="H50" s="79" t="n"/>
      <c r="I50" s="79" t="n"/>
      <c r="J50" s="79" t="n"/>
      <c r="K50" s="79" t="n"/>
      <c r="L50" s="79" t="n"/>
      <c r="M50" s="79" t="n"/>
      <c r="N50" s="79" t="n"/>
      <c r="O50" s="79" t="n"/>
      <c r="P50" s="79" t="n"/>
      <c r="Q50" s="80" t="n"/>
    </row>
    <row r="51">
      <c r="A51" s="79" t="n"/>
      <c r="B51" s="79" t="n"/>
      <c r="C51" s="79" t="n"/>
      <c r="D51" s="79" t="n"/>
      <c r="E51" s="79" t="n"/>
      <c r="F51" s="79" t="n"/>
      <c r="G51" s="79" t="n"/>
      <c r="H51" s="79" t="n"/>
      <c r="I51" s="79" t="n"/>
      <c r="J51" s="79" t="n"/>
      <c r="K51" s="79" t="n"/>
      <c r="L51" s="79" t="n"/>
      <c r="M51" s="79" t="n"/>
      <c r="N51" s="79" t="n"/>
      <c r="O51" s="79" t="n"/>
      <c r="P51" s="79" t="n"/>
      <c r="Q51" s="80" t="n"/>
    </row>
    <row r="52">
      <c r="A52" s="79" t="n"/>
      <c r="B52" s="79" t="n"/>
      <c r="C52" s="79" t="n"/>
      <c r="D52" s="79" t="n"/>
      <c r="E52" s="79" t="n"/>
      <c r="F52" s="79" t="n"/>
      <c r="G52" s="79" t="n"/>
      <c r="H52" s="79" t="n"/>
      <c r="I52" s="79" t="n"/>
      <c r="J52" s="79" t="n"/>
      <c r="K52" s="79" t="n"/>
      <c r="L52" s="79" t="n"/>
      <c r="M52" s="79" t="n"/>
      <c r="N52" s="79" t="n"/>
      <c r="O52" s="79" t="n"/>
      <c r="P52" s="79" t="n"/>
      <c r="Q52" s="80" t="n"/>
    </row>
    <row r="53">
      <c r="A53" s="79" t="n"/>
      <c r="B53" s="79" t="n"/>
      <c r="C53" s="79" t="n"/>
      <c r="D53" s="79" t="n"/>
      <c r="E53" s="79" t="n"/>
      <c r="F53" s="79" t="n"/>
      <c r="G53" s="79" t="n"/>
      <c r="H53" s="79" t="n"/>
      <c r="I53" s="79" t="n"/>
      <c r="J53" s="79" t="n"/>
      <c r="K53" s="79" t="n"/>
      <c r="L53" s="79" t="n"/>
      <c r="M53" s="79" t="n"/>
      <c r="N53" s="79" t="n"/>
      <c r="O53" s="79" t="n"/>
      <c r="P53" s="79" t="n"/>
      <c r="Q53" s="80" t="n"/>
    </row>
    <row r="54">
      <c r="A54" s="79" t="n"/>
      <c r="B54" s="79" t="n"/>
      <c r="C54" s="79" t="n"/>
      <c r="D54" s="79" t="n"/>
      <c r="E54" s="79" t="n"/>
      <c r="F54" s="79" t="n"/>
      <c r="G54" s="79" t="n"/>
      <c r="H54" s="79" t="n"/>
      <c r="I54" s="79" t="n"/>
      <c r="J54" s="79" t="n"/>
      <c r="K54" s="79" t="n"/>
      <c r="L54" s="79" t="n"/>
      <c r="M54" s="79" t="n"/>
      <c r="N54" s="79" t="n"/>
      <c r="O54" s="79" t="n"/>
      <c r="P54" s="79" t="n"/>
      <c r="Q54" s="80" t="n"/>
    </row>
    <row r="55">
      <c r="A55" s="79" t="n"/>
      <c r="B55" s="79" t="n"/>
      <c r="C55" s="79" t="n"/>
      <c r="D55" s="79" t="n"/>
      <c r="E55" s="79" t="n"/>
      <c r="F55" s="79" t="n"/>
      <c r="G55" s="79" t="n"/>
      <c r="H55" s="79" t="n"/>
      <c r="I55" s="79" t="n"/>
      <c r="J55" s="79" t="n"/>
      <c r="K55" s="79" t="n"/>
      <c r="L55" s="79" t="n"/>
      <c r="M55" s="79" t="n"/>
      <c r="N55" s="79" t="n"/>
      <c r="O55" s="79" t="n"/>
      <c r="P55" s="79" t="n"/>
      <c r="Q55" s="80" t="n"/>
    </row>
    <row r="56">
      <c r="A56" s="79" t="n"/>
      <c r="B56" s="79" t="n"/>
      <c r="C56" s="79" t="n"/>
      <c r="D56" s="79" t="n"/>
      <c r="E56" s="79" t="n"/>
      <c r="F56" s="79" t="n"/>
      <c r="G56" s="79" t="n"/>
      <c r="H56" s="79" t="n"/>
      <c r="I56" s="79" t="n"/>
      <c r="J56" s="79" t="n"/>
      <c r="K56" s="79" t="n"/>
      <c r="L56" s="79" t="n"/>
      <c r="M56" s="79" t="n"/>
      <c r="N56" s="79" t="n"/>
      <c r="O56" s="79" t="n"/>
      <c r="P56" s="79" t="n"/>
      <c r="Q56" s="80" t="n"/>
    </row>
    <row r="57">
      <c r="A57" s="79" t="n"/>
      <c r="B57" s="79" t="n"/>
      <c r="C57" s="79" t="n"/>
      <c r="D57" s="79" t="n"/>
      <c r="E57" s="79" t="n"/>
      <c r="F57" s="79" t="n"/>
      <c r="G57" s="79" t="n"/>
      <c r="H57" s="79" t="n"/>
      <c r="I57" s="79" t="n"/>
      <c r="J57" s="79" t="n"/>
      <c r="K57" s="79" t="n"/>
      <c r="L57" s="79" t="n"/>
      <c r="M57" s="79" t="n"/>
      <c r="N57" s="79" t="n"/>
      <c r="O57" s="79" t="n"/>
      <c r="P57" s="79" t="n"/>
      <c r="Q57" s="80" t="n"/>
    </row>
    <row r="58">
      <c r="A58" s="79" t="n"/>
      <c r="B58" s="79" t="n"/>
      <c r="C58" s="79" t="n"/>
      <c r="D58" s="79" t="n"/>
      <c r="E58" s="79" t="n"/>
      <c r="F58" s="79" t="n"/>
      <c r="G58" s="79" t="n"/>
      <c r="H58" s="79" t="n"/>
      <c r="I58" s="79" t="n"/>
      <c r="J58" s="79" t="n"/>
      <c r="K58" s="79" t="n"/>
      <c r="L58" s="79" t="n"/>
      <c r="M58" s="79" t="n"/>
      <c r="N58" s="79" t="n"/>
      <c r="O58" s="79" t="n"/>
      <c r="P58" s="79" t="n"/>
      <c r="Q58" s="80" t="n"/>
    </row>
    <row r="59">
      <c r="A59" s="79" t="n"/>
      <c r="B59" s="79" t="n"/>
      <c r="C59" s="79" t="n"/>
      <c r="D59" s="79" t="n"/>
      <c r="E59" s="79" t="n"/>
      <c r="F59" s="79" t="n"/>
      <c r="G59" s="79" t="n"/>
      <c r="H59" s="79" t="n"/>
      <c r="I59" s="79" t="n"/>
      <c r="J59" s="79" t="n"/>
      <c r="K59" s="79" t="n"/>
      <c r="L59" s="79" t="n"/>
      <c r="M59" s="79" t="n"/>
      <c r="N59" s="79" t="n"/>
      <c r="O59" s="79" t="n"/>
      <c r="P59" s="79" t="n"/>
      <c r="Q59" s="80" t="n"/>
    </row>
    <row r="60">
      <c r="A60" s="79" t="n"/>
      <c r="B60" s="79" t="n"/>
      <c r="C60" s="79" t="n"/>
      <c r="D60" s="79" t="n"/>
      <c r="E60" s="79" t="n"/>
      <c r="F60" s="79" t="n"/>
      <c r="G60" s="79" t="n"/>
      <c r="H60" s="79" t="n"/>
      <c r="I60" s="79" t="n"/>
      <c r="J60" s="79" t="n"/>
      <c r="K60" s="79" t="n"/>
      <c r="L60" s="79" t="n"/>
      <c r="M60" s="79" t="n"/>
      <c r="N60" s="79" t="n"/>
      <c r="O60" s="79" t="n"/>
      <c r="P60" s="79" t="n"/>
      <c r="Q60" s="80" t="n"/>
    </row>
    <row r="61">
      <c r="A61" s="79" t="n"/>
      <c r="B61" s="79" t="n"/>
      <c r="C61" s="79" t="n"/>
      <c r="D61" s="79" t="n"/>
      <c r="E61" s="79" t="n"/>
      <c r="F61" s="79" t="n"/>
      <c r="G61" s="79" t="n"/>
      <c r="H61" s="79" t="n"/>
      <c r="I61" s="79" t="n"/>
      <c r="J61" s="79" t="n"/>
      <c r="K61" s="79" t="n"/>
      <c r="L61" s="79" t="n"/>
      <c r="M61" s="79" t="n"/>
      <c r="N61" s="79" t="n"/>
      <c r="O61" s="79" t="n"/>
      <c r="P61" s="79" t="n"/>
      <c r="Q61" s="80" t="n"/>
    </row>
    <row r="62">
      <c r="A62" s="79" t="n"/>
      <c r="B62" s="79" t="n"/>
      <c r="C62" s="79" t="n"/>
      <c r="D62" s="79" t="n"/>
      <c r="E62" s="79" t="n"/>
      <c r="F62" s="79" t="n"/>
      <c r="G62" s="79" t="n"/>
      <c r="H62" s="79" t="n"/>
      <c r="I62" s="79" t="n"/>
      <c r="J62" s="79" t="n"/>
      <c r="K62" s="79" t="n"/>
      <c r="L62" s="79" t="n"/>
      <c r="M62" s="79" t="n"/>
      <c r="N62" s="79" t="n"/>
      <c r="O62" s="79" t="n"/>
      <c r="P62" s="79" t="n"/>
      <c r="Q62" s="80" t="n"/>
    </row>
  </sheetData>
  <autoFilter ref="A4:Q62"/>
  <mergeCells count="5">
    <mergeCell ref="A3:Q3"/>
    <mergeCell ref="T1:U1"/>
    <mergeCell ref="A2:Q2"/>
    <mergeCell ref="T3:U3"/>
    <mergeCell ref="A1:Q1"/>
  </mergeCells>
  <dataValidations count="2">
    <dataValidation sqref="C5:C22" showDropDown="0" showInputMessage="0" showErrorMessage="0" allowBlank="1" type="list">
      <formula1>='فهرست‌ها'!$B$9:$B$11</formula1>
    </dataValidation>
    <dataValidation sqref="L5:L22" showDropDown="0" showInputMessage="0" showErrorMessage="0" allowBlank="1" type="list">
      <formula1>='فهرست‌ها'!$A$2:$A$7</formula1>
    </dataValidation>
  </dataValidations>
  <hyperlinks>
    <hyperlink xmlns:r="http://schemas.openxmlformats.org/officeDocument/2006/relationships" ref="N15" r:id="rId1"/>
    <hyperlink xmlns:r="http://schemas.openxmlformats.org/officeDocument/2006/relationships" ref="N16" r:id="rId2"/>
    <hyperlink xmlns:r="http://schemas.openxmlformats.org/officeDocument/2006/relationships" ref="N18" r:id="rId3"/>
    <hyperlink xmlns:r="http://schemas.openxmlformats.org/officeDocument/2006/relationships" ref="N19" r:id="rId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آزمایشگاهی (پایه، اسیلوسکوپ و زمان‌بندی دقیق — جدا از تست عملی)</t>
        </is>
      </c>
      <c r="B1" s="52" t="n"/>
      <c r="C1" s="52" t="n"/>
      <c r="D1" s="52" t="n"/>
      <c r="E1" s="52" t="n"/>
      <c r="F1" s="52" t="n"/>
      <c r="G1" s="52" t="n"/>
      <c r="H1" s="52" t="n"/>
      <c r="I1" s="52" t="n"/>
      <c r="J1" s="52" t="n"/>
      <c r="K1" s="52" t="n"/>
      <c r="L1" s="52" t="n"/>
      <c r="M1" s="52" t="n"/>
      <c r="N1" s="52" t="n"/>
      <c r="O1" s="52" t="n"/>
      <c r="P1" s="52" t="n"/>
      <c r="Q1" s="52"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2" t="n"/>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40.5" customHeight="1">
      <c r="A5" s="53" t="inlineStr">
        <is>
          <t>EL-009</t>
        </is>
      </c>
      <c r="B5" s="59" t="inlineStr">
        <is>
          <t>فیزیکال 921600</t>
        </is>
      </c>
      <c r="C5" s="60" t="inlineStr">
        <is>
          <t>بالا</t>
        </is>
      </c>
      <c r="D5" s="59" t="inlineStr">
        <is>
          <t>اسکوپ روی PA9/PA10</t>
        </is>
      </c>
      <c r="E5" s="59" t="inlineStr">
        <is>
          <t>گام ۱: اسیلوسکوپ را روی پایه‌های PA9 و PA10 (UART) بگذار.
گام ۲: شکل موج و نرخ باد را بخوان: باید 921600 با قالب 8N1 باشد.
گام ۳: 60 ثانیه تبادل واقعی را زیر نظر بگیر؛ هیچ فریم خرابی نباید دیده شود.</t>
        </is>
      </c>
      <c r="F5" s="61" t="inlineStr">
        <is>
          <t>—</t>
        </is>
      </c>
      <c r="G5" s="61" t="inlineStr">
        <is>
          <t>—</t>
        </is>
      </c>
      <c r="H5" s="59" t="inlineStr">
        <is>
          <t>921600 8N1 با درام DDR و بدون خطا</t>
        </is>
      </c>
      <c r="I5" s="59" t="inlineStr">
        <is>
          <t>—</t>
        </is>
      </c>
      <c r="J5" s="59" t="inlineStr">
        <is>
          <t>بدون فریم خراب در 60s</t>
        </is>
      </c>
      <c r="K5" s="54" t="n"/>
      <c r="L5" s="57" t="inlineStr">
        <is>
          <t>در انتظار</t>
        </is>
      </c>
      <c r="M5" s="54" t="n"/>
      <c r="N5" s="54" t="n"/>
      <c r="O5" s="61" t="inlineStr">
        <is>
          <t>(بعد از تست پر شود)</t>
        </is>
      </c>
      <c r="P5" s="56"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EL-012</t>
        </is>
      </c>
      <c r="B5" s="59" t="inlineStr">
        <is>
          <t>فعال‌سازی یک‌خطی</t>
        </is>
      </c>
      <c r="C5" s="60" t="inlineStr">
        <is>
          <t>بالا</t>
        </is>
      </c>
      <c r="D5" s="59" t="inlineStr">
        <is>
          <t>MODULE_ESP=0</t>
        </is>
      </c>
      <c r="E5" s="59" t="inlineStr">
        <is>
          <t>گام ۱: بیلد را با MODULE_ESP=0 بگیر و رفتار عادی برد را یک بار ببین.
گام ۲: فقط MODULE_ESP را 1 کن و دوباره بیلد بگیر (هیچ تغییر دیگری نده).
گام ۳: برد را بوت کن (60 ثانیه).
گام ۴: لینک باید بدون دست‌کاری بقیهٔ ماژول‌ها بالا بیاید و پنل آنلاین شود.</t>
        </is>
      </c>
      <c r="F5" s="61" t="inlineStr">
        <is>
          <t>—</t>
        </is>
      </c>
      <c r="G5" s="61" t="inlineStr">
        <is>
          <t>60s</t>
        </is>
      </c>
      <c r="H5" s="59" t="inlineStr">
        <is>
          <t>لینک بدون هیچ تغییر دیگر بالا می‌آید؛ سایر ماژول‌ها دست‌نخورده</t>
        </is>
      </c>
      <c r="I5" s="59" t="inlineStr">
        <is>
          <t>—</t>
        </is>
      </c>
      <c r="J5" s="59" t="inlineStr">
        <is>
          <t>پنل آنلاین</t>
        </is>
      </c>
      <c r="K5" s="59" t="n"/>
      <c r="L5" s="57" t="inlineStr">
        <is>
          <t>در انتظار</t>
        </is>
      </c>
      <c r="M5" s="59" t="n"/>
      <c r="N5" s="59" t="n"/>
      <c r="O5" s="61" t="inlineStr">
        <is>
          <t>(بعد از تست پر شود)</t>
        </is>
      </c>
      <c r="P5" s="61"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2" t="inlineStr">
        <is>
          <t>مرجع سریع سناریوها و ثابت‌های ماژول EspLink</t>
        </is>
      </c>
      <c r="B1" s="38" t="n"/>
      <c r="C1" s="38" t="n"/>
      <c r="D1" s="38" t="n"/>
      <c r="E1" s="39"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سرعت لینک</t>
        </is>
      </c>
      <c r="B4" s="72" t="inlineStr">
        <is>
          <t>921600 8N1، DMA دوطرفه</t>
        </is>
      </c>
      <c r="C4" s="72" t="inlineStr">
        <is>
          <t>بدون بار CPU</t>
        </is>
      </c>
      <c r="D4" s="73" t="inlineStr">
        <is>
          <t>bsp_uart.c</t>
        </is>
      </c>
      <c r="E4" s="72" t="inlineStr">
        <is>
          <t>پروتکل v1.2</t>
        </is>
      </c>
    </row>
    <row r="5">
      <c r="A5" s="72" t="inlineStr">
        <is>
          <t>فریم</t>
        </is>
      </c>
      <c r="B5" s="72" t="inlineStr">
        <is>
          <t>AA 55 type len payload XOR، payload≤112</t>
        </is>
      </c>
      <c r="C5" s="72" t="inlineStr">
        <is>
          <t>TLM=84B، BULK=101B</t>
        </is>
      </c>
      <c r="D5" s="73" t="inlineStr">
        <is>
          <t>ESP_AGENT_SPEC.md §2</t>
        </is>
      </c>
      <c r="E5" s="72" t="inlineStr">
        <is>
          <t>اندیان کوچک</t>
        </is>
      </c>
    </row>
    <row r="6">
      <c r="A6" s="72" t="inlineStr">
        <is>
          <t>ددمن مود دستی</t>
        </is>
      </c>
      <c r="B6" s="72" t="inlineStr">
        <is>
          <t>هر فریم معتبر، سقف 3s سکوت</t>
        </is>
      </c>
      <c r="C6" s="72" t="inlineStr">
        <is>
          <t>خروج خودکار + duty صفر</t>
        </is>
      </c>
      <c r="D6" s="72" t="inlineStr">
        <is>
          <t>CHG_MANUAL_WATCHDOG_MS</t>
        </is>
      </c>
      <c r="E6" s="72" t="inlineStr">
        <is>
          <t>keepalive پنل = 1s</t>
        </is>
      </c>
    </row>
    <row r="7">
      <c r="A7" s="72" t="inlineStr">
        <is>
          <t>پارامترها</t>
        </is>
      </c>
      <c r="B7" s="72" t="inlineStr">
        <is>
          <t>ID0..19 فقط RAM</t>
        </is>
      </c>
      <c r="C7" s="72" t="inlineStr">
        <is>
          <t>کلمپ + PARAM_REPORT</t>
        </is>
      </c>
      <c r="D7" s="72" t="inlineStr">
        <is>
          <t>README محدودیت‌های سمت ESP</t>
        </is>
      </c>
      <c r="E7" s="72" t="inlineStr">
        <is>
          <t>ری‌استارت → پیش‌فرض</t>
        </is>
      </c>
    </row>
    <row r="8">
      <c r="A8" s="72" t="inlineStr">
        <is>
          <t>پنل</t>
        </is>
      </c>
      <c r="B8" s="72" t="inlineStr">
        <is>
          <t>esp_link_panel/ نسخهٔ ممیزی 32098b4</t>
        </is>
      </c>
      <c r="C8" s="72" t="inlineStr">
        <is>
          <t>keepalive مستقل از مرورگر + محافظ پنل بسته 10s</t>
        </is>
      </c>
      <c r="D8" s="72" t="inlineStr">
        <is>
          <t>README EspLink</t>
        </is>
      </c>
      <c r="E8" s="72" t="inlineStr">
        <is>
          <t>به‌روزرسانی فونت با /f.css?v=2</t>
        </is>
      </c>
    </row>
    <row r="9">
      <c r="A9" s="72" t="inlineStr">
        <is>
          <t>reset grant و flush NVM</t>
        </is>
      </c>
      <c r="B9" s="72" t="inlineStr">
        <is>
          <t>magic + commit grant؛ flush NVM پیش از arm</t>
        </is>
      </c>
      <c r="C9" s="72" t="inlineStr">
        <is>
          <t>flush failure = no reset و grant retained؛ success = reset one-shot</t>
        </is>
      </c>
      <c r="D9" s="73" t="inlineStr">
        <is>
          <t>cal_lut.c / esp_link.c / esp_link_nvm.c</t>
        </is>
      </c>
      <c r="E9" s="72" t="inlineStr">
        <is>
          <t>zero-point commit حتی بدون active table معتبر است</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9" r:id="rId3"/>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1" t="inlineStr">
        <is>
          <t>ثبت ایرادهای مشاهده‌شده — ماژول EspLink</t>
        </is>
      </c>
    </row>
    <row r="2" ht="30" customHeight="1">
      <c r="A2" s="82"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1" t="inlineStr">
        <is>
          <t>تأیید نهایی اعتبارسنجی — ماژول EspLink</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EspLink — پل ESP و پروتکل v1.2</t>
        </is>
      </c>
      <c r="C5" s="52" t="n"/>
    </row>
    <row r="6">
      <c r="A6" s="48" t="inlineStr">
        <is>
          <t>تاریخ ساخت فرم</t>
        </is>
      </c>
      <c r="B6" s="48" t="inlineStr">
        <is>
          <t>2026-09-23 (1.0 — پوشش v1.2)</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پنل ESP + اسکوپ + مانیتور UART</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inlineStr">
        <is>
          <t>16</t>
        </is>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IF(16=0,0,COUNTIF('برنامه تست'!L:L,"قبول")/16)</f>
        <v/>
      </c>
      <c r="C16" s="75" t="inlineStr">
        <is>
          <t>پیش از تست برد</t>
        </is>
      </c>
    </row>
    <row r="17">
      <c r="A17" s="75" t="inlineStr">
        <is>
          <t>نرخ قبولی</t>
        </is>
      </c>
      <c r="B17" s="75">
        <f>IF(15=0,0,COUNTIF('برنامه تست'!L:L,"قبول")/15)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3"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93"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93"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لینک ESP (EspLink)</t>
        </is>
      </c>
    </row>
    <row r="3" ht="24" customHeight="1">
      <c r="A3" s="9" t="inlineStr">
        <is>
          <t>حالت‌ها و گذارهای همین ماژول</t>
        </is>
      </c>
      <c r="B3" s="10" t="inlineStr">
        <is>
          <t>EspLink_State_Machine.xlsx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2026-10-17T12:58:27Z</dcterms:modified>
</cp:coreProperties>
</file>