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راهنما" sheetId="1" state="visible" r:id="rId1"/>
    <sheet name="برنامه تست" sheetId="2" state="visible" r:id="rId2"/>
    <sheet name="تست‌های آزمایشگاهی" sheetId="3" state="visible" r:id="rId3"/>
    <sheet name="تست‌های برنامه‌نویسی" sheetId="4" state="visible" r:id="rId4"/>
    <sheet name="مراجع سناریو" sheetId="5" state="visible" r:id="rId5"/>
    <sheet name="ثبت ایراد" sheetId="6" state="visible" r:id="rId6"/>
    <sheet name="تأیید نهایی" sheetId="7" state="visible" r:id="rId7"/>
    <sheet name="فهرست‌ها" sheetId="8" state="visible" r:id="rId8"/>
    <sheet name="ماشین حالت" sheetId="9" state="visible" r:id="rId9"/>
  </sheets>
  <definedNames>
    <definedName name="_xlnm._FilterDatabase" localSheetId="1" hidden="1">'برنامه تست'!$A$4:$Q$48</definedName>
    <definedName name="_xlnm.Print_Titles" localSheetId="1">'برنامه تست'!$4:$4</definedName>
    <definedName name="_xlnm._FilterDatabase" localSheetId="2" hidden="1">'تست‌های آزمایشگاهی'!$A$4:$Q$20</definedName>
    <definedName name="_xlnm.Print_Titles" localSheetId="2">'تست‌های آزمایشگاهی'!$4:$4</definedName>
    <definedName name="_xlnm._FilterDatabase" localSheetId="3" hidden="1">'تست‌های برنامه‌نویسی'!$A$4:$Q$6</definedName>
    <definedName name="_xlnm.Print_Titles" localSheetId="3">'تست‌های برنامه‌نویسی'!$4:$4</definedName>
  </definedNames>
  <calcPr calcId="124519" fullCalcOnLoad="1" iterate="1" iterateCount="100" iterateDelta="0.001"/>
</workbook>
</file>

<file path=xl/styles.xml><?xml version="1.0" encoding="utf-8"?>
<styleSheet xmlns="http://schemas.openxmlformats.org/spreadsheetml/2006/main">
  <numFmts count="1">
    <numFmt numFmtId="164" formatCode="yyyy-mm-dd"/>
  </numFmts>
  <fonts count="66">
    <font>
      <name val="Calibri"/>
      <family val="2"/>
      <color theme="1"/>
      <sz val="11"/>
      <scheme val="minor"/>
    </font>
    <font>
      <name val="Calibri"/>
      <b val="1"/>
      <color rgb="00FFFFFF"/>
      <sz val="13"/>
    </font>
    <font>
      <name val="Calibri"/>
      <b val="1"/>
      <color rgb="001F4E78"/>
      <sz val="9"/>
    </font>
    <font>
      <name val="Calibri"/>
      <b val="1"/>
      <color rgb="00000000"/>
      <sz val="9"/>
    </font>
    <font>
      <name val="Calibri"/>
      <color rgb="00262626"/>
      <sz val="8"/>
    </font>
    <font>
      <sz val="8"/>
    </font>
    <font>
      <name val="Calibri"/>
      <b val="1"/>
      <color rgb="001F4E78"/>
      <sz val="8"/>
    </font>
    <font>
      <name val="Calibri"/>
      <i val="1"/>
      <color rgb="00404040"/>
      <sz val="7"/>
    </font>
    <font>
      <name val="Calibri"/>
      <b val="1"/>
      <color rgb="00FFFFFF"/>
      <sz val="9"/>
    </font>
    <font>
      <name val="Calibri"/>
      <color rgb="00262626"/>
      <sz val="7"/>
    </font>
    <font>
      <b val="1"/>
      <color rgb="009C0006"/>
      <sz val="7"/>
    </font>
    <font>
      <i val="1"/>
      <sz val="8"/>
    </font>
    <font>
      <b val="1"/>
      <sz val="8"/>
    </font>
    <font>
      <b val="1"/>
      <color rgb="00FFFFFF"/>
      <sz val="9"/>
    </font>
    <font>
      <sz val="9"/>
    </font>
    <font>
      <color rgb="00006100"/>
    </font>
    <font>
      <color rgb="009C0006"/>
    </font>
    <font>
      <i val="1"/>
      <color rgb="00404040"/>
      <sz val="7"/>
    </font>
    <font>
      <name val="Vazirmatn"/>
      <b val="1"/>
      <color rgb="00FFFFFF"/>
      <sz val="14"/>
    </font>
    <font>
      <name val="Vazirmatn"/>
      <b val="1"/>
      <sz val="10"/>
    </font>
    <font>
      <name val="Vazirmatn"/>
      <color rgb="000563C1"/>
      <sz val="10"/>
      <u val="single"/>
    </font>
    <font>
      <name val="Vazirmatn"/>
      <sz val="10"/>
    </font>
    <font>
      <name val="Tahoma"/>
      <b val="1"/>
      <color rgb="00FFFFFF"/>
      <sz val="13"/>
    </font>
    <font>
      <name val="Tahoma"/>
      <b val="1"/>
      <color rgb="001F4E78"/>
      <sz val="9"/>
    </font>
    <font>
      <name val="Tahoma"/>
      <b val="1"/>
      <color rgb="00000000"/>
      <sz val="9"/>
    </font>
    <font>
      <name val="Tahoma"/>
      <color rgb="00262626"/>
      <sz val="8"/>
    </font>
    <font>
      <name val="Tahoma"/>
      <b val="1"/>
      <color rgb="001F4E78"/>
      <sz val="8"/>
    </font>
    <font>
      <name val="Tahoma"/>
      <color rgb="00404040"/>
      <sz val="7"/>
    </font>
    <font>
      <name val="Tahoma"/>
      <b val="1"/>
      <color rgb="00FFFFFF"/>
      <sz val="9"/>
    </font>
    <font>
      <name val="Tahoma"/>
      <color rgb="00262626"/>
      <sz val="7"/>
    </font>
    <font>
      <name val="Tahoma"/>
      <b val="1"/>
      <color rgb="009C0006"/>
      <sz val="7"/>
    </font>
    <font>
      <name val="Tahoma"/>
      <color theme="1"/>
      <sz val="11"/>
    </font>
    <font>
      <name val="Tahoma"/>
      <sz val="8"/>
    </font>
    <font>
      <name val="Tahoma"/>
      <b val="1"/>
      <sz val="8"/>
    </font>
    <font>
      <name val="Tahoma"/>
      <sz val="9"/>
    </font>
    <font>
      <name val="Tahoma"/>
      <color rgb="00006100"/>
      <sz val="10"/>
    </font>
    <font>
      <name val="Tahoma"/>
      <color rgb="009C0006"/>
      <sz val="10"/>
    </font>
    <font>
      <name val="Tahoma"/>
      <b val="1"/>
      <color rgb="00FFFFFF"/>
      <sz val="14"/>
    </font>
    <font>
      <name val="Tahoma"/>
      <b val="1"/>
      <sz val="10"/>
    </font>
    <font>
      <name val="Tahoma"/>
      <color rgb="000563C1"/>
      <sz val="10"/>
      <u val="single"/>
    </font>
    <font>
      <name val="Tahoma"/>
      <sz val="10"/>
    </font>
    <font>
      <name val="Tahoma"/>
      <b val="1"/>
      <color rgb="00FFFFFF"/>
      <sz val="11"/>
    </font>
    <font>
      <name val="Tahoma"/>
      <b val="1"/>
      <color rgb="001F3864"/>
      <sz val="13"/>
    </font>
    <font>
      <name val="Tahoma"/>
      <b val="1"/>
      <color rgb="00C00000"/>
      <sz val="10"/>
    </font>
    <font>
      <name val="Tahoma"/>
      <color rgb="000563C1"/>
      <sz val="8"/>
      <u val="single"/>
    </font>
    <font>
      <name val="Tahoma"/>
      <b val="1"/>
      <color rgb="000563C1"/>
      <sz val="10"/>
      <u val="single"/>
    </font>
    <font>
      <name val="Tahoma"/>
      <b val="1"/>
      <color rgb="000563C1"/>
      <sz val="8"/>
      <u val="single"/>
    </font>
    <font>
      <name val="Vazirmatn"/>
      <b val="1"/>
      <color rgb="00FFFFFF"/>
      <sz val="13"/>
    </font>
    <font>
      <name val="Vazirmatn"/>
      <family val="2"/>
      <color theme="1"/>
      <sz val="11"/>
      <scheme val="minor"/>
    </font>
    <font>
      <name val="Vazirmatn"/>
      <b val="1"/>
      <color rgb="001F4E78"/>
      <sz val="9"/>
    </font>
    <font>
      <name val="Vazirmatn"/>
      <b val="1"/>
      <color rgb="00FFFFFF"/>
      <sz val="11"/>
    </font>
    <font>
      <name val="Vazirmatn"/>
      <color rgb="00262626"/>
      <sz val="8"/>
    </font>
    <font>
      <name val="Vazirmatn"/>
      <b val="1"/>
      <color rgb="00000000"/>
      <sz val="9"/>
    </font>
    <font>
      <name val="Vazirmatn"/>
      <color rgb="000563C1"/>
      <sz val="8"/>
      <u val="single"/>
    </font>
    <font>
      <name val="Vazirmatn"/>
      <b val="1"/>
      <color rgb="001F3864"/>
      <sz val="13"/>
    </font>
    <font>
      <name val="Vazirmatn"/>
      <b val="1"/>
      <color rgb="001F4E78"/>
      <sz val="8"/>
    </font>
    <font>
      <name val="Vazirmatn"/>
      <color rgb="00404040"/>
      <sz val="7"/>
    </font>
    <font>
      <name val="Vazirmatn"/>
      <b val="1"/>
      <color rgb="00C00000"/>
      <sz val="10"/>
    </font>
    <font>
      <name val="Vazirmatn"/>
      <b val="1"/>
      <color rgb="00FFFFFF"/>
      <sz val="9"/>
    </font>
    <font>
      <name val="Vazirmatn"/>
      <sz val="8"/>
    </font>
    <font>
      <name val="Vazirmatn"/>
      <b val="1"/>
      <sz val="8"/>
    </font>
    <font>
      <name val="Vazirmatn"/>
      <b val="1"/>
      <color rgb="000563C1"/>
      <sz val="8"/>
      <u val="single"/>
    </font>
    <font>
      <name val="Vazirmatn"/>
      <sz val="9"/>
    </font>
    <font>
      <name val="Vazirmatn"/>
      <color rgb="00006100"/>
      <sz val="10"/>
    </font>
    <font>
      <name val="Vazirmatn"/>
      <color rgb="009C0006"/>
      <sz val="10"/>
    </font>
    <font>
      <name val="Vazirmatn"/>
      <sz val="11"/>
    </font>
  </fonts>
  <fills count="17">
    <fill>
      <patternFill/>
    </fill>
    <fill>
      <patternFill patternType="gray125"/>
    </fill>
    <fill>
      <patternFill patternType="solid">
        <fgColor rgb="002F5597"/>
        <bgColor rgb="002F5597"/>
      </patternFill>
    </fill>
    <fill>
      <patternFill patternType="solid">
        <fgColor rgb="00DDEBF7"/>
        <bgColor rgb="00DDEBF7"/>
      </patternFill>
    </fill>
    <fill>
      <patternFill patternType="solid">
        <fgColor rgb="00D9E1F2"/>
        <bgColor rgb="00D9E1F2"/>
      </patternFill>
    </fill>
    <fill>
      <patternFill patternType="solid">
        <fgColor rgb="00404040"/>
        <bgColor rgb="00404040"/>
      </patternFill>
    </fill>
    <fill>
      <patternFill patternType="solid">
        <fgColor rgb="00FFF2CC"/>
        <bgColor rgb="00FFF2CC"/>
      </patternFill>
    </fill>
    <fill>
      <patternFill patternType="solid">
        <fgColor rgb="00FCE4D6"/>
        <bgColor rgb="00FCE4D6"/>
      </patternFill>
    </fill>
    <fill>
      <patternFill patternType="solid">
        <fgColor rgb="00F2F2F2"/>
        <bgColor rgb="00F2F2F2"/>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
      <patternFill patternType="solid">
        <fgColor rgb="001F3864"/>
      </patternFill>
    </fill>
    <fill>
      <patternFill patternType="solid">
        <fgColor rgb="00D9E2F3"/>
      </patternFill>
    </fill>
    <fill>
      <patternFill patternType="solid">
        <fgColor rgb="00FFE699"/>
      </patternFill>
    </fill>
    <fill>
      <patternFill patternType="solid">
        <fgColor rgb="00F2F6FC"/>
      </patternFill>
    </fill>
    <fill>
      <patternFill patternType="solid">
        <fgColor rgb="00FCE4D6"/>
      </patternFill>
    </fill>
  </fills>
  <borders count="13">
    <border>
      <left/>
      <right/>
      <top/>
      <bottom/>
      <diagonal/>
    </border>
    <border>
      <left style="thin">
        <color rgb="00B0B0B0"/>
      </left>
      <right style="thin">
        <color rgb="00B0B0B0"/>
      </right>
      <top style="thin">
        <color rgb="00B0B0B0"/>
      </top>
      <bottom style="thin">
        <color rgb="00B0B0B0"/>
      </bottom>
    </border>
    <border>
      <left/>
      <right/>
      <top style="thin">
        <color rgb="00B0B0B0"/>
      </top>
      <bottom/>
      <diagonal/>
    </border>
    <border>
      <left/>
      <right style="thin">
        <color rgb="00B0B0B0"/>
      </right>
      <top style="thin">
        <color rgb="00B0B0B0"/>
      </top>
      <bottom/>
      <diagonal/>
    </border>
    <border>
      <left/>
      <right/>
      <top style="thin">
        <color rgb="00B0B0B0"/>
      </top>
      <bottom style="thin">
        <color rgb="00B0B0B0"/>
      </bottom>
      <diagonal/>
    </border>
    <border>
      <left/>
      <right style="thin">
        <color rgb="00B0B0B0"/>
      </right>
      <top style="thin">
        <color rgb="00B0B0B0"/>
      </top>
      <bottom style="thin">
        <color rgb="00B0B0B0"/>
      </bottom>
      <diagonal/>
    </border>
    <border>
      <left style="thin">
        <color rgb="009DB7E8"/>
      </left>
      <right style="thin">
        <color rgb="009DB7E8"/>
      </right>
      <top style="thin">
        <color rgb="009DB7E8"/>
      </top>
      <bottom style="thin">
        <color rgb="009DB7E8"/>
      </bottom>
    </border>
    <border>
      <left style="thin">
        <color rgb="00B4C6E7"/>
      </left>
      <right style="thin">
        <color rgb="00B4C6E7"/>
      </right>
      <top style="thin">
        <color rgb="00B4C6E7"/>
      </top>
      <bottom style="thin">
        <color rgb="00B4C6E7"/>
      </bottom>
    </border>
    <border>
      <left/>
      <right/>
      <top style="thin">
        <color rgb="00B4C6E7"/>
      </top>
      <bottom/>
      <diagonal/>
    </border>
    <border>
      <left/>
      <right style="thin">
        <color rgb="00B4C6E7"/>
      </right>
      <top style="thin">
        <color rgb="00B4C6E7"/>
      </top>
      <bottom/>
      <diagonal/>
    </border>
    <border>
      <left/>
      <right/>
      <top style="thin">
        <color rgb="00B4C6E7"/>
      </top>
      <bottom style="thin">
        <color rgb="00B4C6E7"/>
      </bottom>
      <diagonal/>
    </border>
    <border>
      <left/>
      <right style="thin">
        <color rgb="00B4C6E7"/>
      </right>
      <top style="thin">
        <color rgb="00B4C6E7"/>
      </top>
      <bottom style="thin">
        <color rgb="00B4C6E7"/>
      </bottom>
      <diagonal/>
    </border>
    <border/>
  </borders>
  <cellStyleXfs count="1">
    <xf numFmtId="0" fontId="0" fillId="0" borderId="0"/>
  </cellStyleXfs>
  <cellXfs count="1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horizontal="right" vertical="center" wrapText="1"/>
    </xf>
    <xf numFmtId="0" fontId="3" fillId="4" borderId="1" applyAlignment="1" pivotButton="0" quotePrefix="0" xfId="0">
      <alignment horizontal="center" vertical="center" wrapText="1"/>
    </xf>
    <xf numFmtId="0" fontId="4" fillId="0" borderId="1" applyAlignment="1" pivotButton="0" quotePrefix="0" xfId="0">
      <alignment horizontal="right" vertical="top" wrapText="1"/>
    </xf>
    <xf numFmtId="0" fontId="5" fillId="0" borderId="1" applyAlignment="1" pivotButton="0" quotePrefix="0" xfId="0">
      <alignment wrapText="1"/>
    </xf>
    <xf numFmtId="0" fontId="6" fillId="3" borderId="0" applyAlignment="1" pivotButton="0" quotePrefix="0" xfId="0">
      <alignment horizontal="center" vertical="center" wrapText="1"/>
    </xf>
    <xf numFmtId="0" fontId="7" fillId="0" borderId="0" applyAlignment="1" pivotButton="0" quotePrefix="0" xfId="0">
      <alignment horizontal="center" vertical="center" wrapText="1"/>
    </xf>
    <xf numFmtId="0" fontId="8" fillId="5"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7" borderId="1" applyAlignment="1" pivotButton="0" quotePrefix="0" xfId="0">
      <alignment horizontal="center" vertical="center" wrapText="1"/>
    </xf>
    <xf numFmtId="0" fontId="9" fillId="6" borderId="1" applyAlignment="1" pivotButton="0" quotePrefix="0" xfId="0">
      <alignment horizontal="center" vertical="center" wrapText="1"/>
    </xf>
    <xf numFmtId="0" fontId="9" fillId="8"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0" borderId="1" applyAlignment="1" pivotButton="0" quotePrefix="0" xfId="0">
      <alignment horizontal="center" vertical="center" wrapText="1"/>
    </xf>
    <xf numFmtId="0" fontId="11" fillId="0" borderId="0" applyAlignment="1" pivotButton="0" quotePrefix="0" xfId="0">
      <alignment horizontal="center" vertical="center" wrapText="1"/>
    </xf>
    <xf numFmtId="0" fontId="0" fillId="8" borderId="1" applyAlignment="1" pivotButton="0" quotePrefix="0" xfId="0">
      <alignment horizontal="center" vertical="center" wrapText="1"/>
    </xf>
    <xf numFmtId="0" fontId="0" fillId="0" borderId="1" applyAlignment="1" pivotButton="0" quotePrefix="0" xfId="0">
      <alignment horizontal="center" vertical="center" wrapText="1"/>
    </xf>
    <xf numFmtId="0" fontId="13" fillId="5" borderId="1" applyAlignment="1" pivotButton="0" quotePrefix="0" xfId="0">
      <alignment horizontal="center" vertical="center" wrapText="1"/>
    </xf>
    <xf numFmtId="0" fontId="0" fillId="5" borderId="4" pivotButton="0" quotePrefix="0" xfId="0"/>
    <xf numFmtId="0" fontId="0" fillId="5" borderId="5" pivotButton="0" quotePrefix="0" xfId="0"/>
    <xf numFmtId="0" fontId="12" fillId="0" borderId="1" applyAlignment="1" pivotButton="0" quotePrefix="0" xfId="0">
      <alignment horizontal="left" vertical="center" wrapText="1"/>
    </xf>
    <xf numFmtId="0" fontId="8" fillId="5" borderId="0" applyAlignment="1" pivotButton="0" quotePrefix="0" xfId="0">
      <alignment horizontal="center" vertical="center" wrapText="1"/>
    </xf>
    <xf numFmtId="0" fontId="14" fillId="9" borderId="1" applyAlignment="1" pivotButton="0" quotePrefix="0" xfId="0">
      <alignment horizontal="center" vertical="center" wrapText="1"/>
    </xf>
    <xf numFmtId="0" fontId="17" fillId="0" borderId="0" pivotButton="0" quotePrefix="0" xfId="0"/>
    <xf numFmtId="0" fontId="15" fillId="10" borderId="1" applyAlignment="1" pivotButton="0" quotePrefix="0" xfId="0">
      <alignment horizontal="center" vertical="center" wrapText="1"/>
    </xf>
    <xf numFmtId="0" fontId="16" fillId="11" borderId="1" applyAlignment="1" pivotButton="0" quotePrefix="0" xfId="0">
      <alignment horizontal="center" vertical="center" wrapText="1"/>
    </xf>
    <xf numFmtId="0" fontId="14" fillId="0" borderId="1" applyAlignment="1" pivotButton="0" quotePrefix="0" xfId="0">
      <alignment horizontal="center" vertical="center" wrapText="1"/>
    </xf>
    <xf numFmtId="0" fontId="0" fillId="0" borderId="4" pivotButton="0" quotePrefix="0" xfId="0"/>
    <xf numFmtId="0" fontId="0" fillId="0" borderId="5" pivotButton="0" quotePrefix="0" xfId="0"/>
    <xf numFmtId="0" fontId="18" fillId="12" borderId="0" applyAlignment="1" pivotButton="0" quotePrefix="0" xfId="0">
      <alignment horizontal="center" vertical="center"/>
    </xf>
    <xf numFmtId="0" fontId="19" fillId="0" borderId="6" applyAlignment="1" pivotButton="0" quotePrefix="0" xfId="0">
      <alignment horizontal="right" vertical="center" wrapText="1"/>
    </xf>
    <xf numFmtId="0" fontId="20" fillId="0" borderId="6" applyAlignment="1" pivotButton="0" quotePrefix="0" xfId="0">
      <alignment horizontal="right" vertical="center" wrapText="1"/>
    </xf>
    <xf numFmtId="0" fontId="21" fillId="0" borderId="6" applyAlignment="1" pivotButton="0" quotePrefix="0" xfId="0">
      <alignment horizontal="right" vertical="center" wrapText="1"/>
    </xf>
    <xf numFmtId="0" fontId="22" fillId="2" borderId="0" applyAlignment="1" pivotButton="0" quotePrefix="0" xfId="0">
      <alignment horizontal="center" vertical="center" wrapText="1"/>
    </xf>
    <xf numFmtId="0" fontId="23" fillId="3" borderId="0" applyAlignment="1" pivotButton="0" quotePrefix="0" xfId="0">
      <alignment horizontal="center" vertical="center" wrapText="1"/>
    </xf>
    <xf numFmtId="0" fontId="41" fillId="12" borderId="7" applyAlignment="1" pivotButton="0" quotePrefix="0" xfId="0">
      <alignment horizontal="center" vertical="center" wrapText="1"/>
    </xf>
    <xf numFmtId="0" fontId="25" fillId="0" borderId="1" applyAlignment="1" pivotButton="0" quotePrefix="0" xfId="0">
      <alignment horizontal="right" vertical="top" wrapText="1"/>
    </xf>
    <xf numFmtId="0" fontId="24" fillId="4" borderId="1" applyAlignment="1" pivotButton="0" quotePrefix="0" xfId="0">
      <alignment horizontal="right" vertical="center" wrapText="1"/>
    </xf>
    <xf numFmtId="0" fontId="42" fillId="2" borderId="0" applyAlignment="1" pivotButton="0" quotePrefix="0" xfId="0">
      <alignment horizontal="center" vertical="center" wrapText="1"/>
    </xf>
    <xf numFmtId="0" fontId="26" fillId="3" borderId="0" applyAlignment="1" pivotButton="0" quotePrefix="0" xfId="0">
      <alignment horizontal="center" vertical="center" wrapText="1"/>
    </xf>
    <xf numFmtId="0" fontId="27" fillId="0" borderId="0" applyAlignment="1" pivotButton="0" quotePrefix="0" xfId="0">
      <alignment horizontal="center" vertical="center" wrapText="1"/>
    </xf>
    <xf numFmtId="0" fontId="38" fillId="13" borderId="7" applyAlignment="1" pivotButton="0" quotePrefix="0" xfId="0">
      <alignment horizontal="center" vertical="center"/>
    </xf>
    <xf numFmtId="0" fontId="40" fillId="0" borderId="7" applyAlignment="1" pivotButton="0" quotePrefix="0" xfId="0">
      <alignment horizontal="right" vertical="center" wrapText="1"/>
    </xf>
    <xf numFmtId="0" fontId="43" fillId="7" borderId="7" applyAlignment="1" pivotButton="0" quotePrefix="0" xfId="0">
      <alignment horizontal="center" vertical="center" wrapText="1"/>
    </xf>
    <xf numFmtId="0" fontId="40" fillId="0" borderId="7" applyAlignment="1" pivotButton="0" quotePrefix="0" xfId="0">
      <alignment horizontal="center" vertical="center" wrapText="1"/>
    </xf>
    <xf numFmtId="0" fontId="38" fillId="14" borderId="7" applyAlignment="1" pivotButton="0" quotePrefix="0" xfId="0">
      <alignment horizontal="center" vertical="center" wrapText="1"/>
    </xf>
    <xf numFmtId="164" fontId="40" fillId="0" borderId="7" applyAlignment="1" pivotButton="0" quotePrefix="0" xfId="0">
      <alignment horizontal="center" vertical="center" wrapText="1"/>
    </xf>
    <xf numFmtId="0" fontId="40" fillId="15" borderId="7" applyAlignment="1" pivotButton="0" quotePrefix="0" xfId="0">
      <alignment horizontal="right" vertical="center" wrapText="1"/>
    </xf>
    <xf numFmtId="0" fontId="43" fillId="15" borderId="7" applyAlignment="1" pivotButton="0" quotePrefix="0" xfId="0">
      <alignment horizontal="center" vertical="center" wrapText="1"/>
    </xf>
    <xf numFmtId="0" fontId="40" fillId="15" borderId="7" applyAlignment="1" pivotButton="0" quotePrefix="0" xfId="0">
      <alignment horizontal="center" vertical="center" wrapText="1"/>
    </xf>
    <xf numFmtId="164" fontId="40" fillId="15" borderId="7" applyAlignment="1" pivotButton="0" quotePrefix="0" xfId="0">
      <alignment horizontal="center" vertical="center" wrapText="1"/>
    </xf>
    <xf numFmtId="0" fontId="39" fillId="0" borderId="7" applyAlignment="1" pivotButton="0" quotePrefix="0" xfId="0">
      <alignment horizontal="right" vertical="center" wrapText="1"/>
    </xf>
    <xf numFmtId="0" fontId="39" fillId="15" borderId="7" applyAlignment="1" pivotButton="0" quotePrefix="0" xfId="0">
      <alignment horizontal="right" vertical="center" wrapText="1"/>
    </xf>
    <xf numFmtId="0" fontId="39" fillId="0" borderId="7" applyAlignment="1" pivotButton="0" quotePrefix="0" xfId="0">
      <alignment horizontal="center" vertical="center" wrapText="1"/>
    </xf>
    <xf numFmtId="0" fontId="38" fillId="16" borderId="7" applyAlignment="1" pivotButton="0" quotePrefix="0" xfId="0">
      <alignment horizontal="center" vertical="center" wrapText="1"/>
    </xf>
    <xf numFmtId="164" fontId="0" fillId="0" borderId="0" pivotButton="0" quotePrefix="0" xfId="0"/>
    <xf numFmtId="0" fontId="28" fillId="5" borderId="1" applyAlignment="1" pivotButton="0" quotePrefix="0" xfId="0">
      <alignment horizontal="center" vertical="center" wrapText="1"/>
    </xf>
    <xf numFmtId="0" fontId="32" fillId="8" borderId="1" applyAlignment="1" pivotButton="0" quotePrefix="0" xfId="0">
      <alignment horizontal="center" vertical="center" wrapText="1"/>
    </xf>
    <xf numFmtId="0" fontId="44" fillId="8" borderId="1" applyAlignment="1" pivotButton="0" quotePrefix="0" xfId="0">
      <alignment horizontal="center" vertical="center" wrapText="1"/>
    </xf>
    <xf numFmtId="0" fontId="32" fillId="0" borderId="1" applyAlignment="1" pivotButton="0" quotePrefix="0" xfId="0">
      <alignment horizontal="center" vertical="center" wrapText="1"/>
    </xf>
    <xf numFmtId="0" fontId="44" fillId="0" borderId="1" applyAlignment="1" pivotButton="0" quotePrefix="0" xfId="0">
      <alignment horizontal="center" vertical="center" wrapText="1"/>
    </xf>
    <xf numFmtId="0" fontId="32" fillId="0" borderId="0" applyAlignment="1" pivotButton="0" quotePrefix="0" xfId="0">
      <alignment horizontal="center" vertical="center" wrapText="1"/>
    </xf>
    <xf numFmtId="0" fontId="33" fillId="0" borderId="1" applyAlignment="1" pivotButton="0" quotePrefix="0" xfId="0">
      <alignment horizontal="left" vertical="center" wrapText="1"/>
    </xf>
    <xf numFmtId="0" fontId="28" fillId="5" borderId="0" applyAlignment="1" pivotButton="0" quotePrefix="0" xfId="0">
      <alignment horizontal="center" vertical="center" wrapText="1"/>
    </xf>
    <xf numFmtId="0" fontId="34" fillId="9" borderId="1" applyAlignment="1" pivotButton="0" quotePrefix="0" xfId="0">
      <alignment horizontal="center" vertical="center" wrapText="1"/>
    </xf>
    <xf numFmtId="0" fontId="27" fillId="0" borderId="0" pivotButton="0" quotePrefix="0" xfId="0"/>
    <xf numFmtId="0" fontId="35" fillId="10" borderId="1" applyAlignment="1" pivotButton="0" quotePrefix="0" xfId="0">
      <alignment horizontal="center" vertical="center" wrapText="1"/>
    </xf>
    <xf numFmtId="0" fontId="36" fillId="11" borderId="1" applyAlignment="1" pivotButton="0" quotePrefix="0" xfId="0">
      <alignment horizontal="center" vertical="center" wrapText="1"/>
    </xf>
    <xf numFmtId="0" fontId="34" fillId="0" borderId="1" applyAlignment="1" pivotButton="0" quotePrefix="0" xfId="0">
      <alignment horizontal="center" vertical="center" wrapText="1"/>
    </xf>
    <xf numFmtId="0" fontId="37" fillId="12" borderId="0" applyAlignment="1" pivotButton="0" quotePrefix="0" xfId="0">
      <alignment horizontal="center" vertical="center"/>
    </xf>
    <xf numFmtId="0" fontId="38" fillId="0" borderId="6" applyAlignment="1" pivotButton="0" quotePrefix="0" xfId="0">
      <alignment horizontal="right" vertical="center" wrapText="1"/>
    </xf>
    <xf numFmtId="0" fontId="39" fillId="0" borderId="6" applyAlignment="1" pivotButton="0" quotePrefix="0" xfId="0">
      <alignment horizontal="right" vertical="center" wrapText="1"/>
    </xf>
    <xf numFmtId="0" fontId="40" fillId="0" borderId="6" applyAlignment="1" pivotButton="0" quotePrefix="0" xfId="0">
      <alignment horizontal="right" vertical="center" wrapText="1"/>
    </xf>
    <xf numFmtId="0" fontId="0" fillId="0" borderId="10" pivotButton="0" quotePrefix="0" xfId="0"/>
    <xf numFmtId="0" fontId="0" fillId="0" borderId="11" pivotButton="0" quotePrefix="0" xfId="0"/>
    <xf numFmtId="0" fontId="44" fillId="0" borderId="1" applyAlignment="1" pivotButton="0" quotePrefix="0" xfId="0">
      <alignment horizontal="right" vertical="top" wrapText="1"/>
    </xf>
    <xf numFmtId="0" fontId="44" fillId="0" borderId="0" applyAlignment="1" pivotButton="0" quotePrefix="0" xfId="0">
      <alignment horizontal="center" vertical="center" wrapText="1"/>
    </xf>
    <xf numFmtId="0" fontId="42" fillId="0" borderId="0" pivotButton="0" quotePrefix="0" xfId="0"/>
    <xf numFmtId="0" fontId="40" fillId="0" borderId="0" applyAlignment="1" pivotButton="0" quotePrefix="0" xfId="0">
      <alignment vertical="center" wrapText="1"/>
    </xf>
    <xf numFmtId="0" fontId="45" fillId="13" borderId="7" applyAlignment="1" pivotButton="0" quotePrefix="0" xfId="0">
      <alignment horizontal="center" vertical="center"/>
    </xf>
    <xf numFmtId="0" fontId="46" fillId="0" borderId="1" applyAlignment="1" pivotButton="0" quotePrefix="0" xfId="0">
      <alignment horizontal="left" vertical="center" wrapText="1"/>
    </xf>
    <xf numFmtId="0" fontId="47" fillId="2" borderId="0" applyAlignment="1" pivotButton="0" quotePrefix="0" xfId="0">
      <alignment horizontal="center" vertical="center" wrapText="1"/>
    </xf>
    <xf numFmtId="0" fontId="48" fillId="0" borderId="0" pivotButton="0" quotePrefix="0" xfId="0"/>
    <xf numFmtId="0" fontId="49" fillId="3" borderId="0" applyAlignment="1" pivotButton="0" quotePrefix="0" xfId="0">
      <alignment horizontal="center" vertical="center" wrapText="1"/>
    </xf>
    <xf numFmtId="0" fontId="50" fillId="12" borderId="7" applyAlignment="1" pivotButton="0" quotePrefix="0" xfId="0">
      <alignment horizontal="center" vertical="center" wrapText="1"/>
    </xf>
    <xf numFmtId="0" fontId="48" fillId="0" borderId="10" pivotButton="0" quotePrefix="0" xfId="0"/>
    <xf numFmtId="0" fontId="48" fillId="0" borderId="11" pivotButton="0" quotePrefix="0" xfId="0"/>
    <xf numFmtId="0" fontId="51" fillId="0" borderId="1" applyAlignment="1" pivotButton="0" quotePrefix="0" xfId="0">
      <alignment horizontal="right" vertical="top" wrapText="1"/>
    </xf>
    <xf numFmtId="0" fontId="48" fillId="0" borderId="4" pivotButton="0" quotePrefix="0" xfId="0"/>
    <xf numFmtId="0" fontId="48" fillId="0" borderId="5" pivotButton="0" quotePrefix="0" xfId="0"/>
    <xf numFmtId="0" fontId="52" fillId="4" borderId="1" applyAlignment="1" pivotButton="0" quotePrefix="0" xfId="0">
      <alignment horizontal="right" vertical="center" wrapText="1"/>
    </xf>
    <xf numFmtId="0" fontId="53" fillId="0" borderId="1" applyAlignment="1" pivotButton="0" quotePrefix="0" xfId="0">
      <alignment horizontal="right" vertical="top" wrapText="1"/>
    </xf>
    <xf numFmtId="0" fontId="54" fillId="2" borderId="0" applyAlignment="1" pivotButton="0" quotePrefix="0" xfId="0">
      <alignment horizontal="center" vertical="center" wrapText="1"/>
    </xf>
    <xf numFmtId="0" fontId="55" fillId="3" borderId="0" applyAlignment="1" pivotButton="0" quotePrefix="0" xfId="0">
      <alignment horizontal="center" vertical="center" wrapText="1"/>
    </xf>
    <xf numFmtId="0" fontId="56" fillId="0" borderId="0" applyAlignment="1" pivotButton="0" quotePrefix="0" xfId="0">
      <alignment horizontal="center" vertical="center" wrapText="1"/>
    </xf>
    <xf numFmtId="164" fontId="48" fillId="0" borderId="0" pivotButton="0" quotePrefix="0" xfId="0"/>
    <xf numFmtId="0" fontId="19" fillId="13" borderId="7" applyAlignment="1" pivotButton="0" quotePrefix="0" xfId="0">
      <alignment horizontal="center" vertical="center"/>
    </xf>
    <xf numFmtId="0" fontId="21" fillId="0" borderId="7" applyAlignment="1" pivotButton="0" quotePrefix="0" xfId="0">
      <alignment horizontal="right" vertical="center" wrapText="1"/>
    </xf>
    <xf numFmtId="0" fontId="21" fillId="0" borderId="7" applyAlignment="1" pivotButton="0" quotePrefix="0" xfId="0">
      <alignment horizontal="center" vertical="center" wrapText="1"/>
    </xf>
    <xf numFmtId="0" fontId="19" fillId="14" borderId="7" applyAlignment="1" pivotButton="0" quotePrefix="0" xfId="0">
      <alignment horizontal="center" vertical="center" wrapText="1"/>
    </xf>
    <xf numFmtId="164" fontId="21" fillId="0" borderId="7" applyAlignment="1" pivotButton="0" quotePrefix="0" xfId="0">
      <alignment horizontal="center" vertical="center" wrapText="1"/>
    </xf>
    <xf numFmtId="0" fontId="21" fillId="15" borderId="7" applyAlignment="1" pivotButton="0" quotePrefix="0" xfId="0">
      <alignment horizontal="right" vertical="center" wrapText="1"/>
    </xf>
    <xf numFmtId="0" fontId="21" fillId="15" borderId="7" applyAlignment="1" pivotButton="0" quotePrefix="0" xfId="0">
      <alignment horizontal="center" vertical="center" wrapText="1"/>
    </xf>
    <xf numFmtId="0" fontId="20" fillId="15" borderId="7" applyAlignment="1" pivotButton="0" quotePrefix="0" xfId="0">
      <alignment horizontal="right" vertical="center" wrapText="1"/>
    </xf>
    <xf numFmtId="164" fontId="21" fillId="15" borderId="7" applyAlignment="1" pivotButton="0" quotePrefix="0" xfId="0">
      <alignment horizontal="center" vertical="center" wrapText="1"/>
    </xf>
    <xf numFmtId="0" fontId="54" fillId="0" borderId="0" pivotButton="0" quotePrefix="0" xfId="0"/>
    <xf numFmtId="0" fontId="21" fillId="0" borderId="0" applyAlignment="1" pivotButton="0" quotePrefix="0" xfId="0">
      <alignment vertical="center" wrapText="1"/>
    </xf>
    <xf numFmtId="0" fontId="57" fillId="15" borderId="7" applyAlignment="1" pivotButton="0" quotePrefix="0" xfId="0">
      <alignment horizontal="center" vertical="center" wrapText="1"/>
    </xf>
    <xf numFmtId="0" fontId="57" fillId="7" borderId="7" applyAlignment="1" pivotButton="0" quotePrefix="0" xfId="0">
      <alignment horizontal="center" vertical="center" wrapText="1"/>
    </xf>
    <xf numFmtId="0" fontId="20" fillId="0" borderId="7" applyAlignment="1" pivotButton="0" quotePrefix="0" xfId="0">
      <alignment horizontal="right" vertical="center" wrapText="1"/>
    </xf>
    <xf numFmtId="0" fontId="20" fillId="0" borderId="7" applyAlignment="1" pivotButton="0" quotePrefix="0" xfId="0">
      <alignment horizontal="center" vertical="center" wrapText="1"/>
    </xf>
    <xf numFmtId="0" fontId="19" fillId="16" borderId="7" applyAlignment="1" pivotButton="0" quotePrefix="0" xfId="0">
      <alignment horizontal="center" vertical="center" wrapText="1"/>
    </xf>
    <xf numFmtId="0" fontId="58" fillId="5" borderId="1" applyAlignment="1" pivotButton="0" quotePrefix="0" xfId="0">
      <alignment horizontal="center" vertical="center" wrapText="1"/>
    </xf>
    <xf numFmtId="0" fontId="59" fillId="8" borderId="1" applyAlignment="1" pivotButton="0" quotePrefix="0" xfId="0">
      <alignment horizontal="center" vertical="center" wrapText="1"/>
    </xf>
    <xf numFmtId="0" fontId="53" fillId="8" borderId="1" applyAlignment="1" pivotButton="0" quotePrefix="0" xfId="0">
      <alignment horizontal="center" vertical="center" wrapText="1"/>
    </xf>
    <xf numFmtId="0" fontId="59" fillId="0" borderId="1" applyAlignment="1" pivotButton="0" quotePrefix="0" xfId="0">
      <alignment horizontal="center" vertical="center" wrapText="1"/>
    </xf>
    <xf numFmtId="0" fontId="53" fillId="0" borderId="1" applyAlignment="1" pivotButton="0" quotePrefix="0" xfId="0">
      <alignment horizontal="center" vertical="center" wrapText="1"/>
    </xf>
    <xf numFmtId="0" fontId="48" fillId="8" borderId="1" applyAlignment="1" pivotButton="0" quotePrefix="0" xfId="0">
      <alignment horizontal="center" vertical="center" wrapText="1"/>
    </xf>
    <xf numFmtId="0" fontId="48" fillId="0" borderId="1" applyAlignment="1" pivotButton="0" quotePrefix="0" xfId="0">
      <alignment horizontal="center" vertical="center" wrapText="1"/>
    </xf>
    <xf numFmtId="0" fontId="53" fillId="0" borderId="0" applyAlignment="1" pivotButton="0" quotePrefix="0" xfId="0">
      <alignment horizontal="center" vertical="center" wrapText="1"/>
    </xf>
    <xf numFmtId="0" fontId="60" fillId="0" borderId="1" applyAlignment="1" pivotButton="0" quotePrefix="0" xfId="0">
      <alignment horizontal="left" vertical="center" wrapText="1"/>
    </xf>
    <xf numFmtId="0" fontId="61" fillId="0" borderId="1" applyAlignment="1" pivotButton="0" quotePrefix="0" xfId="0">
      <alignment horizontal="left" vertical="center" wrapText="1"/>
    </xf>
    <xf numFmtId="0" fontId="59" fillId="0" borderId="0" applyAlignment="1" pivotButton="0" quotePrefix="0" xfId="0">
      <alignment horizontal="center" vertical="center" wrapText="1"/>
    </xf>
    <xf numFmtId="0" fontId="58" fillId="5" borderId="0" applyAlignment="1" pivotButton="0" quotePrefix="0" xfId="0">
      <alignment horizontal="center" vertical="center" wrapText="1"/>
    </xf>
    <xf numFmtId="0" fontId="62" fillId="9" borderId="1" applyAlignment="1" pivotButton="0" quotePrefix="0" xfId="0">
      <alignment horizontal="center" vertical="center" wrapText="1"/>
    </xf>
    <xf numFmtId="0" fontId="56" fillId="0" borderId="0" pivotButton="0" quotePrefix="0" xfId="0"/>
    <xf numFmtId="0" fontId="63" fillId="10" borderId="1" applyAlignment="1" pivotButton="0" quotePrefix="0" xfId="0">
      <alignment horizontal="center" vertical="center" wrapText="1"/>
    </xf>
    <xf numFmtId="0" fontId="64" fillId="11" borderId="1" applyAlignment="1" pivotButton="0" quotePrefix="0" xfId="0">
      <alignment horizontal="center" vertical="center" wrapText="1"/>
    </xf>
    <xf numFmtId="0" fontId="62" fillId="0" borderId="1" applyAlignment="1" pivotButton="0" quotePrefix="0" xfId="0">
      <alignment horizontal="center" vertical="center" wrapText="1"/>
    </xf>
    <xf numFmtId="0" fontId="65" fillId="0" borderId="0" pivotButton="0" quotePrefix="0" xfId="0"/>
    <xf numFmtId="0" fontId="65" fillId="0" borderId="12" pivotButton="0" quotePrefix="0" xfId="0"/>
    <xf numFmtId="164" fontId="65" fillId="0" borderId="12" pivotButton="0" quotePrefix="0" xfId="0"/>
    <xf numFmtId="0" fontId="65" fillId="0" borderId="12" applyAlignment="1" pivotButton="0" quotePrefix="0" xfId="0">
      <alignment horizontal="center" vertical="center"/>
    </xf>
    <xf numFmtId="0" fontId="65" fillId="0" borderId="12" applyAlignment="1" pivotButton="0" quotePrefix="0" xfId="0">
      <alignment horizontal="right" vertical="center" wrapText="1"/>
    </xf>
    <xf numFmtId="0" fontId="65" fillId="0" borderId="12" applyAlignment="1" pivotButton="0" quotePrefix="0" xfId="0">
      <alignment horizontal="center" vertical="center" wrapText="1"/>
    </xf>
    <xf numFmtId="164" fontId="65" fillId="0" borderId="1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hangeover/changeover.c" TargetMode="External" Id="rId1" /><Relationship Type="http://schemas.openxmlformats.org/officeDocument/2006/relationships/hyperlink" Target="mcu_power_path.h" TargetMode="External" Id="rId2" /><Relationship Type="http://schemas.openxmlformats.org/officeDocument/2006/relationships/hyperlink" Target="../../Rtos/Inc/rtos_time.h" TargetMode="External" Id="rId3" /></Relationships>
</file>

<file path=xl/worksheets/_rels/sheet3.xml.rels><Relationships xmlns="http://schemas.openxmlformats.org/package/2006/relationships"><Relationship Type="http://schemas.openxmlformats.org/officeDocument/2006/relationships/hyperlink" Target="../Changeover/Changeover_Board_Validation.xlsx" TargetMode="External" Id="rId1" /><Relationship Type="http://schemas.openxmlformats.org/officeDocument/2006/relationships/hyperlink" Target="../Changeover/Changeover_Board_Validation.xlsx" TargetMode="External" Id="rId2" /></Relationships>
</file>

<file path=xl/worksheets/_rels/sheet5.xml.rels><Relationships xmlns="http://schemas.openxmlformats.org/package/2006/relationships"><Relationship Type="http://schemas.openxmlformats.org/officeDocument/2006/relationships/hyperlink" Target="../../Config/Inc/board_pins.h" TargetMode="External" Id="rId1" /><Relationship Type="http://schemas.openxmlformats.org/officeDocument/2006/relationships/hyperlink" Target="../../Bsp/Src/bsp_exti.c" TargetMode="External" Id="rId2" /><Relationship Type="http://schemas.openxmlformats.org/officeDocument/2006/relationships/hyperlink" Target="../Changeover/changeover.c" TargetMode="External" Id="rId3" /></Relationships>
</file>

<file path=xl/worksheets/_rels/sheet7.xml.rels><Relationships xmlns="http://schemas.openxmlformats.org/package/2006/relationships"><Relationship Type="http://schemas.openxmlformats.org/officeDocument/2006/relationships/hyperlink" Target="../../../DOC/State.xlsx" TargetMode="External" Id="rId1" /><Relationship Type="http://schemas.openxmlformats.org/officeDocument/2006/relationships/hyperlink" Target="../../Rtos/Inc/rtos_time.h" TargetMode="External" Id="rId2" /></Relationships>
</file>

<file path=xl/worksheets/_rels/sheet9.xml.rels><Relationships xmlns="http://schemas.openxmlformats.org/package/2006/relationships"><Relationship Type="http://schemas.openxmlformats.org/officeDocument/2006/relationships/hyperlink" Target="McuPowerPath_State_Machine.xlsx" TargetMode="External" Id="rId1" /><Relationship Type="http://schemas.openxmlformats.org/officeDocument/2006/relationships/hyperlink" Target="../../../Documentation/System_State_Machine.xlsx" TargetMode="External" Id="rId2" /><Relationship Type="http://schemas.openxmlformats.org/officeDocument/2006/relationships/hyperlink" Target="../../../tools/make_module_state_machines.py" TargetMode="External" Id="rId3" /></Relationships>
</file>

<file path=xl/worksheets/sheet1.xml><?xml version="1.0" encoding="utf-8"?>
<worksheet xmlns="http://schemas.openxmlformats.org/spreadsheetml/2006/main">
  <sheetPr>
    <tabColor rgb="007F7F7F"/>
    <outlinePr summaryBelow="1" summaryRight="1"/>
    <pageSetUpPr fitToPage="1"/>
  </sheetPr>
  <dimension ref="A1:P18"/>
  <sheetViews>
    <sheetView rightToLeft="1" workbookViewId="0">
      <pane ySplit="1" topLeftCell="A2" activePane="bottomLeft" state="frozen"/>
      <selection pane="bottomLeft" activeCell="A1" sqref="A1"/>
    </sheetView>
  </sheetViews>
  <sheetFormatPr baseColWidth="8" defaultRowHeight="15"/>
  <cols>
    <col width="18" customWidth="1" min="1" max="1"/>
    <col width="7"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s>
  <sheetData>
    <row r="1" ht="22" customHeight="1">
      <c r="A1" s="83" t="inlineStr">
        <is>
          <t>برگه تست و اعتبارسنجی عملی ماژول McuPowerPath — تغذیه MCU با Q1 (PB5) و هیسترزیس 22000/21500</t>
        </is>
      </c>
    </row>
    <row r="2" ht="14" customHeight="1">
      <c r="A2" s="85" t="inlineStr">
        <is>
          <t>ChangeOver | Q1=PB5/pin41 (BSP_GPIO_BATTERY_SWITCH) | PB4=MCU_INT_24_IN (BSP_GPIO_INPUT_24V_PRESENT) | PB11/Q17 فقط Changeover — v_in هیسترزیس 500mV</t>
        </is>
      </c>
    </row>
    <row r="3" ht="30" customHeight="1">
      <c r="A3" s="86" t="inlineStr">
        <is>
          <t>هدف فایل</t>
        </is>
      </c>
      <c r="B3" s="75" t="n"/>
      <c r="C3" s="75" t="n"/>
      <c r="D3" s="75" t="n"/>
      <c r="E3" s="75" t="n"/>
      <c r="F3" s="75" t="n"/>
      <c r="G3" s="75" t="n"/>
      <c r="H3" s="75" t="n"/>
      <c r="I3" s="75" t="n"/>
      <c r="J3" s="75" t="n"/>
      <c r="K3" s="75" t="n"/>
      <c r="L3" s="75" t="n"/>
      <c r="M3" s="75" t="n"/>
      <c r="N3" s="75" t="n"/>
      <c r="O3" s="75" t="n"/>
      <c r="P3" s="76" t="n"/>
    </row>
    <row r="4" ht="48" customHeight="1">
      <c r="A4" s="89" t="inlineStr">
        <is>
          <t>این فایل برای اعتبارسنجی منطق McuPowerPath (تغذیه مستقل MCU با Q1) تهیه شده و رفتار هیسترزیس، 5s qualification و ISR فوری را پوشش می‌دهد. دامنه: فقط Q1/PB5؛ PB11/Q17 متعلق به Changeover و بدون تغییر؛ thresholdها فقط برای v_in (نه v_bat).</t>
        </is>
      </c>
      <c r="B4" s="29" t="n"/>
      <c r="C4" s="29" t="n"/>
      <c r="D4" s="29" t="n"/>
      <c r="E4" s="29" t="n"/>
      <c r="F4" s="29" t="n"/>
      <c r="G4" s="29" t="n"/>
      <c r="H4" s="29" t="n"/>
      <c r="I4" s="29" t="n"/>
      <c r="J4" s="29" t="n"/>
      <c r="K4" s="29" t="n"/>
      <c r="L4" s="29" t="n"/>
      <c r="M4" s="29" t="n"/>
      <c r="N4" s="29" t="n"/>
      <c r="O4" s="29" t="n"/>
      <c r="P4" s="30" t="n"/>
    </row>
    <row r="5" ht="14" customHeight="1">
      <c r="A5" s="92" t="inlineStr">
        <is>
          <t>دامنه و مالکیت پایه‌ها</t>
        </is>
      </c>
      <c r="B5" s="29" t="n"/>
      <c r="C5" s="29" t="n"/>
      <c r="D5" s="29" t="n"/>
      <c r="E5" s="29" t="n"/>
      <c r="F5" s="29" t="n"/>
      <c r="G5" s="29" t="n"/>
      <c r="H5" s="29" t="n"/>
      <c r="I5" s="29" t="n"/>
      <c r="J5" s="29" t="n"/>
      <c r="K5" s="29" t="n"/>
      <c r="L5" s="29" t="n"/>
      <c r="M5" s="29" t="n"/>
      <c r="N5" s="29" t="n"/>
      <c r="O5" s="29" t="n"/>
      <c r="P5" s="30" t="n"/>
    </row>
    <row r="6" ht="48" customHeight="1">
      <c r="A6" s="93" t="inlineStr">
        <is>
          <t>Q1=PB5/pin41 فعال-Low: PB5 Low=باتری وصل، High=قطع. PB4=ورودی Presence با EXTI دو لبه (فقط تشخیص). PB11=PROTECT_BATTERY فقط Changeover. هیچ منطق PB5 در changeover.c و هیچ PB11 در mcu_power_path.c نیست. MODULE_PROTECTION=0 باقی می‌ماند.</t>
        </is>
      </c>
      <c r="B6" s="29" t="n"/>
      <c r="C6" s="29" t="n"/>
      <c r="D6" s="29" t="n"/>
      <c r="E6" s="29" t="n"/>
      <c r="F6" s="29" t="n"/>
      <c r="G6" s="29" t="n"/>
      <c r="H6" s="29" t="n"/>
      <c r="I6" s="29" t="n"/>
      <c r="J6" s="29" t="n"/>
      <c r="K6" s="29" t="n"/>
      <c r="L6" s="29" t="n"/>
      <c r="M6" s="29" t="n"/>
      <c r="N6" s="29" t="n"/>
      <c r="O6" s="29" t="n"/>
      <c r="P6" s="30" t="n"/>
    </row>
    <row r="7" ht="14" customHeight="1">
      <c r="A7" s="92" t="inlineStr">
        <is>
          <t>منطق هیسترزیس (v_in فقط)</t>
        </is>
      </c>
      <c r="B7" s="29" t="n"/>
      <c r="C7" s="29" t="n"/>
      <c r="D7" s="29" t="n"/>
      <c r="E7" s="29" t="n"/>
      <c r="F7" s="29" t="n"/>
      <c r="G7" s="29" t="n"/>
      <c r="H7" s="29" t="n"/>
      <c r="I7" s="29" t="n"/>
      <c r="J7" s="29" t="n"/>
      <c r="K7" s="29" t="n"/>
      <c r="L7" s="29" t="n"/>
      <c r="M7" s="29" t="n"/>
      <c r="N7" s="29" t="n"/>
      <c r="O7" s="29" t="n"/>
      <c r="P7" s="30" t="n"/>
    </row>
    <row r="8" ht="48" customHeight="1">
      <c r="A8" s="89" t="inlineStr">
        <is>
          <t>• v_in &gt;=22000mV و باتری وصل → شروع/ادامه تایمر 5000ms → پس از 5s پیوسته PB5 High (قطع).
• 21500 &lt;= v_in &lt;22000 → ناحیه مرده: تایمر pending لغو، وضعیت Q1 حفظ (21.9V به‌تنهایی reconnect نمی‌کند).
• v_in &lt;21500mV → اگر Q1 قطع بود فوراً PB5 Low (وصل) + لغو تایمر؛ اگر وصل بود وصل بماند.
• snapshot نامعتبر یا 21500..21999 → لغو تایمر، حفظ Q1 (زمان نامعتبر شمرده نشود).
• falling PB4 → ISR فوراً PB5 Low + لغو تایمر، سپس BSP_EXTI_INPUT_DETECT (بدون انتظار ADC/task).</t>
        </is>
      </c>
      <c r="B8" s="29" t="n"/>
      <c r="C8" s="29" t="n"/>
      <c r="D8" s="29" t="n"/>
      <c r="E8" s="29" t="n"/>
      <c r="F8" s="29" t="n"/>
      <c r="G8" s="29" t="n"/>
      <c r="H8" s="29" t="n"/>
      <c r="I8" s="29" t="n"/>
      <c r="J8" s="29" t="n"/>
      <c r="K8" s="29" t="n"/>
      <c r="L8" s="29" t="n"/>
      <c r="M8" s="29" t="n"/>
      <c r="N8" s="29" t="n"/>
      <c r="O8" s="29" t="n"/>
      <c r="P8" s="30" t="n"/>
    </row>
    <row r="9" ht="14" customHeight="1">
      <c r="A9" s="92" t="inlineStr">
        <is>
          <t>روش اجرای تست</t>
        </is>
      </c>
      <c r="B9" s="29" t="n"/>
      <c r="C9" s="29" t="n"/>
      <c r="D9" s="29" t="n"/>
      <c r="E9" s="29" t="n"/>
      <c r="F9" s="29" t="n"/>
      <c r="G9" s="29" t="n"/>
      <c r="H9" s="29" t="n"/>
      <c r="I9" s="29" t="n"/>
      <c r="J9" s="29" t="n"/>
      <c r="K9" s="29" t="n"/>
      <c r="L9" s="29" t="n"/>
      <c r="M9" s="29" t="n"/>
      <c r="N9" s="29" t="n"/>
      <c r="O9" s="29" t="n"/>
      <c r="P9" s="30" t="n"/>
    </row>
    <row r="10" ht="48" customHeight="1">
      <c r="A10" s="89" t="inlineStr">
        <is>
          <t>۱) برد را با منبع آزمایشگاهی ایمن تغذیه کن (باتری 24V و DC 24V قابل تنظیم). ۲) firmware با MODULE_MCU_POWER_PATH=1 را پروگرام کن؛ commit و شناسه برد را در «تأیید نهایی» ثبت کن. ۳) snapshot را از Measurement تزریق یا ADC واقعی را اعمال کن (v_in, valid, input_present). ۴) برای 5s: شرط &gt;=22000 را حداقل 5.5s پایدار نگه دار؛ برای هیسترزیس 21.9V/21.5V را 1s نگه دار. ۵) PB5 را با DMM/اسکوپ روی pin41 و Q1 gate بسنج؛ زمان را با osKernelGetTickFreq بسنج (نه فرض 1ms).</t>
        </is>
      </c>
      <c r="B10" s="29" t="n"/>
      <c r="C10" s="29" t="n"/>
      <c r="D10" s="29" t="n"/>
      <c r="E10" s="29" t="n"/>
      <c r="F10" s="29" t="n"/>
      <c r="G10" s="29" t="n"/>
      <c r="H10" s="29" t="n"/>
      <c r="I10" s="29" t="n"/>
      <c r="J10" s="29" t="n"/>
      <c r="K10" s="29" t="n"/>
      <c r="L10" s="29" t="n"/>
      <c r="M10" s="29" t="n"/>
      <c r="N10" s="29" t="n"/>
      <c r="O10" s="29" t="n"/>
      <c r="P10" s="30" t="n"/>
    </row>
    <row r="11" ht="14" customHeight="1">
      <c r="A11" s="92" t="inlineStr">
        <is>
          <t>معیار قبولی کلی</t>
        </is>
      </c>
      <c r="B11" s="29" t="n"/>
      <c r="C11" s="29" t="n"/>
      <c r="D11" s="29" t="n"/>
      <c r="E11" s="29" t="n"/>
      <c r="F11" s="29" t="n"/>
      <c r="G11" s="29" t="n"/>
      <c r="H11" s="29" t="n"/>
      <c r="I11" s="29" t="n"/>
      <c r="J11" s="29" t="n"/>
      <c r="K11" s="29" t="n"/>
      <c r="L11" s="29" t="n"/>
      <c r="M11" s="29" t="n"/>
      <c r="N11" s="29" t="n"/>
      <c r="O11" s="29" t="n"/>
      <c r="P11" s="30" t="n"/>
    </row>
    <row r="12" ht="48" customHeight="1">
      <c r="A12" s="89" t="inlineStr">
        <is>
          <t>هیچ ردیفی بدون «روش اجرا» و «نتیجه مورد انتظار» نیست. قبل از تست برد «نتیجه واقعی» خالی و «وضعیت»=در انتظار. پس از تست: PB5 دقیقاً مطابق باند هیسترزیس، تایمر cancel/preserve درست، ISR &lt;100µs Low، MCU reset نشود، PB11 بدون تغییر (regression).</t>
        </is>
      </c>
      <c r="B12" s="29" t="n"/>
      <c r="C12" s="29" t="n"/>
      <c r="D12" s="29" t="n"/>
      <c r="E12" s="29" t="n"/>
      <c r="F12" s="29" t="n"/>
      <c r="G12" s="29" t="n"/>
      <c r="H12" s="29" t="n"/>
      <c r="I12" s="29" t="n"/>
      <c r="J12" s="29" t="n"/>
      <c r="K12" s="29" t="n"/>
      <c r="L12" s="29" t="n"/>
      <c r="M12" s="29" t="n"/>
      <c r="N12" s="29" t="n"/>
      <c r="O12" s="29" t="n"/>
      <c r="P12" s="30" t="n"/>
    </row>
    <row r="13" ht="14" customHeight="1">
      <c r="A13" s="92" t="inlineStr">
        <is>
          <t>ثابت‌ها</t>
        </is>
      </c>
      <c r="B13" s="29" t="n"/>
      <c r="C13" s="29" t="n"/>
      <c r="D13" s="29" t="n"/>
      <c r="E13" s="29" t="n"/>
      <c r="F13" s="29" t="n"/>
      <c r="G13" s="29" t="n"/>
      <c r="H13" s="29" t="n"/>
      <c r="I13" s="29" t="n"/>
      <c r="J13" s="29" t="n"/>
      <c r="K13" s="29" t="n"/>
      <c r="L13" s="29" t="n"/>
      <c r="M13" s="29" t="n"/>
      <c r="N13" s="29" t="n"/>
      <c r="O13" s="29" t="n"/>
      <c r="P13" s="30" t="n"/>
    </row>
    <row r="14" ht="34" customHeight="1">
      <c r="A14" s="93" t="inlineStr">
        <is>
          <t>MCU_POWER_INPUT_QUALIFY_MV=22000u, RECONNECT=21500u, HYSTERESIS=500u, STABLE_MS=5000u در mcu_power_path.h — فقط v_in، مستقل از Changeover 21000/20800/21200/3000ms.</t>
        </is>
      </c>
      <c r="B14" s="29" t="n"/>
      <c r="C14" s="29" t="n"/>
      <c r="D14" s="29" t="n"/>
      <c r="E14" s="29" t="n"/>
      <c r="F14" s="29" t="n"/>
      <c r="G14" s="29" t="n"/>
      <c r="H14" s="29" t="n"/>
      <c r="I14" s="29" t="n"/>
      <c r="J14" s="29" t="n"/>
      <c r="K14" s="29" t="n"/>
      <c r="L14" s="29" t="n"/>
      <c r="M14" s="29" t="n"/>
      <c r="N14" s="29" t="n"/>
      <c r="O14" s="29" t="n"/>
      <c r="P14" s="30" t="n"/>
    </row>
    <row r="15" ht="14" customHeight="1">
      <c r="A15" s="92" t="inlineStr">
        <is>
          <t>ابزار</t>
        </is>
      </c>
      <c r="B15" s="29" t="n"/>
      <c r="C15" s="29" t="n"/>
      <c r="D15" s="29" t="n"/>
      <c r="E15" s="29" t="n"/>
      <c r="F15" s="29" t="n"/>
      <c r="G15" s="29" t="n"/>
      <c r="H15" s="29" t="n"/>
      <c r="I15" s="29" t="n"/>
      <c r="J15" s="29" t="n"/>
      <c r="K15" s="29" t="n"/>
      <c r="L15" s="29" t="n"/>
      <c r="M15" s="29" t="n"/>
      <c r="N15" s="29" t="n"/>
      <c r="O15" s="29" t="n"/>
      <c r="P15" s="30" t="n"/>
    </row>
    <row r="16" ht="34" customHeight="1">
      <c r="A16" s="93" t="inlineStr">
        <is>
          <t>منبع آزمایشگاهی + DMM + اسکوپ + تایمر RTOS (osKernelGetTickCount + rtos_time.h) + فایل DOC/State.xlsx بدون تغییر.</t>
        </is>
      </c>
      <c r="B16" s="29" t="n"/>
      <c r="C16" s="29" t="n"/>
      <c r="D16" s="29" t="n"/>
      <c r="E16" s="29" t="n"/>
      <c r="F16" s="29" t="n"/>
      <c r="G16" s="29" t="n"/>
      <c r="H16" s="29" t="n"/>
      <c r="I16" s="29" t="n"/>
      <c r="J16" s="29" t="n"/>
      <c r="K16" s="29" t="n"/>
      <c r="L16" s="29" t="n"/>
      <c r="M16" s="29" t="n"/>
      <c r="N16" s="29" t="n"/>
      <c r="O16" s="29" t="n"/>
      <c r="P16" s="30" t="n"/>
    </row>
    <row r="18">
      <c r="A18" s="131" t="inlineStr">
        <is>
          <t>اولویت تست‌های عملی: «بالا» یعنی رفتار اصلی‌ای که در کار عادی دستگاه می‌بینید (روشن‌شدن، شروع و پایان شارژ، چهره‌های اصلی چراغ‌ها، رفتن تغذیه روی برق ورودی، خطاهای اصلی)؛ اول همین‌ها را انجام دهید. «متوسط» رفتارهای فرعیِ کاربردی است و «پایین» ریزه‌کاری‌ها (مثل اثر نوسان چند درصدی روی ریتم چشمک یا لبه‌های دقیق درصد و زمان).
ستون «چه چیزی باید ببینید تا بگویید درست است» می‌گوید دقیقاً چه چیزی را باید ببینید یا بشنوید تا آن تست را قبول کنید؛ اگر چیز دیگری دیدید، وضعیت را «رد» بزنید و در شرح ایراد بنویسید چه دیدید.</t>
        </is>
      </c>
    </row>
  </sheetData>
  <mergeCells count="16">
    <mergeCell ref="A11:P11"/>
    <mergeCell ref="A10:P10"/>
    <mergeCell ref="A5:P5"/>
    <mergeCell ref="A13:P13"/>
    <mergeCell ref="A14:P14"/>
    <mergeCell ref="A1:P1"/>
    <mergeCell ref="A9:P9"/>
    <mergeCell ref="A8:P8"/>
    <mergeCell ref="A6:P6"/>
    <mergeCell ref="A12:P12"/>
    <mergeCell ref="A4:P4"/>
    <mergeCell ref="A3:P3"/>
    <mergeCell ref="A16:P16"/>
    <mergeCell ref="A15:P15"/>
    <mergeCell ref="A7:P7"/>
    <mergeCell ref="A2:P2"/>
  </mergeCells>
  <hyperlinks>
    <hyperlink xmlns:r="http://schemas.openxmlformats.org/officeDocument/2006/relationships" ref="A6" r:id="rId1"/>
    <hyperlink xmlns:r="http://schemas.openxmlformats.org/officeDocument/2006/relationships" ref="A14" r:id="rId2"/>
    <hyperlink xmlns:r="http://schemas.openxmlformats.org/officeDocument/2006/relationships" ref="A16" r:id="rId3"/>
  </hyperlinks>
  <pageMargins left="0.75" right="0.75" top="1" bottom="1" header="0.5" footer="0.5"/>
  <pageSetup orientation="landscape" fitToHeight="1" fitToWidth="1"/>
</worksheet>
</file>

<file path=xl/worksheets/sheet2.xml><?xml version="1.0" encoding="utf-8"?>
<worksheet xmlns="http://schemas.openxmlformats.org/spreadsheetml/2006/main">
  <sheetPr>
    <tabColor rgb="001F4E79"/>
    <outlinePr summaryBelow="1" summaryRight="1"/>
    <pageSetUpPr fitToPage="1"/>
  </sheetPr>
  <dimension ref="A1:Q48"/>
  <sheetViews>
    <sheetView rightToLeft="1"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2" customWidth="1" min="2" max="2"/>
    <col width="9" customWidth="1" min="3" max="3"/>
    <col width="22" customWidth="1" min="4" max="4"/>
    <col width="62" customWidth="1" min="5" max="5"/>
    <col width="22" customWidth="1" min="6" max="6"/>
    <col width="10" customWidth="1" min="7" max="7"/>
    <col width="42" customWidth="1" min="8" max="8"/>
    <col width="12" customWidth="1" min="9" max="9"/>
    <col width="34" customWidth="1" min="10" max="10"/>
    <col width="34" customWidth="1" min="11" max="11"/>
    <col width="13" customWidth="1" min="12" max="12"/>
    <col width="24" customWidth="1" min="13" max="13"/>
    <col width="16" customWidth="1" min="14" max="14"/>
    <col width="12" customWidth="1" min="15" max="15"/>
    <col width="13" customWidth="1" min="16" max="16"/>
    <col width="12" customWidth="1" min="17" max="17"/>
  </cols>
  <sheetData>
    <row r="1" ht="20" customHeight="1">
      <c r="A1" s="94" t="inlineStr">
        <is>
          <t>برنامهٔ تست عملی — ماژول McuPowerPath (Q1=PB5, PB4 presence, هیسترزیس 22000/21500, 5000ms)  — ChangeOver</t>
        </is>
      </c>
    </row>
    <row r="2" ht="14" customHeight="1">
      <c r="A2" s="95" t="inlineStr">
        <is>
          <t>ورودی‌ها بر حسب mV؛ زمان‌ها بر حسب ms. PB5 Low=وصل، High=قطع. هیسترزیس فقط v_in (نه v_bat). PB4 falling → ISR فوری Low (بدون ADC). PB11 بدون تغییر.</t>
        </is>
      </c>
    </row>
    <row r="3" ht="12" customHeight="1">
      <c r="A3" s="96" t="inlineStr">
        <is>
          <t>برای هر ردیف: snapshot.valid، v_in_mv (یا counts ADC)، PB4 level، v_bat (برای بی‌اثری)، و وضعیت اولیه Q1 را ثبت کن. زمان‌ها را با rtos_time بسنج، نه فرض tick=1ms.</t>
        </is>
      </c>
    </row>
    <row r="4" ht="30" customHeight="1">
      <c r="A4" s="86" t="inlineStr">
        <is>
          <t>شناسه</t>
        </is>
      </c>
      <c r="B4" s="86" t="inlineStr">
        <is>
          <t>دسته</t>
        </is>
      </c>
      <c r="C4" s="86" t="inlineStr">
        <is>
          <t>اولویت</t>
        </is>
      </c>
      <c r="D4" s="86" t="inlineStr">
        <is>
          <t>پیش‌شرط</t>
        </is>
      </c>
      <c r="E4" s="86" t="inlineStr">
        <is>
          <t>روش اجرای دقیق</t>
        </is>
      </c>
      <c r="F4" s="86" t="inlineStr">
        <is>
          <t>ورودی‌ها / شرایط</t>
        </is>
      </c>
      <c r="G4" s="86" t="inlineStr">
        <is>
          <t>مدت مشاهده</t>
        </is>
      </c>
      <c r="H4" s="86" t="inlineStr">
        <is>
          <t>رفتار مورد انتظار</t>
        </is>
      </c>
      <c r="I4" s="86" t="inlineStr">
        <is>
          <t>وضعیت Q1 حفظ/latch</t>
        </is>
      </c>
      <c r="J4" s="86" t="inlineStr">
        <is>
          <t>چه چیزی باید ببینید تا بگویید درست است</t>
        </is>
      </c>
      <c r="K4" s="86" t="inlineStr">
        <is>
          <t>نتیجهٔ واقعی / اندازه‌گیری</t>
        </is>
      </c>
      <c r="L4" s="86" t="inlineStr">
        <is>
          <t>وضعیت</t>
        </is>
      </c>
      <c r="M4" s="86" t="inlineStr">
        <is>
          <t>شرح ایراد / تفاوت</t>
        </is>
      </c>
      <c r="N4" s="86" t="inlineStr">
        <is>
          <t>مدرک تست / scope</t>
        </is>
      </c>
      <c r="O4" s="86" t="inlineStr">
        <is>
          <t>commit</t>
        </is>
      </c>
      <c r="P4" s="86" t="inlineStr">
        <is>
          <t>نام تست‌کننده</t>
        </is>
      </c>
      <c r="Q4" s="86" t="inlineStr">
        <is>
          <t>تاریخ</t>
        </is>
      </c>
    </row>
    <row r="5" ht="40.5" customHeight="1">
      <c r="A5" s="98" t="inlineStr">
        <is>
          <t>MP-021</t>
        </is>
      </c>
      <c r="B5" s="99" t="inlineStr">
        <is>
          <t>عملکرد واقعی مسیر تغذیه</t>
        </is>
      </c>
      <c r="C5" s="100" t="inlineStr">
        <is>
          <t>بالا</t>
        </is>
      </c>
      <c r="D5" s="99" t="inlineStr">
        <is>
          <t>فقط باتری وصل، برق شهر قطع</t>
        </is>
      </c>
      <c r="E5" s="99" t="inlineStr">
        <is>
          <t>گام ۱: فقط باتری را وصل کن و برق شهر را قطع نگه دار.
گام ۲: دستگاه را روشن کن.
گام ۳: دستگاه باید کامل و عادی بالا بیاید و کار کند.</t>
        </is>
      </c>
      <c r="F5" s="99" t="inlineStr">
        <is>
          <t>بوت با باتری تنها</t>
        </is>
      </c>
      <c r="G5" s="100" t="inlineStr">
        <is>
          <t>چند ثانیه</t>
        </is>
      </c>
      <c r="H5" s="99" t="inlineStr">
        <is>
          <t>دستگاه از باتری روشن و عادی</t>
        </is>
      </c>
      <c r="I5" s="99" t="inlineStr">
        <is>
          <t>—</t>
        </is>
      </c>
      <c r="J5" s="99" t="inlineStr">
        <is>
          <t>باید ببینید: دستگاه فقط با باتری کامل و عادی بالا می‌آید و کار می‌کند. اگر بالا نیامد یا ناقص کار کرد، قبول نیست.</t>
        </is>
      </c>
      <c r="K5" s="99" t="n"/>
      <c r="L5" s="101" t="inlineStr">
        <is>
          <t>در انتظار</t>
        </is>
      </c>
      <c r="M5" s="99" t="n"/>
      <c r="N5" s="99" t="n"/>
      <c r="O5" s="100" t="n"/>
      <c r="P5" s="100" t="n"/>
      <c r="Q5" s="102">
        <f>IF(OR(L5="",L5="در انتظار"),"",IF(Q5="",TODAY(),Q5))</f>
        <v/>
      </c>
    </row>
    <row r="6" ht="54" customHeight="1">
      <c r="A6" s="98" t="inlineStr">
        <is>
          <t>MP-022</t>
        </is>
      </c>
      <c r="B6" s="103" t="inlineStr">
        <is>
          <t>عملکرد واقعی مسیر تغذیه</t>
        </is>
      </c>
      <c r="C6" s="104" t="inlineStr">
        <is>
          <t>بالا</t>
        </is>
      </c>
      <c r="D6" s="105" t="inlineStr">
        <is>
          <t>دستگاه در حال کار با باتری (MP-021)</t>
        </is>
      </c>
      <c r="E6" s="105" t="inlineStr">
        <is>
          <t>گام ۱: از MP-021 ادامه بده؛ دستگاه با باتری در حال کار است.
گام ۲: برق شهر را وصل کن و حدود ۵ ثانیه صبر کن؛ تغذیهٔ میکرو بعد از حدود ۵ ثانیهٔ ورودیِ پایدار، خودش روی برق ورودی می‌رود.
گام ۳: حالا باتری را جدا کن؛ دستگاه نباید خاموش یا ریست شود.
گام ۴: باتری را برگردان.</t>
        </is>
      </c>
      <c r="F6" s="103" t="inlineStr">
        <is>
          <t>وصل برق شهر حین کار</t>
        </is>
      </c>
      <c r="G6" s="104" t="inlineStr">
        <is>
          <t>چند ثانیه</t>
        </is>
      </c>
      <c r="H6" s="103" t="inlineStr">
        <is>
          <t>انتقال بی‌وقفه به برق شهر</t>
        </is>
      </c>
      <c r="I6" s="103" t="inlineStr">
        <is>
          <t>—</t>
        </is>
      </c>
      <c r="J6" s="103" t="inlineStr">
        <is>
          <t>باید ببینید: بعد از حدود ۵ ثانیه از وصل ورودی، با جدا کردن باتری دستگاه بی‌وقفه روشن می‌ماند و هیچ ریستی نمی‌بینید. اگر خاموش شد یعنی هنوز روی ورودی نرفته بود و قبول نیست.</t>
        </is>
      </c>
      <c r="K6" s="103" t="n"/>
      <c r="L6" s="101" t="inlineStr">
        <is>
          <t>در انتظار</t>
        </is>
      </c>
      <c r="M6" s="103" t="n"/>
      <c r="N6" s="103" t="n"/>
      <c r="O6" s="104" t="n"/>
      <c r="P6" s="104" t="n"/>
      <c r="Q6" s="106">
        <f>IF(OR(L6="",L6="در انتظار"),"",IF(Q6="",TODAY(),Q6))</f>
        <v/>
      </c>
    </row>
    <row r="7" ht="40.5" customHeight="1">
      <c r="A7" s="98" t="inlineStr">
        <is>
          <t>MP-025</t>
        </is>
      </c>
      <c r="B7" s="99" t="inlineStr">
        <is>
          <t>عملکرد واقعی مسیر تغذیه</t>
        </is>
      </c>
      <c r="C7" s="100" t="inlineStr">
        <is>
          <t>بالا</t>
        </is>
      </c>
      <c r="D7" s="99" t="inlineStr">
        <is>
          <t>دستگاه فقط با باتری در حال کار (مثل MP-021)</t>
        </is>
      </c>
      <c r="E7" s="99" t="inlineStr">
        <is>
          <t>گام ۱: برق شهر را وصل کن.
گام ۲: بلافاصله، در یکی‌دو ثانیهٔ اول، باتری را جدا کن.
گام ۳: دستگاه باید خاموش شود؛ چون تغذیهٔ میکرو هنوز از باتری بود و رفتن روی ورودی بعد از حدود ۵ ثانیهٔ ورودیِ پایدار انجام می‌شود.
گام ۴: باتری و ورودی را برگردان و دستگاه را دوباره روشن کن.</t>
        </is>
      </c>
      <c r="F7" s="99" t="inlineStr">
        <is>
          <t>وصل ورودی و کشیدن فوری باتری</t>
        </is>
      </c>
      <c r="G7" s="100" t="inlineStr">
        <is>
          <t>چند ثانیه</t>
        </is>
      </c>
      <c r="H7" s="99" t="inlineStr">
        <is>
          <t>خاموش‌شدن دستگاه با کشیدن زودهنگام باتری</t>
        </is>
      </c>
      <c r="I7" s="99" t="inlineStr">
        <is>
          <t>—</t>
        </is>
      </c>
      <c r="J7" s="99" t="inlineStr">
        <is>
          <t>باید ببینید: با کشیدن باتری در یکی‌دو ثانیهٔ اولِ وصل ورودی، دستگاه خاموش می‌شود؛ یعنی هنوز روی ورودی نرفته بود. اگر روشن ماند، یعنی زودتر از حدود ۵ ثانیه سوییچ کرده و قبول نیست.</t>
        </is>
      </c>
      <c r="K7" s="99" t="n"/>
      <c r="L7" s="101" t="inlineStr">
        <is>
          <t>در انتظار</t>
        </is>
      </c>
      <c r="M7" s="99" t="n"/>
      <c r="N7" s="99" t="n"/>
      <c r="O7" s="100" t="n"/>
      <c r="P7" s="100" t="n"/>
      <c r="Q7" s="102">
        <f>IF(OR(L7="",L7="در انتظار"),"",IF(Q7="",TODAY(),Q7))</f>
        <v/>
      </c>
    </row>
    <row r="8" ht="40.5" customHeight="1">
      <c r="A8" s="98" t="inlineStr">
        <is>
          <t>MP-023</t>
        </is>
      </c>
      <c r="B8" s="99" t="inlineStr">
        <is>
          <t>عملکرد واقعی مسیر تغذیه</t>
        </is>
      </c>
      <c r="C8" s="100" t="inlineStr">
        <is>
          <t>بالا</t>
        </is>
      </c>
      <c r="D8" s="99" t="inlineStr">
        <is>
          <t>دستگاه با برق شهر در حال کار و باتری وصل</t>
        </is>
      </c>
      <c r="E8" s="99" t="inlineStr">
        <is>
          <t>گام ۱: دستگاه با برق شهر در حال کار باشد و باتری هم وصل باشد.
گام ۲: برق شهر را ناگهانی بکش.
گام ۳: دستگاه نباید خاموش یا ریست شود؛ باید بی‌وقفه روی باتری ادامه دهد و بار و چراغ‌ها قطع نشوند.</t>
        </is>
      </c>
      <c r="F8" s="99" t="inlineStr">
        <is>
          <t>قطع ناگهانی برق شهر</t>
        </is>
      </c>
      <c r="G8" s="100" t="inlineStr">
        <is>
          <t>چند ثانیه</t>
        </is>
      </c>
      <c r="H8" s="99" t="inlineStr">
        <is>
          <t>ادامهٔ بی‌وقفه روی باتری</t>
        </is>
      </c>
      <c r="I8" s="99" t="inlineStr">
        <is>
          <t>—</t>
        </is>
      </c>
      <c r="J8" s="99" t="inlineStr">
        <is>
          <t>باید ببینید: با کشیدن ناگهانی برق شهر، دستگاه خاموش یا ریست نمی‌شود و بی‌وقفه روی باتری ادامه می‌دهد. اگر خاموشی یا ریست دیدید، قبول نیست.</t>
        </is>
      </c>
      <c r="K8" s="99" t="n"/>
      <c r="L8" s="101" t="inlineStr">
        <is>
          <t>در انتظار</t>
        </is>
      </c>
      <c r="M8" s="99" t="n"/>
      <c r="N8" s="99" t="n"/>
      <c r="O8" s="100" t="n"/>
      <c r="P8" s="100" t="n"/>
      <c r="Q8" s="102">
        <f>IF(OR(L8="",L8="در انتظار"),"",IF(Q8="",TODAY(),Q8))</f>
        <v/>
      </c>
    </row>
    <row r="9" ht="40.5" customHeight="1">
      <c r="A9" s="98" t="inlineStr">
        <is>
          <t>MP-024</t>
        </is>
      </c>
      <c r="B9" s="103" t="inlineStr">
        <is>
          <t>عملکرد واقعی مسیر تغذیه</t>
        </is>
      </c>
      <c r="C9" s="104" t="inlineStr">
        <is>
          <t>متوسط</t>
        </is>
      </c>
      <c r="D9" s="103" t="inlineStr">
        <is>
          <t>دستگاه با برق شهر 24 ولت و باتری وصل</t>
        </is>
      </c>
      <c r="E9" s="103" t="inlineStr">
        <is>
          <t>گام ۱: دستگاه با برق شهر 24 ولت در حال کار باشد و باتری وصل.
گام ۲: ولتاژ برق شهر را آرام تا حدود 21 ولت پایین بیاور.
گام ۳: دستگاه باید برق شهر ضعیف را رها کند و روی باتری ادامه دهد، بدون اینکه خاموش شود.</t>
        </is>
      </c>
      <c r="F9" s="103" t="inlineStr">
        <is>
          <t>افت برق شهر تا حدود 21 ولت</t>
        </is>
      </c>
      <c r="G9" s="104" t="inlineStr">
        <is>
          <t>چند ثانیه</t>
        </is>
      </c>
      <c r="H9" s="103" t="inlineStr">
        <is>
          <t>برگشت خودکار به باتری</t>
        </is>
      </c>
      <c r="I9" s="103" t="inlineStr">
        <is>
          <t>—</t>
        </is>
      </c>
      <c r="J9" s="103" t="inlineStr">
        <is>
          <t>باید ببینید: با ضعیف‌شدن برق شهر، دستگاه بدون خاموشی روی باتری ادامه می‌دهد. اگر خاموش شد، قبول نیست.</t>
        </is>
      </c>
      <c r="K9" s="103" t="n"/>
      <c r="L9" s="101" t="inlineStr">
        <is>
          <t>در انتظار</t>
        </is>
      </c>
      <c r="M9" s="103" t="n"/>
      <c r="N9" s="103" t="n"/>
      <c r="O9" s="104" t="n"/>
      <c r="P9" s="104" t="n"/>
      <c r="Q9" s="106">
        <f>IF(OR(L9="",L9="در انتظار"),"",IF(Q9="",TODAY(),Q9))</f>
        <v/>
      </c>
    </row>
    <row r="10">
      <c r="A10" s="132" t="n"/>
      <c r="B10" s="132" t="n"/>
      <c r="C10" s="132" t="n"/>
      <c r="D10" s="132" t="n"/>
      <c r="E10" s="132" t="n"/>
      <c r="F10" s="132" t="n"/>
      <c r="G10" s="132" t="n"/>
      <c r="H10" s="132" t="n"/>
      <c r="I10" s="132" t="n"/>
      <c r="J10" s="132" t="n"/>
      <c r="K10" s="132" t="n"/>
      <c r="L10" s="132" t="n"/>
      <c r="M10" s="132" t="n"/>
      <c r="N10" s="132" t="n"/>
      <c r="O10" s="132" t="n"/>
      <c r="P10" s="132" t="n"/>
      <c r="Q10" s="133" t="n"/>
    </row>
    <row r="11">
      <c r="A11" s="132" t="n"/>
      <c r="B11" s="132" t="n"/>
      <c r="C11" s="132" t="n"/>
      <c r="D11" s="132" t="n"/>
      <c r="E11" s="132" t="n"/>
      <c r="F11" s="132" t="n"/>
      <c r="G11" s="132" t="n"/>
      <c r="H11" s="132" t="n"/>
      <c r="I11" s="132" t="n"/>
      <c r="J11" s="132" t="n"/>
      <c r="K11" s="132" t="n"/>
      <c r="L11" s="132" t="n"/>
      <c r="M11" s="132" t="n"/>
      <c r="N11" s="132" t="n"/>
      <c r="O11" s="132" t="n"/>
      <c r="P11" s="132" t="n"/>
      <c r="Q11" s="133" t="n"/>
    </row>
    <row r="12">
      <c r="A12" s="132" t="n"/>
      <c r="B12" s="132" t="n"/>
      <c r="C12" s="132" t="n"/>
      <c r="D12" s="132" t="n"/>
      <c r="E12" s="132" t="n"/>
      <c r="F12" s="132" t="n"/>
      <c r="G12" s="132" t="n"/>
      <c r="H12" s="132" t="n"/>
      <c r="I12" s="132" t="n"/>
      <c r="J12" s="132" t="n"/>
      <c r="K12" s="132" t="n"/>
      <c r="L12" s="132" t="n"/>
      <c r="M12" s="132" t="n"/>
      <c r="N12" s="132" t="n"/>
      <c r="O12" s="132" t="n"/>
      <c r="P12" s="132" t="n"/>
      <c r="Q12" s="133" t="n"/>
    </row>
    <row r="13">
      <c r="A13" s="132" t="n"/>
      <c r="B13" s="132" t="n"/>
      <c r="C13" s="132" t="n"/>
      <c r="D13" s="132" t="n"/>
      <c r="E13" s="132" t="n"/>
      <c r="F13" s="132" t="n"/>
      <c r="G13" s="132" t="n"/>
      <c r="H13" s="132" t="n"/>
      <c r="I13" s="132" t="n"/>
      <c r="J13" s="132" t="n"/>
      <c r="K13" s="132" t="n"/>
      <c r="L13" s="132" t="n"/>
      <c r="M13" s="132" t="n"/>
      <c r="N13" s="132" t="n"/>
      <c r="O13" s="132" t="n"/>
      <c r="P13" s="132" t="n"/>
      <c r="Q13" s="133" t="n"/>
    </row>
    <row r="14">
      <c r="A14" s="132" t="n"/>
      <c r="B14" s="132" t="n"/>
      <c r="C14" s="132" t="n"/>
      <c r="D14" s="132" t="n"/>
      <c r="E14" s="132" t="n"/>
      <c r="F14" s="132" t="n"/>
      <c r="G14" s="132" t="n"/>
      <c r="H14" s="132" t="n"/>
      <c r="I14" s="132" t="n"/>
      <c r="J14" s="132" t="n"/>
      <c r="K14" s="132" t="n"/>
      <c r="L14" s="132" t="n"/>
      <c r="M14" s="132" t="n"/>
      <c r="N14" s="132" t="n"/>
      <c r="O14" s="132" t="n"/>
      <c r="P14" s="132" t="n"/>
      <c r="Q14" s="133" t="n"/>
    </row>
    <row r="15">
      <c r="A15" s="132" t="n"/>
      <c r="B15" s="132" t="n"/>
      <c r="C15" s="132" t="n"/>
      <c r="D15" s="132" t="n"/>
      <c r="E15" s="132" t="n"/>
      <c r="F15" s="132" t="n"/>
      <c r="G15" s="132" t="n"/>
      <c r="H15" s="132" t="n"/>
      <c r="I15" s="132" t="n"/>
      <c r="J15" s="132" t="n"/>
      <c r="K15" s="132" t="n"/>
      <c r="L15" s="132" t="n"/>
      <c r="M15" s="132" t="n"/>
      <c r="N15" s="132" t="n"/>
      <c r="O15" s="132" t="n"/>
      <c r="P15" s="132" t="n"/>
      <c r="Q15" s="133" t="n"/>
    </row>
    <row r="16">
      <c r="A16" s="132" t="n"/>
      <c r="B16" s="132" t="n"/>
      <c r="C16" s="132" t="n"/>
      <c r="D16" s="132" t="n"/>
      <c r="E16" s="132" t="n"/>
      <c r="F16" s="132" t="n"/>
      <c r="G16" s="132" t="n"/>
      <c r="H16" s="132" t="n"/>
      <c r="I16" s="132" t="n"/>
      <c r="J16" s="132" t="n"/>
      <c r="K16" s="132" t="n"/>
      <c r="L16" s="132" t="n"/>
      <c r="M16" s="132" t="n"/>
      <c r="N16" s="132" t="n"/>
      <c r="O16" s="132" t="n"/>
      <c r="P16" s="132" t="n"/>
      <c r="Q16" s="133" t="n"/>
    </row>
    <row r="17">
      <c r="A17" s="132" t="n"/>
      <c r="B17" s="132" t="n"/>
      <c r="C17" s="132" t="n"/>
      <c r="D17" s="132" t="n"/>
      <c r="E17" s="132" t="n"/>
      <c r="F17" s="132" t="n"/>
      <c r="G17" s="132" t="n"/>
      <c r="H17" s="132" t="n"/>
      <c r="I17" s="132" t="n"/>
      <c r="J17" s="132" t="n"/>
      <c r="K17" s="132" t="n"/>
      <c r="L17" s="132" t="n"/>
      <c r="M17" s="132" t="n"/>
      <c r="N17" s="132" t="n"/>
      <c r="O17" s="132" t="n"/>
      <c r="P17" s="132" t="n"/>
      <c r="Q17" s="133" t="n"/>
    </row>
    <row r="18">
      <c r="A18" s="132" t="n"/>
      <c r="B18" s="132" t="n"/>
      <c r="C18" s="132" t="n"/>
      <c r="D18" s="132" t="n"/>
      <c r="E18" s="132" t="n"/>
      <c r="F18" s="132" t="n"/>
      <c r="G18" s="132" t="n"/>
      <c r="H18" s="132" t="n"/>
      <c r="I18" s="132" t="n"/>
      <c r="J18" s="132" t="n"/>
      <c r="K18" s="132" t="n"/>
      <c r="L18" s="132" t="n"/>
      <c r="M18" s="132" t="n"/>
      <c r="N18" s="132" t="n"/>
      <c r="O18" s="132" t="n"/>
      <c r="P18" s="132" t="n"/>
      <c r="Q18" s="133" t="n"/>
    </row>
    <row r="19">
      <c r="A19" s="132" t="n"/>
      <c r="B19" s="132" t="n"/>
      <c r="C19" s="132" t="n"/>
      <c r="D19" s="132" t="n"/>
      <c r="E19" s="132" t="n"/>
      <c r="F19" s="132" t="n"/>
      <c r="G19" s="132" t="n"/>
      <c r="H19" s="132" t="n"/>
      <c r="I19" s="132" t="n"/>
      <c r="J19" s="132" t="n"/>
      <c r="K19" s="132" t="n"/>
      <c r="L19" s="132" t="n"/>
      <c r="M19" s="132" t="n"/>
      <c r="N19" s="132" t="n"/>
      <c r="O19" s="132" t="n"/>
      <c r="P19" s="132" t="n"/>
      <c r="Q19" s="133" t="n"/>
    </row>
    <row r="20">
      <c r="A20" s="132" t="n"/>
      <c r="B20" s="132" t="n"/>
      <c r="C20" s="132" t="n"/>
      <c r="D20" s="132" t="n"/>
      <c r="E20" s="132" t="n"/>
      <c r="F20" s="132" t="n"/>
      <c r="G20" s="132" t="n"/>
      <c r="H20" s="132" t="n"/>
      <c r="I20" s="132" t="n"/>
      <c r="J20" s="132" t="n"/>
      <c r="K20" s="132" t="n"/>
      <c r="L20" s="132" t="n"/>
      <c r="M20" s="132" t="n"/>
      <c r="N20" s="132" t="n"/>
      <c r="O20" s="132" t="n"/>
      <c r="P20" s="132" t="n"/>
      <c r="Q20" s="133" t="n"/>
    </row>
    <row r="21">
      <c r="A21" s="132" t="n"/>
      <c r="B21" s="132" t="n"/>
      <c r="C21" s="132" t="n"/>
      <c r="D21" s="132" t="n"/>
      <c r="E21" s="132" t="n"/>
      <c r="F21" s="132" t="n"/>
      <c r="G21" s="132" t="n"/>
      <c r="H21" s="132" t="n"/>
      <c r="I21" s="132" t="n"/>
      <c r="J21" s="132" t="n"/>
      <c r="K21" s="132" t="n"/>
      <c r="L21" s="132" t="n"/>
      <c r="M21" s="132" t="n"/>
      <c r="N21" s="132" t="n"/>
      <c r="O21" s="132" t="n"/>
      <c r="P21" s="132" t="n"/>
      <c r="Q21" s="133" t="n"/>
    </row>
    <row r="22">
      <c r="A22" s="132" t="n"/>
      <c r="B22" s="132" t="n"/>
      <c r="C22" s="132" t="n"/>
      <c r="D22" s="132" t="n"/>
      <c r="E22" s="132" t="n"/>
      <c r="F22" s="132" t="n"/>
      <c r="G22" s="132" t="n"/>
      <c r="H22" s="132" t="n"/>
      <c r="I22" s="132" t="n"/>
      <c r="J22" s="132" t="n"/>
      <c r="K22" s="132" t="n"/>
      <c r="L22" s="132" t="n"/>
      <c r="M22" s="132" t="n"/>
      <c r="N22" s="132" t="n"/>
      <c r="O22" s="132" t="n"/>
      <c r="P22" s="132" t="n"/>
      <c r="Q22" s="133" t="n"/>
    </row>
    <row r="23">
      <c r="A23" s="132" t="n"/>
      <c r="B23" s="132" t="n"/>
      <c r="C23" s="132" t="n"/>
      <c r="D23" s="132" t="n"/>
      <c r="E23" s="132" t="n"/>
      <c r="F23" s="132" t="n"/>
      <c r="G23" s="132" t="n"/>
      <c r="H23" s="132" t="n"/>
      <c r="I23" s="132" t="n"/>
      <c r="J23" s="132" t="n"/>
      <c r="K23" s="132" t="n"/>
      <c r="L23" s="132" t="n"/>
      <c r="M23" s="132" t="n"/>
      <c r="N23" s="132" t="n"/>
      <c r="O23" s="132" t="n"/>
      <c r="P23" s="132" t="n"/>
      <c r="Q23" s="133" t="n"/>
    </row>
    <row r="24">
      <c r="A24" s="132" t="n"/>
      <c r="B24" s="132" t="n"/>
      <c r="C24" s="132" t="n"/>
      <c r="D24" s="132" t="n"/>
      <c r="E24" s="132" t="n"/>
      <c r="F24" s="132" t="n"/>
      <c r="G24" s="132" t="n"/>
      <c r="H24" s="132" t="n"/>
      <c r="I24" s="132" t="n"/>
      <c r="J24" s="132" t="n"/>
      <c r="K24" s="132" t="n"/>
      <c r="L24" s="132" t="n"/>
      <c r="M24" s="132" t="n"/>
      <c r="N24" s="132" t="n"/>
      <c r="O24" s="132" t="n"/>
      <c r="P24" s="132" t="n"/>
      <c r="Q24" s="133" t="n"/>
    </row>
    <row r="25">
      <c r="A25" s="132" t="n"/>
      <c r="B25" s="132" t="n"/>
      <c r="C25" s="132" t="n"/>
      <c r="D25" s="132" t="n"/>
      <c r="E25" s="132" t="n"/>
      <c r="F25" s="132" t="n"/>
      <c r="G25" s="132" t="n"/>
      <c r="H25" s="132" t="n"/>
      <c r="I25" s="132" t="n"/>
      <c r="J25" s="132" t="n"/>
      <c r="K25" s="132" t="n"/>
      <c r="L25" s="132" t="n"/>
      <c r="M25" s="132" t="n"/>
      <c r="N25" s="132" t="n"/>
      <c r="O25" s="132" t="n"/>
      <c r="P25" s="132" t="n"/>
      <c r="Q25" s="133" t="n"/>
    </row>
    <row r="26">
      <c r="A26" s="132" t="n"/>
      <c r="B26" s="132" t="n"/>
      <c r="C26" s="132" t="n"/>
      <c r="D26" s="132" t="n"/>
      <c r="E26" s="132" t="n"/>
      <c r="F26" s="132" t="n"/>
      <c r="G26" s="132" t="n"/>
      <c r="H26" s="132" t="n"/>
      <c r="I26" s="132" t="n"/>
      <c r="J26" s="132" t="n"/>
      <c r="K26" s="132" t="n"/>
      <c r="L26" s="132" t="n"/>
      <c r="M26" s="132" t="n"/>
      <c r="N26" s="132" t="n"/>
      <c r="O26" s="132" t="n"/>
      <c r="P26" s="132" t="n"/>
      <c r="Q26" s="133" t="n"/>
    </row>
    <row r="27">
      <c r="A27" s="132" t="n"/>
      <c r="B27" s="132" t="n"/>
      <c r="C27" s="132" t="n"/>
      <c r="D27" s="132" t="n"/>
      <c r="E27" s="132" t="n"/>
      <c r="F27" s="132" t="n"/>
      <c r="G27" s="132" t="n"/>
      <c r="H27" s="132" t="n"/>
      <c r="I27" s="132" t="n"/>
      <c r="J27" s="132" t="n"/>
      <c r="K27" s="132" t="n"/>
      <c r="L27" s="132" t="n"/>
      <c r="M27" s="132" t="n"/>
      <c r="N27" s="132" t="n"/>
      <c r="O27" s="132" t="n"/>
      <c r="P27" s="132" t="n"/>
      <c r="Q27" s="133" t="n"/>
    </row>
    <row r="28">
      <c r="A28" s="132" t="n"/>
      <c r="B28" s="132" t="n"/>
      <c r="C28" s="132" t="n"/>
      <c r="D28" s="132" t="n"/>
      <c r="E28" s="132" t="n"/>
      <c r="F28" s="132" t="n"/>
      <c r="G28" s="132" t="n"/>
      <c r="H28" s="132" t="n"/>
      <c r="I28" s="132" t="n"/>
      <c r="J28" s="132" t="n"/>
      <c r="K28" s="132" t="n"/>
      <c r="L28" s="132" t="n"/>
      <c r="M28" s="132" t="n"/>
      <c r="N28" s="132" t="n"/>
      <c r="O28" s="132" t="n"/>
      <c r="P28" s="132" t="n"/>
      <c r="Q28" s="133" t="n"/>
    </row>
    <row r="29">
      <c r="A29" s="132" t="n"/>
      <c r="B29" s="132" t="n"/>
      <c r="C29" s="132" t="n"/>
      <c r="D29" s="132" t="n"/>
      <c r="E29" s="132" t="n"/>
      <c r="F29" s="132" t="n"/>
      <c r="G29" s="132" t="n"/>
      <c r="H29" s="132" t="n"/>
      <c r="I29" s="132" t="n"/>
      <c r="J29" s="132" t="n"/>
      <c r="K29" s="132" t="n"/>
      <c r="L29" s="132" t="n"/>
      <c r="M29" s="132" t="n"/>
      <c r="N29" s="132" t="n"/>
      <c r="O29" s="132" t="n"/>
      <c r="P29" s="132" t="n"/>
      <c r="Q29" s="133" t="n"/>
    </row>
    <row r="30">
      <c r="A30" s="132" t="n"/>
      <c r="B30" s="132" t="n"/>
      <c r="C30" s="132" t="n"/>
      <c r="D30" s="132" t="n"/>
      <c r="E30" s="132" t="n"/>
      <c r="F30" s="132" t="n"/>
      <c r="G30" s="132" t="n"/>
      <c r="H30" s="132" t="n"/>
      <c r="I30" s="132" t="n"/>
      <c r="J30" s="132" t="n"/>
      <c r="K30" s="132" t="n"/>
      <c r="L30" s="132" t="n"/>
      <c r="M30" s="132" t="n"/>
      <c r="N30" s="132" t="n"/>
      <c r="O30" s="132" t="n"/>
      <c r="P30" s="132" t="n"/>
      <c r="Q30" s="133" t="n"/>
    </row>
    <row r="31">
      <c r="A31" s="132" t="n"/>
      <c r="B31" s="132" t="n"/>
      <c r="C31" s="132" t="n"/>
      <c r="D31" s="132" t="n"/>
      <c r="E31" s="132" t="n"/>
      <c r="F31" s="132" t="n"/>
      <c r="G31" s="132" t="n"/>
      <c r="H31" s="132" t="n"/>
      <c r="I31" s="132" t="n"/>
      <c r="J31" s="132" t="n"/>
      <c r="K31" s="132" t="n"/>
      <c r="L31" s="132" t="n"/>
      <c r="M31" s="132" t="n"/>
      <c r="N31" s="132" t="n"/>
      <c r="O31" s="132" t="n"/>
      <c r="P31" s="132" t="n"/>
      <c r="Q31" s="133" t="n"/>
    </row>
    <row r="32">
      <c r="A32" s="132" t="n"/>
      <c r="B32" s="132" t="n"/>
      <c r="C32" s="132" t="n"/>
      <c r="D32" s="132" t="n"/>
      <c r="E32" s="132" t="n"/>
      <c r="F32" s="132" t="n"/>
      <c r="G32" s="132" t="n"/>
      <c r="H32" s="132" t="n"/>
      <c r="I32" s="132" t="n"/>
      <c r="J32" s="132" t="n"/>
      <c r="K32" s="132" t="n"/>
      <c r="L32" s="132" t="n"/>
      <c r="M32" s="132" t="n"/>
      <c r="N32" s="132" t="n"/>
      <c r="O32" s="132" t="n"/>
      <c r="P32" s="132" t="n"/>
      <c r="Q32" s="133" t="n"/>
    </row>
    <row r="33">
      <c r="A33" s="132" t="n"/>
      <c r="B33" s="132" t="n"/>
      <c r="C33" s="132" t="n"/>
      <c r="D33" s="132" t="n"/>
      <c r="E33" s="132" t="n"/>
      <c r="F33" s="132" t="n"/>
      <c r="G33" s="132" t="n"/>
      <c r="H33" s="132" t="n"/>
      <c r="I33" s="132" t="n"/>
      <c r="J33" s="132" t="n"/>
      <c r="K33" s="132" t="n"/>
      <c r="L33" s="132" t="n"/>
      <c r="M33" s="132" t="n"/>
      <c r="N33" s="132" t="n"/>
      <c r="O33" s="132" t="n"/>
      <c r="P33" s="132" t="n"/>
      <c r="Q33" s="133" t="n"/>
    </row>
    <row r="34">
      <c r="A34" s="132" t="n"/>
      <c r="B34" s="132" t="n"/>
      <c r="C34" s="132" t="n"/>
      <c r="D34" s="132" t="n"/>
      <c r="E34" s="132" t="n"/>
      <c r="F34" s="132" t="n"/>
      <c r="G34" s="132" t="n"/>
      <c r="H34" s="132" t="n"/>
      <c r="I34" s="132" t="n"/>
      <c r="J34" s="132" t="n"/>
      <c r="K34" s="132" t="n"/>
      <c r="L34" s="132" t="n"/>
      <c r="M34" s="132" t="n"/>
      <c r="N34" s="132" t="n"/>
      <c r="O34" s="132" t="n"/>
      <c r="P34" s="132" t="n"/>
      <c r="Q34" s="133" t="n"/>
    </row>
    <row r="35">
      <c r="A35" s="132" t="n"/>
      <c r="B35" s="132" t="n"/>
      <c r="C35" s="132" t="n"/>
      <c r="D35" s="132" t="n"/>
      <c r="E35" s="132" t="n"/>
      <c r="F35" s="132" t="n"/>
      <c r="G35" s="132" t="n"/>
      <c r="H35" s="132" t="n"/>
      <c r="I35" s="132" t="n"/>
      <c r="J35" s="132" t="n"/>
      <c r="K35" s="132" t="n"/>
      <c r="L35" s="132" t="n"/>
      <c r="M35" s="132" t="n"/>
      <c r="N35" s="132" t="n"/>
      <c r="O35" s="132" t="n"/>
      <c r="P35" s="132" t="n"/>
      <c r="Q35" s="133" t="n"/>
    </row>
    <row r="36">
      <c r="A36" s="132" t="n"/>
      <c r="B36" s="132" t="n"/>
      <c r="C36" s="132" t="n"/>
      <c r="D36" s="132" t="n"/>
      <c r="E36" s="132" t="n"/>
      <c r="F36" s="132" t="n"/>
      <c r="G36" s="132" t="n"/>
      <c r="H36" s="132" t="n"/>
      <c r="I36" s="132" t="n"/>
      <c r="J36" s="132" t="n"/>
      <c r="K36" s="132" t="n"/>
      <c r="L36" s="132" t="n"/>
      <c r="M36" s="132" t="n"/>
      <c r="N36" s="132" t="n"/>
      <c r="O36" s="132" t="n"/>
      <c r="P36" s="132" t="n"/>
      <c r="Q36" s="133" t="n"/>
    </row>
    <row r="37">
      <c r="A37" s="132" t="n"/>
      <c r="B37" s="132" t="n"/>
      <c r="C37" s="132" t="n"/>
      <c r="D37" s="132" t="n"/>
      <c r="E37" s="132" t="n"/>
      <c r="F37" s="132" t="n"/>
      <c r="G37" s="132" t="n"/>
      <c r="H37" s="132" t="n"/>
      <c r="I37" s="132" t="n"/>
      <c r="J37" s="132" t="n"/>
      <c r="K37" s="132" t="n"/>
      <c r="L37" s="132" t="n"/>
      <c r="M37" s="132" t="n"/>
      <c r="N37" s="132" t="n"/>
      <c r="O37" s="132" t="n"/>
      <c r="P37" s="132" t="n"/>
      <c r="Q37" s="133" t="n"/>
    </row>
    <row r="38">
      <c r="A38" s="132" t="n"/>
      <c r="B38" s="132" t="n"/>
      <c r="C38" s="132" t="n"/>
      <c r="D38" s="132" t="n"/>
      <c r="E38" s="132" t="n"/>
      <c r="F38" s="132" t="n"/>
      <c r="G38" s="132" t="n"/>
      <c r="H38" s="132" t="n"/>
      <c r="I38" s="132" t="n"/>
      <c r="J38" s="132" t="n"/>
      <c r="K38" s="132" t="n"/>
      <c r="L38" s="132" t="n"/>
      <c r="M38" s="132" t="n"/>
      <c r="N38" s="132" t="n"/>
      <c r="O38" s="132" t="n"/>
      <c r="P38" s="132" t="n"/>
      <c r="Q38" s="133" t="n"/>
    </row>
    <row r="39">
      <c r="A39" s="132" t="n"/>
      <c r="B39" s="132" t="n"/>
      <c r="C39" s="132" t="n"/>
      <c r="D39" s="132" t="n"/>
      <c r="E39" s="132" t="n"/>
      <c r="F39" s="132" t="n"/>
      <c r="G39" s="132" t="n"/>
      <c r="H39" s="132" t="n"/>
      <c r="I39" s="132" t="n"/>
      <c r="J39" s="132" t="n"/>
      <c r="K39" s="132" t="n"/>
      <c r="L39" s="132" t="n"/>
      <c r="M39" s="132" t="n"/>
      <c r="N39" s="132" t="n"/>
      <c r="O39" s="132" t="n"/>
      <c r="P39" s="132" t="n"/>
      <c r="Q39" s="133" t="n"/>
    </row>
    <row r="40">
      <c r="A40" s="132" t="n"/>
      <c r="B40" s="132" t="n"/>
      <c r="C40" s="132" t="n"/>
      <c r="D40" s="132" t="n"/>
      <c r="E40" s="132" t="n"/>
      <c r="F40" s="132" t="n"/>
      <c r="G40" s="132" t="n"/>
      <c r="H40" s="132" t="n"/>
      <c r="I40" s="132" t="n"/>
      <c r="J40" s="132" t="n"/>
      <c r="K40" s="132" t="n"/>
      <c r="L40" s="132" t="n"/>
      <c r="M40" s="132" t="n"/>
      <c r="N40" s="132" t="n"/>
      <c r="O40" s="132" t="n"/>
      <c r="P40" s="132" t="n"/>
      <c r="Q40" s="133" t="n"/>
    </row>
    <row r="41">
      <c r="A41" s="132" t="n"/>
      <c r="B41" s="132" t="n"/>
      <c r="C41" s="132" t="n"/>
      <c r="D41" s="132" t="n"/>
      <c r="E41" s="132" t="n"/>
      <c r="F41" s="132" t="n"/>
      <c r="G41" s="132" t="n"/>
      <c r="H41" s="132" t="n"/>
      <c r="I41" s="132" t="n"/>
      <c r="J41" s="132" t="n"/>
      <c r="K41" s="132" t="n"/>
      <c r="L41" s="132" t="n"/>
      <c r="M41" s="132" t="n"/>
      <c r="N41" s="132" t="n"/>
      <c r="O41" s="132" t="n"/>
      <c r="P41" s="132" t="n"/>
      <c r="Q41" s="133" t="n"/>
    </row>
    <row r="42">
      <c r="A42" s="132" t="n"/>
      <c r="B42" s="132" t="n"/>
      <c r="C42" s="132" t="n"/>
      <c r="D42" s="132" t="n"/>
      <c r="E42" s="132" t="n"/>
      <c r="F42" s="132" t="n"/>
      <c r="G42" s="132" t="n"/>
      <c r="H42" s="132" t="n"/>
      <c r="I42" s="132" t="n"/>
      <c r="J42" s="132" t="n"/>
      <c r="K42" s="132" t="n"/>
      <c r="L42" s="132" t="n"/>
      <c r="M42" s="132" t="n"/>
      <c r="N42" s="132" t="n"/>
      <c r="O42" s="132" t="n"/>
      <c r="P42" s="132" t="n"/>
      <c r="Q42" s="133" t="n"/>
    </row>
    <row r="43">
      <c r="A43" s="132" t="n"/>
      <c r="B43" s="132" t="n"/>
      <c r="C43" s="132" t="n"/>
      <c r="D43" s="132" t="n"/>
      <c r="E43" s="132" t="n"/>
      <c r="F43" s="132" t="n"/>
      <c r="G43" s="132" t="n"/>
      <c r="H43" s="132" t="n"/>
      <c r="I43" s="132" t="n"/>
      <c r="J43" s="132" t="n"/>
      <c r="K43" s="132" t="n"/>
      <c r="L43" s="132" t="n"/>
      <c r="M43" s="132" t="n"/>
      <c r="N43" s="132" t="n"/>
      <c r="O43" s="132" t="n"/>
      <c r="P43" s="132" t="n"/>
      <c r="Q43" s="133" t="n"/>
    </row>
    <row r="44">
      <c r="A44" s="132" t="n"/>
      <c r="B44" s="132" t="n"/>
      <c r="C44" s="132" t="n"/>
      <c r="D44" s="132" t="n"/>
      <c r="E44" s="132" t="n"/>
      <c r="F44" s="132" t="n"/>
      <c r="G44" s="132" t="n"/>
      <c r="H44" s="132" t="n"/>
      <c r="I44" s="132" t="n"/>
      <c r="J44" s="132" t="n"/>
      <c r="K44" s="132" t="n"/>
      <c r="L44" s="132" t="n"/>
      <c r="M44" s="132" t="n"/>
      <c r="N44" s="132" t="n"/>
      <c r="O44" s="132" t="n"/>
      <c r="P44" s="132" t="n"/>
      <c r="Q44" s="133" t="n"/>
    </row>
    <row r="45">
      <c r="A45" s="134" t="n"/>
      <c r="B45" s="135" t="n"/>
      <c r="C45" s="136" t="n"/>
      <c r="D45" s="135" t="n"/>
      <c r="E45" s="135" t="n"/>
      <c r="F45" s="135" t="n"/>
      <c r="G45" s="136" t="n"/>
      <c r="H45" s="135" t="n"/>
      <c r="I45" s="135" t="n"/>
      <c r="J45" s="135" t="n"/>
      <c r="K45" s="135" t="n"/>
      <c r="L45" s="136" t="n"/>
      <c r="M45" s="135" t="n"/>
      <c r="N45" s="135" t="n"/>
      <c r="O45" s="136" t="n"/>
      <c r="P45" s="136" t="n"/>
      <c r="Q45" s="137" t="n"/>
    </row>
    <row r="46">
      <c r="A46" s="134" t="n"/>
      <c r="B46" s="135" t="n"/>
      <c r="C46" s="136" t="n"/>
      <c r="D46" s="135" t="n"/>
      <c r="E46" s="135" t="n"/>
      <c r="F46" s="135" t="n"/>
      <c r="G46" s="136" t="n"/>
      <c r="H46" s="135" t="n"/>
      <c r="I46" s="135" t="n"/>
      <c r="J46" s="135" t="n"/>
      <c r="K46" s="135" t="n"/>
      <c r="L46" s="136" t="n"/>
      <c r="M46" s="135" t="n"/>
      <c r="N46" s="135" t="n"/>
      <c r="O46" s="136" t="n"/>
      <c r="P46" s="136" t="n"/>
      <c r="Q46" s="137" t="n"/>
    </row>
    <row r="47">
      <c r="A47" s="134" t="n"/>
      <c r="B47" s="135" t="n"/>
      <c r="C47" s="136" t="n"/>
      <c r="D47" s="135" t="n"/>
      <c r="E47" s="135" t="n"/>
      <c r="F47" s="135" t="n"/>
      <c r="G47" s="136" t="n"/>
      <c r="H47" s="135" t="n"/>
      <c r="I47" s="135" t="n"/>
      <c r="J47" s="135" t="n"/>
      <c r="K47" s="135" t="n"/>
      <c r="L47" s="136" t="n"/>
      <c r="M47" s="135" t="n"/>
      <c r="N47" s="135" t="n"/>
      <c r="O47" s="136" t="n"/>
      <c r="P47" s="136" t="n"/>
      <c r="Q47" s="137" t="n"/>
    </row>
    <row r="48">
      <c r="A48" s="134" t="n"/>
      <c r="B48" s="135" t="n"/>
      <c r="C48" s="136" t="n"/>
      <c r="D48" s="135" t="n"/>
      <c r="E48" s="135" t="n"/>
      <c r="F48" s="135" t="n"/>
      <c r="G48" s="136" t="n"/>
      <c r="H48" s="135" t="n"/>
      <c r="I48" s="135" t="n"/>
      <c r="J48" s="135" t="n"/>
      <c r="K48" s="135" t="n"/>
      <c r="L48" s="136" t="n"/>
      <c r="M48" s="135" t="n"/>
      <c r="N48" s="135" t="n"/>
      <c r="O48" s="136" t="n"/>
      <c r="P48" s="136" t="n"/>
      <c r="Q48" s="137" t="n"/>
    </row>
  </sheetData>
  <autoFilter ref="A4:Q48"/>
  <mergeCells count="3">
    <mergeCell ref="A3:Q3"/>
    <mergeCell ref="A2:Q2"/>
    <mergeCell ref="A1:Q1"/>
  </mergeCells>
  <dataValidations count="1">
    <dataValidation sqref="L5:L9" showDropDown="0" showInputMessage="0" showErrorMessage="0" allowBlank="1" type="list">
      <formula1>='فهرست‌ها'!$A$2:$A$7</formula1>
    </dataValidation>
  </dataValidations>
  <hyperlinks>
    <hyperlink ref="D6" location="'برنامه تست'!A5"/>
    <hyperlink ref="E6" location="'برنامه تست'!A5"/>
  </hyperlinks>
  <pageMargins left="0.75" right="0.75" top="1" bottom="1" header="0.5" footer="0.5"/>
  <pageSetup orientation="landscape" paperSize="8" fitToHeight="0" fitToWidth="1"/>
</worksheet>
</file>

<file path=xl/worksheets/sheet3.xml><?xml version="1.0" encoding="utf-8"?>
<worksheet xmlns="http://schemas.openxmlformats.org/spreadsheetml/2006/main">
  <sheetPr>
    <tabColor rgb="00ED7D31"/>
    <outlinePr summaryBelow="1" summaryRight="1"/>
    <pageSetUpPr fitToPage="1"/>
  </sheetPr>
  <dimension ref="A1:Q40"/>
  <sheetViews>
    <sheetView rightToLeft="1"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2" customWidth="1" min="2" max="2"/>
    <col width="9" customWidth="1" min="3" max="3"/>
    <col width="22" customWidth="1" min="4" max="4"/>
    <col width="62" customWidth="1" min="5" max="5"/>
    <col width="22" customWidth="1" min="6" max="6"/>
    <col width="10" customWidth="1" min="7" max="7"/>
    <col width="42" customWidth="1" min="8" max="8"/>
    <col width="12" customWidth="1" min="9" max="9"/>
    <col width="34" customWidth="1" min="10" max="10"/>
    <col width="34" customWidth="1" min="11" max="11"/>
    <col width="13" customWidth="1" min="12" max="12"/>
    <col width="24" customWidth="1" min="13" max="13"/>
    <col width="16" customWidth="1" min="14" max="14"/>
    <col width="12" customWidth="1" min="15" max="15"/>
    <col width="13" customWidth="1" min="16" max="16"/>
    <col width="12" customWidth="1" min="17" max="17"/>
  </cols>
  <sheetData>
    <row r="1">
      <c r="A1" s="107" t="inlineStr">
        <is>
          <t>تست‌های آزمایشگاهی (پایه، اسیلوسکوپ و زمان‌بندی دقیق — جدا از تست عملی)</t>
        </is>
      </c>
      <c r="B1" s="84" t="n"/>
      <c r="C1" s="84" t="n"/>
      <c r="D1" s="84" t="n"/>
      <c r="E1" s="84" t="n"/>
      <c r="F1" s="84" t="n"/>
      <c r="G1" s="84" t="n"/>
      <c r="H1" s="84" t="n"/>
      <c r="I1" s="84" t="n"/>
      <c r="J1" s="84" t="n"/>
      <c r="K1" s="84" t="n"/>
      <c r="L1" s="84" t="n"/>
      <c r="M1" s="84" t="n"/>
      <c r="N1" s="84" t="n"/>
      <c r="O1" s="84" t="n"/>
      <c r="P1" s="84" t="n"/>
      <c r="Q1" s="84" t="n"/>
    </row>
    <row r="2" ht="42" customHeight="1">
      <c r="A2" s="108" t="inlineStr">
        <is>
          <t>این شیت جدا از تست عملی است: اندازه‌گیری روی پایه‌ها، اسیلوسکوپ و تلرانس‌های دقیق میلی‌ثانیه/میکروثانیه. برای بررسی عملکرد واقعی دستگاه لازم نیست؛ برای اعتبارسنجی دقیق سخت‌افزار و زمان‌بندی‌هاست.</t>
        </is>
      </c>
      <c r="B2" s="84" t="n"/>
      <c r="C2" s="84" t="n"/>
      <c r="D2" s="84" t="n"/>
      <c r="E2" s="84" t="n"/>
      <c r="F2" s="84" t="n"/>
      <c r="G2" s="84" t="n"/>
      <c r="H2" s="84" t="n"/>
      <c r="I2" s="84" t="n"/>
      <c r="J2" s="84" t="n"/>
      <c r="K2" s="84" t="n"/>
      <c r="L2" s="84" t="n"/>
      <c r="M2" s="84" t="n"/>
      <c r="N2" s="84" t="n"/>
      <c r="O2" s="84" t="n"/>
      <c r="P2" s="84" t="n"/>
      <c r="Q2" s="84" t="n"/>
    </row>
    <row r="3">
      <c r="A3" s="84" t="n"/>
      <c r="B3" s="84" t="n"/>
      <c r="C3" s="84" t="n"/>
      <c r="D3" s="84" t="n"/>
      <c r="E3" s="84" t="n"/>
      <c r="F3" s="84" t="n"/>
      <c r="G3" s="84" t="n"/>
      <c r="H3" s="84" t="n"/>
      <c r="I3" s="84" t="n"/>
      <c r="J3" s="84" t="n"/>
      <c r="K3" s="84" t="n"/>
      <c r="L3" s="84" t="n"/>
      <c r="M3" s="84" t="n"/>
      <c r="N3" s="84" t="n"/>
      <c r="O3" s="84" t="n"/>
      <c r="P3" s="84" t="n"/>
      <c r="Q3" s="84" t="n"/>
    </row>
    <row r="4" ht="30" customHeight="1">
      <c r="A4" s="86" t="inlineStr">
        <is>
          <t>شناسه</t>
        </is>
      </c>
      <c r="B4" s="86" t="inlineStr">
        <is>
          <t>دسته</t>
        </is>
      </c>
      <c r="C4" s="86" t="inlineStr">
        <is>
          <t>اولویت</t>
        </is>
      </c>
      <c r="D4" s="86" t="inlineStr">
        <is>
          <t>پیش‌شرط</t>
        </is>
      </c>
      <c r="E4" s="86" t="inlineStr">
        <is>
          <t>روش اجرای دقیق</t>
        </is>
      </c>
      <c r="F4" s="86" t="inlineStr">
        <is>
          <t>ورودی‌ها (v_in / PB4 / v_bat)</t>
        </is>
      </c>
      <c r="G4" s="86" t="inlineStr">
        <is>
          <t>مدت مشاهده</t>
        </is>
      </c>
      <c r="H4" s="86" t="inlineStr">
        <is>
          <t>PB5 / Q1 — انتظار</t>
        </is>
      </c>
      <c r="I4" s="86" t="inlineStr">
        <is>
          <t>وضعیت Q1 حفظ/latch</t>
        </is>
      </c>
      <c r="J4" s="86" t="inlineStr">
        <is>
          <t>معیار قبولی</t>
        </is>
      </c>
      <c r="K4" s="86" t="inlineStr">
        <is>
          <t>نتیجهٔ واقعی / اندازه‌گیری</t>
        </is>
      </c>
      <c r="L4" s="86" t="inlineStr">
        <is>
          <t>وضعیت</t>
        </is>
      </c>
      <c r="M4" s="86" t="inlineStr">
        <is>
          <t>شرح ایراد / تفاوت</t>
        </is>
      </c>
      <c r="N4" s="86" t="inlineStr">
        <is>
          <t>مدرک تست / scope</t>
        </is>
      </c>
      <c r="O4" s="86" t="inlineStr">
        <is>
          <t>commit</t>
        </is>
      </c>
      <c r="P4" s="86" t="inlineStr">
        <is>
          <t>نام تست‌کننده</t>
        </is>
      </c>
      <c r="Q4" s="86" t="inlineStr">
        <is>
          <t>تاریخ</t>
        </is>
      </c>
    </row>
    <row r="5" ht="54" customHeight="1">
      <c r="A5" s="98" t="inlineStr">
        <is>
          <t>MP-002</t>
        </is>
      </c>
      <c r="B5" s="103" t="inlineStr">
        <is>
          <t>Startup بدون ورودی</t>
        </is>
      </c>
      <c r="C5" s="109" t="inlineStr">
        <is>
          <t>بالا</t>
        </is>
      </c>
      <c r="D5" s="103" t="inlineStr">
        <is>
          <t>باتری 24V وصل، DC ورودی قطع (PB4 Low)</t>
        </is>
      </c>
      <c r="E5" s="103" t="inlineStr">
        <is>
          <t>گام ۱: باتری 24 ولت را وصل کن ولی ورودی DC را قطع نگه دار (PB4 باید Low باشد).
گام ۲: برد را با همین باتری روشن کن؛ میکرو باید از باتری بوت شود.
گام ۳: با مولتی‌متر (DMM) ولتاژ PB5 روی پایهٔ 41 را اندازه بگیر (2 ثانیه).
گام ۴: PB5 باید Low (صفر ولت) مانده باشد، یعنی Q1 وصل است و میکرو از باتری روشن مانده؛ High شدن یعنی باتری در بوت قطع شده و تست رد است.</t>
        </is>
      </c>
      <c r="F5" s="104" t="inlineStr">
        <is>
          <t>v_in=0 / PB4 Low / v_bat=24000 valid=true</t>
        </is>
      </c>
      <c r="G5" s="104" t="inlineStr">
        <is>
          <t>2s</t>
        </is>
      </c>
      <c r="H5" s="103" t="inlineStr">
        <is>
          <t>PB5 Low (0V) — Q1 وصل، MCU روشن از باتری، تایمر غیرفعال</t>
        </is>
      </c>
      <c r="I5" s="103" t="inlineStr">
        <is>
          <t>BatteryConnected=true, Timer inactive</t>
        </is>
      </c>
      <c r="J5" s="103" t="inlineStr">
        <is>
          <t>PASS: PB5 Low مانده. FAIL: PB5 High (باتری قطع در بوت).</t>
        </is>
      </c>
      <c r="K5" s="103" t="n"/>
      <c r="L5" s="101" t="inlineStr">
        <is>
          <t>در انتظار</t>
        </is>
      </c>
      <c r="M5" s="103" t="n"/>
      <c r="N5" s="103" t="n"/>
      <c r="O5" s="104" t="n"/>
      <c r="P5" s="104" t="n"/>
      <c r="Q5" s="106">
        <f>IF(OR(L5="",L5="در انتظار"),"",IF(Q5="",TODAY(),Q5))</f>
        <v/>
      </c>
    </row>
    <row r="6" ht="54" customHeight="1">
      <c r="A6" s="98" t="inlineStr">
        <is>
          <t>MP-003</t>
        </is>
      </c>
      <c r="B6" s="99" t="inlineStr">
        <is>
          <t>ورودی معتبر / عدم قطع زودهنگام</t>
        </is>
      </c>
      <c r="C6" s="110" t="inlineStr">
        <is>
          <t>بالا</t>
        </is>
      </c>
      <c r="D6" s="111" t="inlineStr">
        <is>
          <t>پس از MP-002، Q1 وصل (Low)</t>
        </is>
      </c>
      <c r="E6" s="111" t="inlineStr">
        <is>
          <t>گام ۱: ادامهٔ MP-002: Q1 وصل (PB5=Low) و میکرو از باتری روشن است.
گام ۲: ورودی DC را به 23000 میلی‌ولت برسان (دست‌کم 22000) تا PB4 High شود.
گام ۳: PB5 را 4000 میلی‌ثانیه زیر نظر بگیر.
گام ۴: PB5 باید همچنان Low بماند؛ قطع شدن قبل از 5 ثانیه یعنی تایمر زود عمل کرده و تست رد است.</t>
        </is>
      </c>
      <c r="F6" s="100" t="inlineStr">
        <is>
          <t>v_in=23000 / PB4 High / v_bat=24000</t>
        </is>
      </c>
      <c r="G6" s="100" t="inlineStr">
        <is>
          <t>4000ms</t>
        </is>
      </c>
      <c r="H6" s="99" t="inlineStr">
        <is>
          <t>PB5 همچنان Low — عدم قطع قبل از 5s (تایمر در حال شمارش)</t>
        </is>
      </c>
      <c r="I6" s="99" t="inlineStr">
        <is>
          <t>TimerActive=true, BatteryConnected=true</t>
        </is>
      </c>
      <c r="J6" s="99" t="inlineStr">
        <is>
          <t>PASS: Low &lt;5s. FAIL: High زودهنگام &lt;5s.</t>
        </is>
      </c>
      <c r="K6" s="99" t="n"/>
      <c r="L6" s="101" t="inlineStr">
        <is>
          <t>در انتظار</t>
        </is>
      </c>
      <c r="M6" s="99" t="n"/>
      <c r="N6" s="99" t="n"/>
      <c r="O6" s="100" t="n"/>
      <c r="P6" s="100" t="n"/>
      <c r="Q6" s="102">
        <f>IF(OR(L6="",L6="در انتظار"),"",IF(Q6="",TODAY(),Q6))</f>
        <v/>
      </c>
    </row>
    <row r="7" ht="54" customHeight="1">
      <c r="A7" s="98" t="inlineStr">
        <is>
          <t>MP-004</t>
        </is>
      </c>
      <c r="B7" s="103" t="inlineStr">
        <is>
          <t>ورودی معتبر / قطع پس از 5s</t>
        </is>
      </c>
      <c r="C7" s="109" t="inlineStr">
        <is>
          <t>بالا</t>
        </is>
      </c>
      <c r="D7" s="105" t="inlineStr">
        <is>
          <t>ادامه MP-003</t>
        </is>
      </c>
      <c r="E7" s="105" t="inlineStr">
        <is>
          <t>گام ۱: ادامهٔ MP-003: همان ولتاژ 23000 میلی‌ولت ورودی را نگه دار.
گام ۲: مجموع زمان را به 5500 میلی‌ثانیه برسان و PB5 را لحظه‌به‌لحظه ببین.
گام ۳: حدود 5000 میلی‌ثانیه باید PB5 به High (حدود 3.3 ولت) برود، یعنی Q1 قطع و میکرو از DC تغذیه می‌شود.
گام ۴: لحظهٔ قطع باید 5000±20 میلی‌ثانیه باشد؛ قطع‌نشدن یا لرزش بیشتر از 50 میلی‌ثانیه یعنی رد تست.</t>
        </is>
      </c>
      <c r="F7" s="104" t="inlineStr">
        <is>
          <t>v_in=23000 / PB4 High</t>
        </is>
      </c>
      <c r="G7" s="104" t="inlineStr">
        <is>
          <t>5500ms</t>
        </is>
      </c>
      <c r="H7" s="103" t="inlineStr">
        <is>
          <t>PB5 High (~3.3V) در ≈5000ms — Q1 قطع، MCU از DC</t>
        </is>
      </c>
      <c r="I7" s="103" t="inlineStr">
        <is>
          <t>BatteryConnected=false @5s</t>
        </is>
      </c>
      <c r="J7" s="103" t="inlineStr">
        <is>
          <t>PASS: High @5000±20ms. FAIL: عدم قطع یا jitter &gt;50ms.</t>
        </is>
      </c>
      <c r="K7" s="103" t="n"/>
      <c r="L7" s="101" t="inlineStr">
        <is>
          <t>در انتظار</t>
        </is>
      </c>
      <c r="M7" s="103" t="n"/>
      <c r="N7" s="103" t="n"/>
      <c r="O7" s="104" t="n"/>
      <c r="P7" s="104" t="n"/>
      <c r="Q7" s="106">
        <f>IF(OR(L7="",L7="در انتظار"),"",IF(Q7="",TODAY(),Q7))</f>
        <v/>
      </c>
    </row>
    <row r="8" ht="54" customHeight="1">
      <c r="A8" s="98" t="inlineStr">
        <is>
          <t>MP-005</t>
        </is>
      </c>
      <c r="B8" s="99" t="inlineStr">
        <is>
          <t>هیسترزیس / 21.9V قبل از قطع حفظ</t>
        </is>
      </c>
      <c r="C8" s="110" t="inlineStr">
        <is>
          <t>بالا</t>
        </is>
      </c>
      <c r="D8" s="99" t="inlineStr">
        <is>
          <t>Q1 وصل، تست 5s ناتمام (مثلاً 2s از 23000)</t>
        </is>
      </c>
      <c r="E8" s="99" t="inlineStr">
        <is>
          <t>گام ۱: Q1 وصل باشد و شمارش 5 ثانیه‌ای ناتمام باشد؛ مثلاً تازه 2 ثانیه است که ورودی روی 23000 است.
گام ۲: ولتاژ ورودی را به 21900 میلی‌ولت پایین بیاور (در بازهٔ 21500 تا 21999).
گام ۳: 1500 میلی‌ثانیه نگه دار و PB5 را ببین.
گام ۴: PB5 باید Low بماند، یعنی تایمر pending لغو شده و 21.9 ولت به‌تنهایی Q1 را قطع نمی‌کند؛ اگر تایمر بدون reset ادامه پیدا کرد، تست رد است.</t>
        </is>
      </c>
      <c r="F8" s="100" t="inlineStr">
        <is>
          <t>v_in 23000(2s) → 21900 / PB4 High</t>
        </is>
      </c>
      <c r="G8" s="100" t="inlineStr">
        <is>
          <t>1500ms @21900</t>
        </is>
      </c>
      <c r="H8" s="99" t="inlineStr">
        <is>
          <t>PB5 همچنان Low — تایمر pending لغو، Q1 حفظ (21.9V به‌تنهایی عدم قطع)</t>
        </is>
      </c>
      <c r="I8" s="99" t="inlineStr">
        <is>
          <t>TimerActive=false after drop, BatteryConnected=true</t>
        </is>
      </c>
      <c r="J8" s="99" t="inlineStr">
        <is>
          <t>PASS: Low مانده، تایمر لغو. FAIL: reconnect یا ادامه تایمر بدون reset.</t>
        </is>
      </c>
      <c r="K8" s="99" t="n"/>
      <c r="L8" s="101" t="inlineStr">
        <is>
          <t>در انتظار</t>
        </is>
      </c>
      <c r="M8" s="99" t="n"/>
      <c r="N8" s="99" t="n"/>
      <c r="O8" s="100" t="n"/>
      <c r="P8" s="100" t="n"/>
      <c r="Q8" s="102">
        <f>IF(OR(L8="",L8="در انتظار"),"",IF(Q8="",TODAY(),Q8))</f>
        <v/>
      </c>
    </row>
    <row r="9" ht="54" customHeight="1">
      <c r="A9" s="98" t="inlineStr">
        <is>
          <t>MP-006</t>
        </is>
      </c>
      <c r="B9" s="103" t="inlineStr">
        <is>
          <t>هیسترزیس / 21.9V بعد از قطع حفظ</t>
        </is>
      </c>
      <c r="C9" s="109" t="inlineStr">
        <is>
          <t>بالا</t>
        </is>
      </c>
      <c r="D9" s="105" t="inlineStr">
        <is>
          <t>پس از MP-004 (Q1 قطع High)</t>
        </is>
      </c>
      <c r="E9" s="105" t="inlineStr">
        <is>
          <t>گام ۱: از پایان MP-004 شروع کن: Q1 قطع است (PB5=High).
گام ۲: ولتاژ ورودی را از 23000 به 21900 میلی‌ولت کم کن و PB4 را High نگه دار.
گام ۳: 1500 میلی‌ثانیه نگه دار.
گام ۴: PB5 باید High بماند، یعنی وضعیت قطع حفظ می‌شود و روی 21.9 ولت دوباره وصل نمی‌شویم (هیسترزیس 500 میلی‌ولتی کار می‌کند).</t>
        </is>
      </c>
      <c r="F9" s="104" t="inlineStr">
        <is>
          <t>v_in 21900 / PB4 High / Q1 High</t>
        </is>
      </c>
      <c r="G9" s="104" t="inlineStr">
        <is>
          <t>1500ms</t>
        </is>
      </c>
      <c r="H9" s="103" t="inlineStr">
        <is>
          <t>PB5 همچنان High — وضعیت قطع حفظ، reconnect نشود (هیسترزیس)</t>
        </is>
      </c>
      <c r="I9" s="103" t="inlineStr">
        <is>
          <t>BatteryConnected=false, High preserved</t>
        </is>
      </c>
      <c r="J9" s="103" t="inlineStr">
        <is>
          <t>PASS: High مانده (500mV hysteresis). FAIL: Low در 21.9V (عدم هیسترزیس).</t>
        </is>
      </c>
      <c r="K9" s="103" t="n"/>
      <c r="L9" s="101" t="inlineStr">
        <is>
          <t>در انتظار</t>
        </is>
      </c>
      <c r="M9" s="103" t="n"/>
      <c r="N9" s="103" t="n"/>
      <c r="O9" s="104" t="n"/>
      <c r="P9" s="104" t="n"/>
      <c r="Q9" s="106">
        <f>IF(OR(L9="",L9="در انتظار"),"",IF(Q9="",TODAY(),Q9))</f>
        <v/>
      </c>
    </row>
    <row r="10" ht="54" customHeight="1">
      <c r="A10" s="98" t="inlineStr">
        <is>
          <t>MP-007</t>
        </is>
      </c>
      <c r="B10" s="99" t="inlineStr">
        <is>
          <t>هیسترزیس / مرز 21500 preserve</t>
        </is>
      </c>
      <c r="C10" s="100" t="inlineStr">
        <is>
          <t>متوسط</t>
        </is>
      </c>
      <c r="D10" s="111" t="inlineStr">
        <is>
          <t>پس از MP-004 (Q1 High)</t>
        </is>
      </c>
      <c r="E10" s="111" t="inlineStr">
        <is>
          <t>گام ۱: از پایان MP-004 شروع کن (Q1 قطع، PB5=High).
گام ۲: ولتاژ ورودی را دقیقاً روی 21500 میلی‌ولت بگذار.
گام ۳: 1000 میلی‌ثانیه نگه دار.
گام ۴: PB5 باید High بماند؛ 21500 هنوز ناحیهٔ حفظ است و وصل مجدد فقط زیر 21500 اتفاق می‌افتد. Low شدن روی خود مرز یعنی رد تست.</t>
        </is>
      </c>
      <c r="F10" s="100" t="inlineStr">
        <is>
          <t>v_in=21500 / PB4 High</t>
        </is>
      </c>
      <c r="G10" s="100" t="inlineStr">
        <is>
          <t>1000ms</t>
        </is>
      </c>
      <c r="H10" s="99" t="inlineStr">
        <is>
          <t>PB5 همچنان High — 21500 در ناحیه حفظ (نه &lt;21500)، reconnect نشود</t>
        </is>
      </c>
      <c r="I10" s="99" t="inlineStr">
        <is>
          <t>High preserved @21500</t>
        </is>
      </c>
      <c r="J10" s="99" t="inlineStr">
        <is>
          <t>PASS: High @21500. FAIL: Low در مرز (باید &lt;21500).</t>
        </is>
      </c>
      <c r="K10" s="99" t="n"/>
      <c r="L10" s="101" t="inlineStr">
        <is>
          <t>در انتظار</t>
        </is>
      </c>
      <c r="M10" s="99" t="n"/>
      <c r="N10" s="99" t="n"/>
      <c r="O10" s="100" t="n"/>
      <c r="P10" s="100" t="n"/>
      <c r="Q10" s="102">
        <f>IF(OR(L10="",L10="در انتظار"),"",IF(Q10="",TODAY(),Q10))</f>
        <v/>
      </c>
    </row>
    <row r="11" ht="54" customHeight="1">
      <c r="A11" s="98" t="inlineStr">
        <is>
          <t>MP-008</t>
        </is>
      </c>
      <c r="B11" s="103" t="inlineStr">
        <is>
          <t>هیسترزیس / &lt;21.5V reconnect</t>
        </is>
      </c>
      <c r="C11" s="109" t="inlineStr">
        <is>
          <t>بالا</t>
        </is>
      </c>
      <c r="D11" s="105" t="inlineStr">
        <is>
          <t>پس از MP-007 (Q1 High) یا MP-004</t>
        </is>
      </c>
      <c r="E11" s="105" t="inlineStr">
        <is>
          <t>گام ۱: از پایان MP-007 (یا MP-004) شروع کن (Q1 قطع است).
گام ۲: ولتاژ ورودی را به 21400 میلی‌ولت (کمتر از 21500) پایین بیاور.
گام ۳: 500 میلی‌ثانیه نگه دار.
گام ۴: PB5 باید فوراً (کمتر از 20 میلی‌ثانیه) Low شود، یعنی باتری دوباره وصل و تایمر لغو می‌شود؛ High ماندن یعنی رد تست.</t>
        </is>
      </c>
      <c r="F11" s="104" t="inlineStr">
        <is>
          <t>v_in=21400 / PB4 High</t>
        </is>
      </c>
      <c r="G11" s="104" t="inlineStr">
        <is>
          <t>500ms</t>
        </is>
      </c>
      <c r="H11" s="103" t="inlineStr">
        <is>
          <t>PB5 فوراً Low — باتری وصل، تایمر لغو (task context)</t>
        </is>
      </c>
      <c r="I11" s="103" t="inlineStr">
        <is>
          <t>BatteryConnected=true Low</t>
        </is>
      </c>
      <c r="J11" s="103" t="inlineStr">
        <is>
          <t>PASS: Low &lt;21500 (&lt;20ms). FAIL: همچنان High.</t>
        </is>
      </c>
      <c r="K11" s="103" t="n"/>
      <c r="L11" s="101" t="inlineStr">
        <is>
          <t>در انتظار</t>
        </is>
      </c>
      <c r="M11" s="103" t="n"/>
      <c r="N11" s="103" t="n"/>
      <c r="O11" s="104" t="n"/>
      <c r="P11" s="104" t="n"/>
      <c r="Q11" s="106">
        <f>IF(OR(L11="",L11="در انتظار"),"",IF(Q11="",TODAY(),Q11))</f>
        <v/>
      </c>
    </row>
    <row r="12" ht="54" customHeight="1">
      <c r="A12" s="98" t="inlineStr">
        <is>
          <t>MP-009</t>
        </is>
      </c>
      <c r="B12" s="99" t="inlineStr">
        <is>
          <t>هیسترزیس / بازگشت به 22V re-qualify</t>
        </is>
      </c>
      <c r="C12" s="110" t="inlineStr">
        <is>
          <t>بالا</t>
        </is>
      </c>
      <c r="D12" s="111" t="inlineStr">
        <is>
          <t>پس از MP-008 (Q1 Low)</t>
        </is>
      </c>
      <c r="E12" s="111" t="inlineStr">
        <is>
          <t>گام ۱: از پایان MP-008 شروع کن (Q1 دوباره وصل و PB5=Low است).
گام ۲: ولتاژ ورودی را به 22000 میلی‌ولت برگردان.
گام ۳: 5500 میلی‌ثانیه پیوسته نگه دار و PB5 را ببین.
گام ۴: باید اول 5 ثانیه Low بماند و بعد در 5000 میلی‌ثانیه High شود؛ یعنی برای قطع دوباره، qualification کامل از نو لازم است. قطع فوری یعنی رد تست.</t>
        </is>
      </c>
      <c r="F12" s="100" t="inlineStr">
        <is>
          <t>v_in=22000 / PB4 High</t>
        </is>
      </c>
      <c r="G12" s="100" t="inlineStr">
        <is>
          <t>5500ms</t>
        </is>
      </c>
      <c r="H12" s="99" t="inlineStr">
        <is>
          <t>PB5 Low 5s سپس High @5000ms — دوباره qualification کامل</t>
        </is>
      </c>
      <c r="I12" s="99" t="inlineStr">
        <is>
          <t>Timer re-armed @22000, High @5s</t>
        </is>
      </c>
      <c r="J12" s="99" t="inlineStr">
        <is>
          <t>PASS: High پس از 5s دوم. FAIL: قطع فوری بدون 5s.</t>
        </is>
      </c>
      <c r="K12" s="99" t="n"/>
      <c r="L12" s="101" t="inlineStr">
        <is>
          <t>در انتظار</t>
        </is>
      </c>
      <c r="M12" s="99" t="n"/>
      <c r="N12" s="99" t="n"/>
      <c r="O12" s="100" t="n"/>
      <c r="P12" s="100" t="n"/>
      <c r="Q12" s="102">
        <f>IF(OR(L12="",L12="در انتظار"),"",IF(Q12="",TODAY(),Q12))</f>
        <v/>
      </c>
    </row>
    <row r="13" ht="54" customHeight="1">
      <c r="A13" s="98" t="inlineStr">
        <is>
          <t>MP-010</t>
        </is>
      </c>
      <c r="B13" s="103" t="inlineStr">
        <is>
          <t>هیسترزیس / 21499 reconnect فوری</t>
        </is>
      </c>
      <c r="C13" s="109" t="inlineStr">
        <is>
          <t>بالا</t>
        </is>
      </c>
      <c r="D13" s="103" t="inlineStr">
        <is>
          <t>Q1 High (قطع)</t>
        </is>
      </c>
      <c r="E13" s="103" t="inlineStr">
        <is>
          <t>گام ۱: Q1 در حالت قطع باشد (PB5=High).
گام ۲: ولتاژ ورودی را دقیقاً 21499 میلی‌ولت بده (فقط 1 میلی‌ولت زیر مرز 21500).
گام ۳: 200 میلی‌ثانیه صبر کن.
گام ۴: PB5 باید Low شده باشد؛ حتی 1 میلی‌ولت زیر مرز باید وصل مجدد بدهد. High ماندن یعنی رد تست.</t>
        </is>
      </c>
      <c r="F13" s="104" t="inlineStr">
        <is>
          <t>v_in=21499 / PB4 High</t>
        </is>
      </c>
      <c r="G13" s="104" t="inlineStr">
        <is>
          <t>200ms</t>
        </is>
      </c>
      <c r="H13" s="103" t="inlineStr">
        <is>
          <t>PB5 Low — حتی 1mV زیر مرز reconnect شود</t>
        </is>
      </c>
      <c r="I13" s="103" t="inlineStr">
        <is>
          <t>Low immediate</t>
        </is>
      </c>
      <c r="J13" s="103" t="inlineStr">
        <is>
          <t>PASS: Low @21499. FAIL: High بماند.</t>
        </is>
      </c>
      <c r="K13" s="103" t="n"/>
      <c r="L13" s="101" t="inlineStr">
        <is>
          <t>در انتظار</t>
        </is>
      </c>
      <c r="M13" s="103" t="n"/>
      <c r="N13" s="103" t="n"/>
      <c r="O13" s="104" t="n"/>
      <c r="P13" s="104" t="n"/>
      <c r="Q13" s="106">
        <f>IF(OR(L13="",L13="در انتظار"),"",IF(Q13="",TODAY(),Q13))</f>
        <v/>
      </c>
    </row>
    <row r="14" ht="54" customHeight="1">
      <c r="A14" s="98" t="inlineStr">
        <is>
          <t>MP-011</t>
        </is>
      </c>
      <c r="B14" s="99" t="inlineStr">
        <is>
          <t>قطع ناگهانی / falling PB4 قبل از threshold ADC</t>
        </is>
      </c>
      <c r="C14" s="110" t="inlineStr">
        <is>
          <t>بالا</t>
        </is>
      </c>
      <c r="D14" s="99" t="inlineStr">
        <is>
          <t>Q1 وصل یا High، v_in هنوز &gt;=22000 (مثلاً 23000) اما PB4 را Low کن</t>
        </is>
      </c>
      <c r="E14" s="99" t="inlineStr">
        <is>
          <t>گام ۱: ورودی را روی 23000 میلی‌ولت بگذار (ADC هنوز همین را نشان می‌دهد) و اسیلوسکوپ را روی PB5 تریگ کن.
گام ۲: ورودی DC را فیزیکی قطع کن تا PB4 لبهٔ پایین‌رونده (falling) بدهد.
گام ۳: زمان واکنش PB5 را روی اسکوپ بخوان: باید در خود وقفه (ISR) فوراً Low شود، کمتر از 100 میکروثانیه و بدون منتظر ماندن برای نمونهٔ بعدی ADC.
گام ۴: همچنین باید رویداد تشخیص ورودی (BSP_EXTI_INPUT_DETECT) ثبت شده باشد؛ تأخیر به اندازهٔ یک پاس تسک یعنی رد تست.</t>
        </is>
      </c>
      <c r="F14" s="100" t="inlineStr">
        <is>
          <t>PB4 falling Low / v_in ADC 23000 (قبل از نمونه بعدی)</t>
        </is>
      </c>
      <c r="G14" s="100" t="inlineStr">
        <is>
          <t>&lt;10ms</t>
        </is>
      </c>
      <c r="H14" s="99" t="inlineStr">
        <is>
          <t>PB5 در ISR فوراً Low (&lt;100µs)، تایمر لغو، سپس BSP_EXTI_INPUT_DETECT ثبت</t>
        </is>
      </c>
      <c r="I14" s="99" t="inlineStr">
        <is>
          <t>ISR Low first, then event</t>
        </is>
      </c>
      <c r="J14" s="99" t="inlineStr">
        <is>
          <t>PASS: Low &lt;100µs بدون انتظار ADC. FAIL: تأخیر task یا عدم Low.</t>
        </is>
      </c>
      <c r="K14" s="99" t="n"/>
      <c r="L14" s="101" t="inlineStr">
        <is>
          <t>در انتظار</t>
        </is>
      </c>
      <c r="M14" s="99" t="n"/>
      <c r="N14" s="99" t="n"/>
      <c r="O14" s="100" t="n"/>
      <c r="P14" s="100" t="n"/>
      <c r="Q14" s="102">
        <f>IF(OR(L14="",L14="در انتظار"),"",IF(Q14="",TODAY(),Q14))</f>
        <v/>
      </c>
    </row>
    <row r="15" ht="54" customHeight="1">
      <c r="A15" s="98" t="inlineStr">
        <is>
          <t>MP-012</t>
        </is>
      </c>
      <c r="B15" s="103" t="inlineStr">
        <is>
          <t>قطع ناگهانی / پس از High</t>
        </is>
      </c>
      <c r="C15" s="109" t="inlineStr">
        <is>
          <t>بالا</t>
        </is>
      </c>
      <c r="D15" s="105" t="inlineStr">
        <is>
          <t>پس از MP-004 (Q1 High)</t>
        </is>
      </c>
      <c r="E15" s="105" t="inlineStr">
        <is>
          <t>گام ۱: از پایان MP-004 شروع کن (Q1 قطع و PB5=High است).
گام ۲: ورودی DC را ناگهانی قطع کن (PB4 می‌شود Low و v_in صفر).
گام ۳: PB5 و تغذیهٔ 3.3 ولت میکرو را با اسکوپ ببین (کمتر از 10 میلی‌ثانیه).
گام ۴: PB5 باید فوراً Low شود و میکرو نباید ریست شود؛ قطعی تغذیهٔ بیشتر از 10 میکروثانیه یا High ماندن PB5 یعنی رد تست.</t>
        </is>
      </c>
      <c r="F15" s="104" t="inlineStr">
        <is>
          <t>PB4 Low / v_in 0</t>
        </is>
      </c>
      <c r="G15" s="104" t="inlineStr">
        <is>
          <t>&lt;10ms</t>
        </is>
      </c>
      <c r="H15" s="103" t="inlineStr">
        <is>
          <t>PB5 فوراً Low، MCU reset نشود (3.3V بدون قطعی &gt;10µs)</t>
        </is>
      </c>
      <c r="I15" s="103" t="inlineStr">
        <is>
          <t>BatteryConnected=true</t>
        </is>
      </c>
      <c r="J15" s="103" t="inlineStr">
        <is>
          <t>PASS: Low فوری، بدون reset. FAIL: قطعی تغذیه یاHigh مانده.</t>
        </is>
      </c>
      <c r="K15" s="103" t="n"/>
      <c r="L15" s="101" t="inlineStr">
        <is>
          <t>در انتظار</t>
        </is>
      </c>
      <c r="M15" s="103" t="n"/>
      <c r="N15" s="103" t="n"/>
      <c r="O15" s="104" t="n"/>
      <c r="P15" s="104" t="n"/>
      <c r="Q15" s="106">
        <f>IF(OR(L15="",L15="در انتظار"),"",IF(Q15="",TODAY(),Q15))</f>
        <v/>
      </c>
    </row>
    <row r="16" ht="54" customHeight="1">
      <c r="A16" s="98" t="inlineStr">
        <is>
          <t>MP-013</t>
        </is>
      </c>
      <c r="B16" s="99" t="inlineStr">
        <is>
          <t>v_bat بی‌اثر while v_in معتبر</t>
        </is>
      </c>
      <c r="C16" s="100" t="inlineStr">
        <is>
          <t>متوسط</t>
        </is>
      </c>
      <c r="D16" s="99" t="inlineStr">
        <is>
          <t>v_in=23000 پایدار، Q1 قطع High</t>
        </is>
      </c>
      <c r="E16" s="99" t="inlineStr">
        <is>
          <t>گام ۱: ورودی را روی 23000 میلی‌ولت ثابت نگه دار و Q1 قطع باشد (PB5=High).
گام ۲: ولتاژ باتری (v_bat) را از 19000 تا 26000 میلی‌ولت آهسته بالا و پایین ببر (با بار یا دشارژ).
گام ۳: در کل این رفت‌وبرگشت 3 ثانیه‌ای PB5 را ببین.
گام ۴: PB5 باید High بماند؛ تغییر ولتاژ باتری هیچ اثری روی Q1 ندارد. Low شدن به خاطر پایین آمدن v_bat یعنی رد تست.</t>
        </is>
      </c>
      <c r="F16" s="100" t="inlineStr">
        <is>
          <t>v_in=23000 constant / v_bat 19000→26000</t>
        </is>
      </c>
      <c r="G16" s="100" t="inlineStr">
        <is>
          <t>3s sweep</t>
        </is>
      </c>
      <c r="H16" s="99" t="inlineStr">
        <is>
          <t>PB5 همچنان High — تغییر v_bat روی Q1 بی‌اثر</t>
        </is>
      </c>
      <c r="I16" s="99" t="inlineStr">
        <is>
          <t>High stable</t>
        </is>
      </c>
      <c r="J16" s="99" t="inlineStr">
        <is>
          <t>PASS: High ثابت. FAIL: Low به خاطر v_bat پایین.</t>
        </is>
      </c>
      <c r="K16" s="99" t="n"/>
      <c r="L16" s="101" t="inlineStr">
        <is>
          <t>در انتظار</t>
        </is>
      </c>
      <c r="M16" s="99" t="n"/>
      <c r="N16" s="99" t="n"/>
      <c r="O16" s="100" t="n"/>
      <c r="P16" s="100" t="n"/>
      <c r="Q16" s="102">
        <f>IF(OR(L16="",L16="در انتظار"),"",IF(Q16="",TODAY(),Q16))</f>
        <v/>
      </c>
    </row>
    <row r="17" ht="54" customHeight="1">
      <c r="A17" s="98" t="inlineStr">
        <is>
          <t>MP-014</t>
        </is>
      </c>
      <c r="B17" s="103" t="inlineStr">
        <is>
          <t>Snapshot نامعتبر / حفظ</t>
        </is>
      </c>
      <c r="C17" s="109" t="inlineStr">
        <is>
          <t>بالا</t>
        </is>
      </c>
      <c r="D17" s="103" t="inlineStr">
        <is>
          <t>Q1 وصل، یا High</t>
        </is>
      </c>
      <c r="E17" s="103" t="inlineStr">
        <is>
          <t>گام ۱: PB5 را در وضعیت فعلی‌اش یادداشت کن (وصل یا قطع فرقی نمی‌کند).
گام ۲: اندازه‌گیری را نامعتبر کن (valid=false) و 500 میلی‌ثانیه نگه دار.
گام ۳: PB5 را دوباره بخوان.
گام ۴: PB5 باید دقیقاً همان قبلی مانده باشد و تایمر qualification هم لغو شده باشد تا زمان نامعتبر شمرده نشود؛ هر تغییر خودبه‌خودی یعنی رد تست.</t>
        </is>
      </c>
      <c r="F17" s="104" t="inlineStr">
        <is>
          <t>valid=false, v_in ignore</t>
        </is>
      </c>
      <c r="G17" s="104" t="inlineStr">
        <is>
          <t>500ms</t>
        </is>
      </c>
      <c r="H17" s="103" t="inlineStr">
        <is>
          <t>PB5 حفظ (High اگر قطع بود، Low اگر وصل بود)، تایمر لغو (زمان نامعتبر شمرده نشود)</t>
        </is>
      </c>
      <c r="I17" s="103" t="inlineStr">
        <is>
          <t>Preserve Q1, Timer false</t>
        </is>
      </c>
      <c r="J17" s="103" t="inlineStr">
        <is>
          <t>PASS: حفظ و لغو. FAIL: تغییر خودبه‌خود.</t>
        </is>
      </c>
      <c r="K17" s="103" t="n"/>
      <c r="L17" s="101" t="inlineStr">
        <is>
          <t>در انتظار</t>
        </is>
      </c>
      <c r="M17" s="103" t="n"/>
      <c r="N17" s="103" t="n"/>
      <c r="O17" s="104" t="n"/>
      <c r="P17" s="104" t="n"/>
      <c r="Q17" s="106">
        <f>IF(OR(L17="",L17="در انتظار"),"",IF(Q17="",TODAY(),Q17))</f>
        <v/>
      </c>
    </row>
    <row r="18" ht="54" customHeight="1">
      <c r="A18" s="98" t="inlineStr">
        <is>
          <t>MP-015</t>
        </is>
      </c>
      <c r="B18" s="99" t="inlineStr">
        <is>
          <t>Snapshot نامعتبر + تایمر reset</t>
        </is>
      </c>
      <c r="C18" s="110" t="inlineStr">
        <is>
          <t>بالا</t>
        </is>
      </c>
      <c r="D18" s="99" t="inlineStr">
        <is>
          <t>در حال qualification 2s در 23000</t>
        </is>
      </c>
      <c r="E18" s="99" t="inlineStr">
        <is>
          <t>گام ۱: ورودی را روی 23000 میلی‌ولت بگذار تا شمارش qualification شروع شود و 2 ثانیه بگذرد.
گام ۲: بعد 500 میلی‌ثانیه snapshot نامعتبر بده (valid=false).
گام ۳: دوباره ورودی معتبر 23000 را بده و 5 ثانیه کامل صبر کن.
گام ۴: PB5 باید تا کامل شدن 5 ثانیهٔ پیوستهٔ دوم Low بماند و فقط آن وقت High شود؛ یعنی زمان قبل از نامعتبری نباید حساب شده باشد. قطع شدن زودتر یعنی رد تست.</t>
        </is>
      </c>
      <c r="F18" s="100" t="inlineStr">
        <is>
          <t>23000 2s → invalid 0.5s → 23000</t>
        </is>
      </c>
      <c r="G18" s="100" t="inlineStr">
        <is>
          <t>2+0.5+5s</t>
        </is>
      </c>
      <c r="H18" s="99" t="inlineStr">
        <is>
          <t>PB5 Low تا 5s پیوسته پس از بازگشت valid تکمیل شود (invalid reset کند)</t>
        </is>
      </c>
      <c r="I18" s="99" t="inlineStr">
        <is>
          <t>Timer reset @invalid</t>
        </is>
      </c>
      <c r="J18" s="99" t="inlineStr">
        <is>
          <t>PASS: قطع فقط پس از 5s پیوسته دوم. FAIL: قطع زود بر مبنای زمان قبل invalid.</t>
        </is>
      </c>
      <c r="K18" s="99" t="n"/>
      <c r="L18" s="101" t="inlineStr">
        <is>
          <t>در انتظار</t>
        </is>
      </c>
      <c r="M18" s="99" t="n"/>
      <c r="N18" s="99" t="n"/>
      <c r="O18" s="100" t="n"/>
      <c r="P18" s="100" t="n"/>
      <c r="Q18" s="102">
        <f>IF(OR(L18="",L18="در انتظار"),"",IF(Q18="",TODAY(),Q18))</f>
        <v/>
      </c>
    </row>
    <row r="19" ht="54" customHeight="1">
      <c r="A19" s="98" t="inlineStr">
        <is>
          <t>MP-016</t>
        </is>
      </c>
      <c r="B19" s="103" t="inlineStr">
        <is>
          <t>بوت با ورودی حاضر</t>
        </is>
      </c>
      <c r="C19" s="109" t="inlineStr">
        <is>
          <t>بالا</t>
        </is>
      </c>
      <c r="D19" s="103" t="inlineStr">
        <is>
          <t>باتری وصل، DC 23000 از قبل حاضر (قبل از بوت)</t>
        </is>
      </c>
      <c r="E19" s="103" t="inlineStr">
        <is>
          <t>گام ۱: باتری را وصل کن و ورودی DC را از قبل روی 23000 میلی‌ولت حاضر کن (قبل از روشن کردن برد).
گام ۲: برد را روشن کن و PB5 را از لحظهٔ بوت تا 5500 میلی‌ثانیه زیر نظر بگیر.
گام ۳: اول باید Low باشد (بوت از باتری) و بعد از 5 ثانیه High شود (قطع باتری و تغذیه از DC).
گام ۴: High شدن فوری در بوت یا High نماندن بعد از 5 ثانیه یعنی رد تست؛ لبهٔ بالاروندهٔ PB4 نباید گم شده باشد.</t>
        </is>
      </c>
      <c r="F19" s="104" t="inlineStr">
        <is>
          <t>v_in=23000 @boot / PB4 High</t>
        </is>
      </c>
      <c r="G19" s="104" t="inlineStr">
        <is>
          <t>5500ms from boot</t>
        </is>
      </c>
      <c r="H19" s="103" t="inlineStr">
        <is>
          <t>ابتدا Low (boot از باتری)، سپس پس از 5s High (بدون ازدست‌رفتن rising edge)</t>
        </is>
      </c>
      <c r="I19" s="103" t="inlineStr">
        <is>
          <t>Boot Low → High @5s</t>
        </is>
      </c>
      <c r="J19" s="103" t="inlineStr">
        <is>
          <t>PASS: Low سپس High @5s. FAIL: High فوری بدون 5s یا High نماند.</t>
        </is>
      </c>
      <c r="K19" s="103" t="n"/>
      <c r="L19" s="101" t="inlineStr">
        <is>
          <t>در انتظار</t>
        </is>
      </c>
      <c r="M19" s="103" t="n"/>
      <c r="N19" s="103" t="n"/>
      <c r="O19" s="104" t="n"/>
      <c r="P19" s="104" t="n"/>
      <c r="Q19" s="106">
        <f>IF(OR(L19="",L19="در انتظار"),"",IF(Q19="",TODAY(),Q19))</f>
        <v/>
      </c>
    </row>
    <row r="20" ht="54" customHeight="1">
      <c r="A20" s="98" t="inlineStr">
        <is>
          <t>MP-017</t>
        </is>
      </c>
      <c r="B20" s="99" t="inlineStr">
        <is>
          <t>Regression Changeover</t>
        </is>
      </c>
      <c r="C20" s="110" t="inlineStr">
        <is>
          <t>بالا</t>
        </is>
      </c>
      <c r="D20" s="99" t="inlineStr">
        <is>
          <t>McuPowerPath فعال، Changeover با 24 سناریوی فعلی</t>
        </is>
      </c>
      <c r="E20" s="111" t="inlineStr">
        <is>
          <t>گام ۱: McuPowerPath فعال باشد و فایل Changeover_Board_Validation.xlsx را جلویت بگذار.
گام ۲: تست‌های CO-001 تا CO-024 آن فایل را به‌ترتیب اجرا کن (مرزهای 21000 و 20800 و 21200 با 3000 میلی‌ثانیه، قطع با آلارم، قطع مستقل، وصل مجدد، کمتر از 3 ثانیه، و fault همراه invalid).
گام ۳: هم‌زمان PB11 و PB5 را با هم مانیتور کن.
گام ۴: PB11 باید دقیقاً مطابق همان فایل Changeover رفتار کند و PB5 نباید در هیچ‌کدام از آن تست‌ها تغییر کند (PB5 فقط کار McuPowerPath است، نه Changeover). با grep هم چک کن در changeover هیچ ارجاعی به BSP_GPIO_BATTERY_SWITCH نباشد.</t>
        </is>
      </c>
      <c r="F20" s="112" t="inlineStr">
        <is>
          <t>CO-001..024 per Changeover sheet</t>
        </is>
      </c>
      <c r="G20" s="100" t="inlineStr">
        <is>
          <t>per Changeover</t>
        </is>
      </c>
      <c r="H20" s="99" t="inlineStr">
        <is>
          <t>PB11 دقیقاً مطابق Changeover، PB5 بدون تغییر (فقط توسط McuPowerPath، نه Changeover)</t>
        </is>
      </c>
      <c r="I20" s="111" t="inlineStr">
        <is>
          <t>PB5 forbidden in changeover.c</t>
        </is>
      </c>
      <c r="J20" s="99" t="inlineStr">
        <is>
          <t>PASS: PB11 unchanged, grep changeover no BSP_GPIO_BATTERY_SWITCH. FAIL: PB5 toggled by Changeover.</t>
        </is>
      </c>
      <c r="K20" s="99" t="n"/>
      <c r="L20" s="101" t="inlineStr">
        <is>
          <t>در انتظار</t>
        </is>
      </c>
      <c r="M20" s="99" t="n"/>
      <c r="N20" s="99" t="n"/>
      <c r="O20" s="100" t="n"/>
      <c r="P20" s="100" t="n"/>
      <c r="Q20" s="102">
        <f>IF(OR(L20="",L20="در انتظار"),"",IF(Q20="",TODAY(),Q20))</f>
        <v/>
      </c>
    </row>
    <row r="21">
      <c r="A21" s="84" t="n"/>
      <c r="B21" s="84" t="n"/>
      <c r="C21" s="84" t="n"/>
      <c r="D21" s="84" t="n"/>
      <c r="E21" s="84" t="n"/>
      <c r="F21" s="84" t="n"/>
      <c r="G21" s="84" t="n"/>
      <c r="H21" s="84" t="n"/>
      <c r="I21" s="84" t="n"/>
      <c r="J21" s="84" t="n"/>
      <c r="K21" s="84" t="n"/>
      <c r="L21" s="84" t="n"/>
      <c r="M21" s="84" t="n"/>
      <c r="N21" s="84" t="n"/>
      <c r="O21" s="84" t="n"/>
      <c r="P21" s="84" t="n"/>
      <c r="Q21" s="97">
        <f>IF(OR(L21="",L21="در انتظار"),"",IF(Q21="",TODAY(),Q21))</f>
        <v/>
      </c>
    </row>
    <row r="22">
      <c r="A22" s="84" t="n"/>
      <c r="B22" s="84" t="n"/>
      <c r="C22" s="84" t="n"/>
      <c r="D22" s="84" t="n"/>
      <c r="E22" s="84" t="n"/>
      <c r="F22" s="84" t="n"/>
      <c r="G22" s="84" t="n"/>
      <c r="H22" s="84" t="n"/>
      <c r="I22" s="84" t="n"/>
      <c r="J22" s="84" t="n"/>
      <c r="K22" s="84" t="n"/>
      <c r="L22" s="84" t="n"/>
      <c r="M22" s="84" t="n"/>
      <c r="N22" s="84" t="n"/>
      <c r="O22" s="84" t="n"/>
      <c r="P22" s="84" t="n"/>
      <c r="Q22" s="97">
        <f>IF(OR(L22="",L22="در انتظار"),"",IF(Q22="",TODAY(),Q22))</f>
        <v/>
      </c>
    </row>
    <row r="23">
      <c r="A23" s="84" t="n"/>
      <c r="B23" s="84" t="n"/>
      <c r="C23" s="84" t="n"/>
      <c r="D23" s="84" t="n"/>
      <c r="E23" s="84" t="n"/>
      <c r="F23" s="84" t="n"/>
      <c r="G23" s="84" t="n"/>
      <c r="H23" s="84" t="n"/>
      <c r="I23" s="84" t="n"/>
      <c r="J23" s="84" t="n"/>
      <c r="K23" s="84" t="n"/>
      <c r="L23" s="84" t="n"/>
      <c r="M23" s="84" t="n"/>
      <c r="N23" s="84" t="n"/>
      <c r="O23" s="84" t="n"/>
      <c r="P23" s="84" t="n"/>
      <c r="Q23" s="97">
        <f>IF(OR(L23="",L23="در انتظار"),"",IF(Q23="",TODAY(),Q23))</f>
        <v/>
      </c>
    </row>
    <row r="24">
      <c r="A24" s="84" t="n"/>
      <c r="B24" s="84" t="n"/>
      <c r="C24" s="84" t="n"/>
      <c r="D24" s="84" t="n"/>
      <c r="E24" s="84" t="n"/>
      <c r="F24" s="84" t="n"/>
      <c r="G24" s="84" t="n"/>
      <c r="H24" s="84" t="n"/>
      <c r="I24" s="84" t="n"/>
      <c r="J24" s="84" t="n"/>
      <c r="K24" s="84" t="n"/>
      <c r="L24" s="84" t="n"/>
      <c r="M24" s="84" t="n"/>
      <c r="N24" s="84" t="n"/>
      <c r="O24" s="84" t="n"/>
      <c r="P24" s="84" t="n"/>
      <c r="Q24" s="97">
        <f>IF(OR(L24="",L24="در انتظار"),"",IF(Q24="",TODAY(),Q24))</f>
        <v/>
      </c>
    </row>
    <row r="25">
      <c r="A25" s="84" t="n"/>
      <c r="B25" s="84" t="n"/>
      <c r="C25" s="84" t="n"/>
      <c r="D25" s="84" t="n"/>
      <c r="E25" s="84" t="n"/>
      <c r="F25" s="84" t="n"/>
      <c r="G25" s="84" t="n"/>
      <c r="H25" s="84" t="n"/>
      <c r="I25" s="84" t="n"/>
      <c r="J25" s="84" t="n"/>
      <c r="K25" s="84" t="n"/>
      <c r="L25" s="84" t="n"/>
      <c r="M25" s="84" t="n"/>
      <c r="N25" s="84" t="n"/>
      <c r="O25" s="84" t="n"/>
      <c r="P25" s="84" t="n"/>
      <c r="Q25" s="97">
        <f>IF(OR(L25="",L25="در انتظار"),"",IF(Q25="",TODAY(),Q25))</f>
        <v/>
      </c>
    </row>
    <row r="26">
      <c r="A26" s="84" t="n"/>
      <c r="B26" s="84" t="n"/>
      <c r="C26" s="84" t="n"/>
      <c r="D26" s="84" t="n"/>
      <c r="E26" s="84" t="n"/>
      <c r="F26" s="84" t="n"/>
      <c r="G26" s="84" t="n"/>
      <c r="H26" s="84" t="n"/>
      <c r="I26" s="84" t="n"/>
      <c r="J26" s="84" t="n"/>
      <c r="K26" s="84" t="n"/>
      <c r="L26" s="84" t="n"/>
      <c r="M26" s="84" t="n"/>
      <c r="N26" s="84" t="n"/>
      <c r="O26" s="84" t="n"/>
      <c r="P26" s="84" t="n"/>
      <c r="Q26" s="97">
        <f>IF(OR(L26="",L26="در انتظار"),"",IF(Q26="",TODAY(),Q26))</f>
        <v/>
      </c>
    </row>
    <row r="27">
      <c r="A27" s="84" t="n"/>
      <c r="B27" s="84" t="n"/>
      <c r="C27" s="84" t="n"/>
      <c r="D27" s="84" t="n"/>
      <c r="E27" s="84" t="n"/>
      <c r="F27" s="84" t="n"/>
      <c r="G27" s="84" t="n"/>
      <c r="H27" s="84" t="n"/>
      <c r="I27" s="84" t="n"/>
      <c r="J27" s="84" t="n"/>
      <c r="K27" s="84" t="n"/>
      <c r="L27" s="84" t="n"/>
      <c r="M27" s="84" t="n"/>
      <c r="N27" s="84" t="n"/>
      <c r="O27" s="84" t="n"/>
      <c r="P27" s="84" t="n"/>
      <c r="Q27" s="97">
        <f>IF(OR(L27="",L27="در انتظار"),"",IF(Q27="",TODAY(),Q27))</f>
        <v/>
      </c>
    </row>
    <row r="28">
      <c r="A28" s="84" t="n"/>
      <c r="B28" s="84" t="n"/>
      <c r="C28" s="84" t="n"/>
      <c r="D28" s="84" t="n"/>
      <c r="E28" s="84" t="n"/>
      <c r="F28" s="84" t="n"/>
      <c r="G28" s="84" t="n"/>
      <c r="H28" s="84" t="n"/>
      <c r="I28" s="84" t="n"/>
      <c r="J28" s="84" t="n"/>
      <c r="K28" s="84" t="n"/>
      <c r="L28" s="84" t="n"/>
      <c r="M28" s="84" t="n"/>
      <c r="N28" s="84" t="n"/>
      <c r="O28" s="84" t="n"/>
      <c r="P28" s="84" t="n"/>
      <c r="Q28" s="97">
        <f>IF(OR(L28="",L28="در انتظار"),"",IF(Q28="",TODAY(),Q28))</f>
        <v/>
      </c>
    </row>
    <row r="29">
      <c r="A29" s="84" t="n"/>
      <c r="B29" s="84" t="n"/>
      <c r="C29" s="84" t="n"/>
      <c r="D29" s="84" t="n"/>
      <c r="E29" s="84" t="n"/>
      <c r="F29" s="84" t="n"/>
      <c r="G29" s="84" t="n"/>
      <c r="H29" s="84" t="n"/>
      <c r="I29" s="84" t="n"/>
      <c r="J29" s="84" t="n"/>
      <c r="K29" s="84" t="n"/>
      <c r="L29" s="84" t="n"/>
      <c r="M29" s="84" t="n"/>
      <c r="N29" s="84" t="n"/>
      <c r="O29" s="84" t="n"/>
      <c r="P29" s="84" t="n"/>
      <c r="Q29" s="97">
        <f>IF(OR(L29="",L29="در انتظار"),"",IF(Q29="",TODAY(),Q29))</f>
        <v/>
      </c>
    </row>
    <row r="30">
      <c r="A30" s="84" t="n"/>
      <c r="B30" s="84" t="n"/>
      <c r="C30" s="84" t="n"/>
      <c r="D30" s="84" t="n"/>
      <c r="E30" s="84" t="n"/>
      <c r="F30" s="84" t="n"/>
      <c r="G30" s="84" t="n"/>
      <c r="H30" s="84" t="n"/>
      <c r="I30" s="84" t="n"/>
      <c r="J30" s="84" t="n"/>
      <c r="K30" s="84" t="n"/>
      <c r="L30" s="84" t="n"/>
      <c r="M30" s="84" t="n"/>
      <c r="N30" s="84" t="n"/>
      <c r="O30" s="84" t="n"/>
      <c r="P30" s="84" t="n"/>
      <c r="Q30" s="97">
        <f>IF(OR(L30="",L30="در انتظار"),"",IF(Q30="",TODAY(),Q30))</f>
        <v/>
      </c>
    </row>
    <row r="31">
      <c r="A31" s="84" t="n"/>
      <c r="B31" s="84" t="n"/>
      <c r="C31" s="84" t="n"/>
      <c r="D31" s="84" t="n"/>
      <c r="E31" s="84" t="n"/>
      <c r="F31" s="84" t="n"/>
      <c r="G31" s="84" t="n"/>
      <c r="H31" s="84" t="n"/>
      <c r="I31" s="84" t="n"/>
      <c r="J31" s="84" t="n"/>
      <c r="K31" s="84" t="n"/>
      <c r="L31" s="84" t="n"/>
      <c r="M31" s="84" t="n"/>
      <c r="N31" s="84" t="n"/>
      <c r="O31" s="84" t="n"/>
      <c r="P31" s="84" t="n"/>
      <c r="Q31" s="97">
        <f>IF(OR(L31="",L31="در انتظار"),"",IF(Q31="",TODAY(),Q31))</f>
        <v/>
      </c>
    </row>
    <row r="32">
      <c r="A32" s="84" t="n"/>
      <c r="B32" s="84" t="n"/>
      <c r="C32" s="84" t="n"/>
      <c r="D32" s="84" t="n"/>
      <c r="E32" s="84" t="n"/>
      <c r="F32" s="84" t="n"/>
      <c r="G32" s="84" t="n"/>
      <c r="H32" s="84" t="n"/>
      <c r="I32" s="84" t="n"/>
      <c r="J32" s="84" t="n"/>
      <c r="K32" s="84" t="n"/>
      <c r="L32" s="84" t="n"/>
      <c r="M32" s="84" t="n"/>
      <c r="N32" s="84" t="n"/>
      <c r="O32" s="84" t="n"/>
      <c r="P32" s="84" t="n"/>
      <c r="Q32" s="97">
        <f>IF(OR(L32="",L32="در انتظار"),"",IF(Q32="",TODAY(),Q32))</f>
        <v/>
      </c>
    </row>
    <row r="33">
      <c r="A33" s="84" t="n"/>
      <c r="B33" s="84" t="n"/>
      <c r="C33" s="84" t="n"/>
      <c r="D33" s="84" t="n"/>
      <c r="E33" s="84" t="n"/>
      <c r="F33" s="84" t="n"/>
      <c r="G33" s="84" t="n"/>
      <c r="H33" s="84" t="n"/>
      <c r="I33" s="84" t="n"/>
      <c r="J33" s="84" t="n"/>
      <c r="K33" s="84" t="n"/>
      <c r="L33" s="84" t="n"/>
      <c r="M33" s="84" t="n"/>
      <c r="N33" s="84" t="n"/>
      <c r="O33" s="84" t="n"/>
      <c r="P33" s="84" t="n"/>
      <c r="Q33" s="97">
        <f>IF(OR(L33="",L33="در انتظار"),"",IF(Q33="",TODAY(),Q33))</f>
        <v/>
      </c>
    </row>
    <row r="34">
      <c r="A34" s="84" t="n"/>
      <c r="B34" s="84" t="n"/>
      <c r="C34" s="84" t="n"/>
      <c r="D34" s="84" t="n"/>
      <c r="E34" s="84" t="n"/>
      <c r="F34" s="84" t="n"/>
      <c r="G34" s="84" t="n"/>
      <c r="H34" s="84" t="n"/>
      <c r="I34" s="84" t="n"/>
      <c r="J34" s="84" t="n"/>
      <c r="K34" s="84" t="n"/>
      <c r="L34" s="84" t="n"/>
      <c r="M34" s="84" t="n"/>
      <c r="N34" s="84" t="n"/>
      <c r="O34" s="84" t="n"/>
      <c r="P34" s="84" t="n"/>
      <c r="Q34" s="97">
        <f>IF(OR(L34="",L34="در انتظار"),"",IF(Q34="",TODAY(),Q34))</f>
        <v/>
      </c>
    </row>
    <row r="35">
      <c r="A35" s="84" t="n"/>
      <c r="B35" s="84" t="n"/>
      <c r="C35" s="84" t="n"/>
      <c r="D35" s="84" t="n"/>
      <c r="E35" s="84" t="n"/>
      <c r="F35" s="84" t="n"/>
      <c r="G35" s="84" t="n"/>
      <c r="H35" s="84" t="n"/>
      <c r="I35" s="84" t="n"/>
      <c r="J35" s="84" t="n"/>
      <c r="K35" s="84" t="n"/>
      <c r="L35" s="84" t="n"/>
      <c r="M35" s="84" t="n"/>
      <c r="N35" s="84" t="n"/>
      <c r="O35" s="84" t="n"/>
      <c r="P35" s="84" t="n"/>
      <c r="Q35" s="97">
        <f>IF(OR(L35="",L35="در انتظار"),"",IF(Q35="",TODAY(),Q35))</f>
        <v/>
      </c>
    </row>
    <row r="36">
      <c r="A36" s="84" t="n"/>
      <c r="B36" s="84" t="n"/>
      <c r="C36" s="84" t="n"/>
      <c r="D36" s="84" t="n"/>
      <c r="E36" s="84" t="n"/>
      <c r="F36" s="84" t="n"/>
      <c r="G36" s="84" t="n"/>
      <c r="H36" s="84" t="n"/>
      <c r="I36" s="84" t="n"/>
      <c r="J36" s="84" t="n"/>
      <c r="K36" s="84" t="n"/>
      <c r="L36" s="84" t="n"/>
      <c r="M36" s="84" t="n"/>
      <c r="N36" s="84" t="n"/>
      <c r="O36" s="84" t="n"/>
      <c r="P36" s="84" t="n"/>
      <c r="Q36" s="97">
        <f>IF(OR(L36="",L36="در انتظار"),"",IF(Q36="",TODAY(),Q36))</f>
        <v/>
      </c>
    </row>
    <row r="37">
      <c r="A37" s="84" t="n"/>
      <c r="B37" s="84" t="n"/>
      <c r="C37" s="84" t="n"/>
      <c r="D37" s="84" t="n"/>
      <c r="E37" s="84" t="n"/>
      <c r="F37" s="84" t="n"/>
      <c r="G37" s="84" t="n"/>
      <c r="H37" s="84" t="n"/>
      <c r="I37" s="84" t="n"/>
      <c r="J37" s="84" t="n"/>
      <c r="K37" s="84" t="n"/>
      <c r="L37" s="84" t="n"/>
      <c r="M37" s="84" t="n"/>
      <c r="N37" s="84" t="n"/>
      <c r="O37" s="84" t="n"/>
      <c r="P37" s="84" t="n"/>
      <c r="Q37" s="97">
        <f>IF(OR(L37="",L37="در انتظار"),"",IF(Q37="",TODAY(),Q37))</f>
        <v/>
      </c>
    </row>
    <row r="38">
      <c r="A38" s="84" t="n"/>
      <c r="B38" s="84" t="n"/>
      <c r="C38" s="84" t="n"/>
      <c r="D38" s="84" t="n"/>
      <c r="E38" s="84" t="n"/>
      <c r="F38" s="84" t="n"/>
      <c r="G38" s="84" t="n"/>
      <c r="H38" s="84" t="n"/>
      <c r="I38" s="84" t="n"/>
      <c r="J38" s="84" t="n"/>
      <c r="K38" s="84" t="n"/>
      <c r="L38" s="84" t="n"/>
      <c r="M38" s="84" t="n"/>
      <c r="N38" s="84" t="n"/>
      <c r="O38" s="84" t="n"/>
      <c r="P38" s="84" t="n"/>
      <c r="Q38" s="97">
        <f>IF(OR(L38="",L38="در انتظار"),"",IF(Q38="",TODAY(),Q38))</f>
        <v/>
      </c>
    </row>
    <row r="39">
      <c r="A39" s="84" t="n"/>
      <c r="B39" s="84" t="n"/>
      <c r="C39" s="84" t="n"/>
      <c r="D39" s="84" t="n"/>
      <c r="E39" s="84" t="n"/>
      <c r="F39" s="84" t="n"/>
      <c r="G39" s="84" t="n"/>
      <c r="H39" s="84" t="n"/>
      <c r="I39" s="84" t="n"/>
      <c r="J39" s="84" t="n"/>
      <c r="K39" s="84" t="n"/>
      <c r="L39" s="84" t="n"/>
      <c r="M39" s="84" t="n"/>
      <c r="N39" s="84" t="n"/>
      <c r="O39" s="84" t="n"/>
      <c r="P39" s="84" t="n"/>
      <c r="Q39" s="97">
        <f>IF(OR(L39="",L39="در انتظار"),"",IF(Q39="",TODAY(),Q39))</f>
        <v/>
      </c>
    </row>
    <row r="40">
      <c r="A40" s="84" t="n"/>
      <c r="B40" s="84" t="n"/>
      <c r="C40" s="84" t="n"/>
      <c r="D40" s="84" t="n"/>
      <c r="E40" s="84" t="n"/>
      <c r="F40" s="84" t="n"/>
      <c r="G40" s="84" t="n"/>
      <c r="H40" s="84" t="n"/>
      <c r="I40" s="84" t="n"/>
      <c r="J40" s="84" t="n"/>
      <c r="K40" s="84" t="n"/>
      <c r="L40" s="84" t="n"/>
      <c r="M40" s="84" t="n"/>
      <c r="N40" s="84" t="n"/>
      <c r="O40" s="84" t="n"/>
      <c r="P40" s="84" t="n"/>
      <c r="Q40" s="97">
        <f>IF(OR(L40="",L40="در انتظار"),"",IF(Q40="",TODAY(),Q40))</f>
        <v/>
      </c>
    </row>
  </sheetData>
  <autoFilter ref="A4:Q20"/>
  <dataValidations count="1">
    <dataValidation sqref="L5 L6 L7 L8 L9 L10 L11 L12 L13 L14 L15 L16 L17 L18 L19 L20 L21 L22 L23 L24 L25 L26 L27 L28 L29 L30 L31 L32 L33 L34 L35 L36 L37 L38 L39 L40" showDropDown="0" showInputMessage="0" showErrorMessage="0" allowBlank="1" type="list">
      <formula1>='فهرست‌ها'!$A$2:$A$7</formula1>
    </dataValidation>
  </dataValidations>
  <hyperlinks>
    <hyperlink ref="D6" location="'تست‌های آزمایشگاهی'!A5"/>
    <hyperlink ref="E6" location="'تست‌های آزمایشگاهی'!A5"/>
    <hyperlink ref="D7" location="'تست‌های آزمایشگاهی'!A6"/>
    <hyperlink ref="E7" location="'تست‌های آزمایشگاهی'!A6"/>
    <hyperlink ref="D9" location="'تست‌های آزمایشگاهی'!A7"/>
    <hyperlink ref="E9" location="'تست‌های آزمایشگاهی'!A7"/>
    <hyperlink ref="D10" location="'تست‌های آزمایشگاهی'!A7"/>
    <hyperlink ref="E10" location="'تست‌های آزمایشگاهی'!A7"/>
    <hyperlink ref="D11" location="'تست‌های آزمایشگاهی'!A10"/>
    <hyperlink ref="E11" location="'تست‌های آزمایشگاهی'!A10"/>
    <hyperlink ref="D12" location="'تست‌های آزمایشگاهی'!A11"/>
    <hyperlink ref="E12" location="'تست‌های آزمایشگاهی'!A11"/>
    <hyperlink ref="D15" location="'تست‌های آزمایشگاهی'!A7"/>
    <hyperlink ref="E15" location="'تست‌های آزمایشگاهی'!A7"/>
    <hyperlink xmlns:r="http://schemas.openxmlformats.org/officeDocument/2006/relationships" ref="E20" location="'تست‌های آزمایشگاهی'!A5" r:id="rId1"/>
    <hyperlink xmlns:r="http://schemas.openxmlformats.org/officeDocument/2006/relationships" ref="F20" location="'تست‌های آزمایشگاهی'!A5" r:id="rId2"/>
  </hyperlinks>
  <pageMargins left="0.75" right="0.75" top="1" bottom="1" header="0.5" footer="0.5"/>
  <pageSetup orientation="landscape" fitToHeight="0" fitToWidth="1"/>
</worksheet>
</file>

<file path=xl/worksheets/sheet4.xml><?xml version="1.0" encoding="utf-8"?>
<worksheet xmlns="http://schemas.openxmlformats.org/spreadsheetml/2006/main">
  <sheetPr>
    <tabColor rgb="00808080"/>
    <outlinePr summaryBelow="1" summaryRight="1"/>
    <pageSetUpPr fitToPage="1"/>
  </sheetPr>
  <dimension ref="A1:Q26"/>
  <sheetViews>
    <sheetView rightToLeft="1"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2" customWidth="1" min="2" max="2"/>
    <col width="9" customWidth="1" min="3" max="3"/>
    <col width="22" customWidth="1" min="4" max="4"/>
    <col width="62" customWidth="1" min="5" max="5"/>
    <col width="22" customWidth="1" min="6" max="6"/>
    <col width="10" customWidth="1" min="7" max="7"/>
    <col width="42" customWidth="1" min="8" max="8"/>
    <col width="12" customWidth="1" min="9" max="9"/>
    <col width="34" customWidth="1" min="10" max="10"/>
    <col width="34" customWidth="1" min="11" max="11"/>
    <col width="13" customWidth="1" min="12" max="12"/>
    <col width="24" customWidth="1" min="13" max="13"/>
    <col width="16" customWidth="1" min="14" max="14"/>
    <col width="12" customWidth="1" min="15" max="15"/>
    <col width="13" customWidth="1" min="16" max="16"/>
    <col width="12" customWidth="1" min="17" max="17"/>
  </cols>
  <sheetData>
    <row r="1">
      <c r="A1" s="107" t="inlineStr">
        <is>
          <t>تست‌های برنامه‌نویسی و هاست (جدا از ولیدیشن عملی برد)</t>
        </is>
      </c>
      <c r="B1" s="84" t="n"/>
      <c r="C1" s="84" t="n"/>
      <c r="D1" s="84" t="n"/>
      <c r="E1" s="84" t="n"/>
      <c r="F1" s="84" t="n"/>
      <c r="G1" s="84" t="n"/>
      <c r="H1" s="84" t="n"/>
      <c r="I1" s="84" t="n"/>
      <c r="J1" s="84" t="n"/>
      <c r="K1" s="84" t="n"/>
      <c r="L1" s="84" t="n"/>
      <c r="M1" s="84" t="n"/>
      <c r="N1" s="84" t="n"/>
      <c r="O1" s="84" t="n"/>
      <c r="P1" s="84" t="n"/>
      <c r="Q1" s="84" t="n"/>
    </row>
    <row r="2" ht="42" customHeight="1">
      <c r="A2" s="84" t="n"/>
      <c r="B2" s="108" t="inlineStr">
        <is>
          <t>این شیت جدا از ولیدیشن عملی برد است: چک‌های کدنویسی، تست‌های هاست، بازبینی کد و تزریق با دیباگر. این‌ها با گیت‌های check_ai_rules و check_firmware_syntax و تست‌های هاست پوشش داده می‌شوند؛ برای بررسی عملکرد روی برد واقعی لازم نیستند.</t>
        </is>
      </c>
      <c r="C2" s="84" t="n"/>
      <c r="D2" s="84" t="n"/>
      <c r="E2" s="84" t="n"/>
      <c r="F2" s="84" t="n"/>
      <c r="G2" s="84" t="n"/>
      <c r="H2" s="84" t="n"/>
      <c r="I2" s="84" t="n"/>
      <c r="J2" s="84" t="n"/>
      <c r="K2" s="84" t="n"/>
      <c r="L2" s="84" t="n"/>
      <c r="M2" s="84" t="n"/>
      <c r="N2" s="84" t="n"/>
      <c r="O2" s="84" t="n"/>
      <c r="P2" s="84" t="n"/>
      <c r="Q2" s="84" t="n"/>
    </row>
    <row r="3">
      <c r="A3" s="84" t="n"/>
      <c r="B3" s="84" t="n"/>
      <c r="C3" s="84" t="n"/>
      <c r="D3" s="84" t="n"/>
      <c r="E3" s="84" t="n"/>
      <c r="F3" s="84" t="n"/>
      <c r="G3" s="84" t="n"/>
      <c r="H3" s="84" t="n"/>
      <c r="I3" s="84" t="n"/>
      <c r="J3" s="84" t="n"/>
      <c r="K3" s="84" t="n"/>
      <c r="L3" s="84" t="n"/>
      <c r="M3" s="84" t="n"/>
      <c r="N3" s="84" t="n"/>
      <c r="O3" s="84" t="n"/>
      <c r="P3" s="84" t="n"/>
      <c r="Q3" s="84" t="n"/>
    </row>
    <row r="4" ht="30" customHeight="1">
      <c r="A4" s="86" t="inlineStr">
        <is>
          <t>شناسه</t>
        </is>
      </c>
      <c r="B4" s="86" t="inlineStr">
        <is>
          <t>دسته</t>
        </is>
      </c>
      <c r="C4" s="86" t="inlineStr">
        <is>
          <t>اولویت</t>
        </is>
      </c>
      <c r="D4" s="86" t="inlineStr">
        <is>
          <t>پیش‌شرط</t>
        </is>
      </c>
      <c r="E4" s="86" t="inlineStr">
        <is>
          <t>روش اجرای دقیق</t>
        </is>
      </c>
      <c r="F4" s="86" t="inlineStr">
        <is>
          <t>ورودی‌ها (v_in / PB4 / v_bat)</t>
        </is>
      </c>
      <c r="G4" s="86" t="inlineStr">
        <is>
          <t>مدت مشاهده</t>
        </is>
      </c>
      <c r="H4" s="86" t="inlineStr">
        <is>
          <t>PB5 / Q1 — انتظار</t>
        </is>
      </c>
      <c r="I4" s="86" t="inlineStr">
        <is>
          <t>وضعیت Q1 حفظ/latch</t>
        </is>
      </c>
      <c r="J4" s="86" t="inlineStr">
        <is>
          <t>معیار قبولی</t>
        </is>
      </c>
      <c r="K4" s="86" t="inlineStr">
        <is>
          <t>نتیجهٔ واقعی / اندازه‌گیری</t>
        </is>
      </c>
      <c r="L4" s="86" t="inlineStr">
        <is>
          <t>وضعیت</t>
        </is>
      </c>
      <c r="M4" s="86" t="inlineStr">
        <is>
          <t>شرح ایراد / تفاوت</t>
        </is>
      </c>
      <c r="N4" s="86" t="inlineStr">
        <is>
          <t>مدرک تست / scope</t>
        </is>
      </c>
      <c r="O4" s="86" t="inlineStr">
        <is>
          <t>commit</t>
        </is>
      </c>
      <c r="P4" s="86" t="inlineStr">
        <is>
          <t>نام تست‌کننده</t>
        </is>
      </c>
      <c r="Q4" s="86" t="inlineStr">
        <is>
          <t>تاریخ</t>
        </is>
      </c>
    </row>
    <row r="5" ht="54" customHeight="1">
      <c r="A5" s="98" t="inlineStr">
        <is>
          <t>MP-001</t>
        </is>
      </c>
      <c r="B5" s="99" t="inlineStr">
        <is>
          <t>نگاشت سخت‌افزار</t>
        </is>
      </c>
      <c r="C5" s="110" t="inlineStr">
        <is>
          <t>بالا</t>
        </is>
      </c>
      <c r="D5" s="99" t="inlineStr">
        <is>
          <t>برد خاموش، شماتیک ChangeOver تأییدشده</t>
        </is>
      </c>
      <c r="E5" s="111" t="inlineStr">
        <is>
          <t>گام ۱: برد خاموش باشد و شماتیک ChangeOver تأیید شده باشد.
گام ۲: شماتیک، board_pins.h و bsp_gpio.c را کنار هم چک کن: Q1 روی PB5 (پایهٔ 41) با منطق فعال-Low، PB4 همان ورودی تشخیص 24 ولت (دو لبه)، و PB11 (همان Q17) فقط مال Changeover است نه این ماژول.
گام ۳: منطق‌ها را تأیید کن: PB5 با Low وصل و با High قطع می‌کند و PB4 با High یعنی ورودی حاضر.
گام ۴: اگر PB5 فعال-High بود یا PB11 داخل McuPowerPath دست می‌خورد، تست رد است.</t>
        </is>
      </c>
      <c r="F5" s="100" t="inlineStr">
        <is>
          <t>Q1=PB5 pin41, PB4 pin, PB11/Q17</t>
        </is>
      </c>
      <c r="G5" s="100" t="inlineStr">
        <is>
          <t>—</t>
        </is>
      </c>
      <c r="H5" s="99" t="inlineStr">
        <is>
          <t>Q1=PB5 Low=وصل High=قطع، PB4 High=حاضر Low=قطع، PB11/Q17 خارج از McuPowerPath</t>
        </is>
      </c>
      <c r="I5" s="99" t="inlineStr">
        <is>
          <t>HW mapping ثابت</t>
        </is>
      </c>
      <c r="J5" s="111" t="inlineStr">
        <is>
          <t>PASS: نگاشت مطابق board_pins.h و شماتیک. FAIL: PB5 فعال-High یا PB11 در McuPowerPath.</t>
        </is>
      </c>
      <c r="K5" s="99" t="n"/>
      <c r="L5" s="101" t="inlineStr">
        <is>
          <t>در انتظار</t>
        </is>
      </c>
      <c r="M5" s="99" t="n"/>
      <c r="N5" s="99" t="n"/>
      <c r="O5" s="100" t="n"/>
      <c r="P5" s="100" t="n"/>
      <c r="Q5" s="102">
        <f>IF(OR(L5="",L5="در انتظار"),"",IF(Q5="",TODAY(),Q5))</f>
        <v/>
      </c>
    </row>
    <row r="6" ht="54" customHeight="1">
      <c r="A6" s="98" t="inlineStr">
        <is>
          <t>MP-020</t>
        </is>
      </c>
      <c r="B6" s="103" t="inlineStr">
        <is>
          <t>snapshot zeroing</t>
        </is>
      </c>
      <c r="C6" s="109" t="inlineStr">
        <is>
          <t>بالا</t>
        </is>
      </c>
      <c r="D6" s="103" t="inlineStr">
        <is>
          <t>v_in نامعتبر + valid=false</t>
        </is>
      </c>
      <c r="E6" s="103" t="inlineStr">
        <is>
          <t>گام ۱: یک snapshot نامعتبر بساز: valid=false و v_in زباله.
گام ۲: آن را 6 ثانیه به McuPowerPath_Run بده (از task_control).
گام ۳: PB5 (همان Q1) را ببین: باید امن بماند؛ اگر وصل بود وصل بماند و هیچ قطع کاذبی نباید اتفاق بیفتد.
گام ۴: هر 9 فیلد snapshot هم باید صفر باشند و هیچ تصمیمی بر اساس v_in زباله گرفته نشود.</t>
        </is>
      </c>
      <c r="F6" s="104" t="inlineStr">
        <is>
          <t>valid=false</t>
        </is>
      </c>
      <c r="G6" s="104" t="inlineStr">
        <is>
          <t>6s</t>
        </is>
      </c>
      <c r="H6" s="103" t="inlineStr">
        <is>
          <t>Q1 (PB5) باید امن بماند؛ بدون تصمیم بر اساس v_in زباله؛ هر 9 فیلد صفر</t>
        </is>
      </c>
      <c r="I6" s="103" t="inlineStr">
        <is>
          <t>امن</t>
        </is>
      </c>
      <c r="J6" s="103" t="inlineStr">
        <is>
          <t>PB5 Low حفظ بدون قطع کاذب</t>
        </is>
      </c>
      <c r="K6" s="103" t="n"/>
      <c r="L6" s="113" t="inlineStr">
        <is>
          <t>نیاز به تکرار</t>
        </is>
      </c>
      <c r="M6" s="103" t="n"/>
      <c r="N6" s="103" t="n"/>
      <c r="O6" s="104" t="inlineStr">
        <is>
          <t>62f3782</t>
        </is>
      </c>
      <c r="P6" s="104" t="n"/>
      <c r="Q6" s="106" t="inlineStr">
        <is>
          <t>2026-10-12</t>
        </is>
      </c>
    </row>
    <row r="7">
      <c r="A7" s="84" t="n"/>
      <c r="B7" s="84" t="n"/>
      <c r="C7" s="84" t="n"/>
      <c r="D7" s="84" t="n"/>
      <c r="E7" s="84" t="n"/>
      <c r="F7" s="84" t="n"/>
      <c r="G7" s="84" t="n"/>
      <c r="H7" s="84" t="n"/>
      <c r="I7" s="84" t="n"/>
      <c r="J7" s="84" t="n"/>
      <c r="K7" s="84" t="n"/>
      <c r="L7" s="84" t="n"/>
      <c r="M7" s="84" t="n"/>
      <c r="N7" s="84" t="n"/>
      <c r="O7" s="84" t="n"/>
      <c r="P7" s="84" t="n"/>
      <c r="Q7" s="97">
        <f>IF(OR(L7="",L7="در انتظار"),"",IF(Q7="",TODAY(),Q7))</f>
        <v/>
      </c>
    </row>
    <row r="8">
      <c r="A8" s="84" t="n"/>
      <c r="B8" s="84" t="n"/>
      <c r="C8" s="84" t="n"/>
      <c r="D8" s="84" t="n"/>
      <c r="E8" s="84" t="n"/>
      <c r="F8" s="84" t="n"/>
      <c r="G8" s="84" t="n"/>
      <c r="H8" s="84" t="n"/>
      <c r="I8" s="84" t="n"/>
      <c r="J8" s="84" t="n"/>
      <c r="K8" s="84" t="n"/>
      <c r="L8" s="84" t="n"/>
      <c r="M8" s="84" t="n"/>
      <c r="N8" s="84" t="n"/>
      <c r="O8" s="84" t="n"/>
      <c r="P8" s="84" t="n"/>
      <c r="Q8" s="97">
        <f>IF(OR(L8="",L8="در انتظار"),"",IF(Q8="",TODAY(),Q8))</f>
        <v/>
      </c>
    </row>
    <row r="9">
      <c r="A9" s="84" t="n"/>
      <c r="B9" s="84" t="n"/>
      <c r="C9" s="84" t="n"/>
      <c r="D9" s="84" t="n"/>
      <c r="E9" s="84" t="n"/>
      <c r="F9" s="84" t="n"/>
      <c r="G9" s="84" t="n"/>
      <c r="H9" s="84" t="n"/>
      <c r="I9" s="84" t="n"/>
      <c r="J9" s="84" t="n"/>
      <c r="K9" s="84" t="n"/>
      <c r="L9" s="84" t="n"/>
      <c r="M9" s="84" t="n"/>
      <c r="N9" s="84" t="n"/>
      <c r="O9" s="84" t="n"/>
      <c r="P9" s="84" t="n"/>
      <c r="Q9" s="97">
        <f>IF(OR(L9="",L9="در انتظار"),"",IF(Q9="",TODAY(),Q9))</f>
        <v/>
      </c>
    </row>
    <row r="10">
      <c r="A10" s="84" t="n"/>
      <c r="B10" s="84" t="n"/>
      <c r="C10" s="84" t="n"/>
      <c r="D10" s="84" t="n"/>
      <c r="E10" s="84" t="n"/>
      <c r="F10" s="84" t="n"/>
      <c r="G10" s="84" t="n"/>
      <c r="H10" s="84" t="n"/>
      <c r="I10" s="84" t="n"/>
      <c r="J10" s="84" t="n"/>
      <c r="K10" s="84" t="n"/>
      <c r="L10" s="84" t="n"/>
      <c r="M10" s="84" t="n"/>
      <c r="N10" s="84" t="n"/>
      <c r="O10" s="84" t="n"/>
      <c r="P10" s="84" t="n"/>
      <c r="Q10" s="97">
        <f>IF(OR(L10="",L10="در انتظار"),"",IF(Q10="",TODAY(),Q10))</f>
        <v/>
      </c>
    </row>
    <row r="11">
      <c r="A11" s="84" t="n"/>
      <c r="B11" s="84" t="n"/>
      <c r="C11" s="84" t="n"/>
      <c r="D11" s="84" t="n"/>
      <c r="E11" s="84" t="n"/>
      <c r="F11" s="84" t="n"/>
      <c r="G11" s="84" t="n"/>
      <c r="H11" s="84" t="n"/>
      <c r="I11" s="84" t="n"/>
      <c r="J11" s="84" t="n"/>
      <c r="K11" s="84" t="n"/>
      <c r="L11" s="84" t="n"/>
      <c r="M11" s="84" t="n"/>
      <c r="N11" s="84" t="n"/>
      <c r="O11" s="84" t="n"/>
      <c r="P11" s="84" t="n"/>
      <c r="Q11" s="97">
        <f>IF(OR(L11="",L11="در انتظار"),"",IF(Q11="",TODAY(),Q11))</f>
        <v/>
      </c>
    </row>
    <row r="12">
      <c r="A12" s="84" t="n"/>
      <c r="B12" s="84" t="n"/>
      <c r="C12" s="84" t="n"/>
      <c r="D12" s="84" t="n"/>
      <c r="E12" s="84" t="n"/>
      <c r="F12" s="84" t="n"/>
      <c r="G12" s="84" t="n"/>
      <c r="H12" s="84" t="n"/>
      <c r="I12" s="84" t="n"/>
      <c r="J12" s="84" t="n"/>
      <c r="K12" s="84" t="n"/>
      <c r="L12" s="84" t="n"/>
      <c r="M12" s="84" t="n"/>
      <c r="N12" s="84" t="n"/>
      <c r="O12" s="84" t="n"/>
      <c r="P12" s="84" t="n"/>
      <c r="Q12" s="97">
        <f>IF(OR(L12="",L12="در انتظار"),"",IF(Q12="",TODAY(),Q12))</f>
        <v/>
      </c>
    </row>
    <row r="13">
      <c r="A13" s="84" t="n"/>
      <c r="B13" s="84" t="n"/>
      <c r="C13" s="84" t="n"/>
      <c r="D13" s="84" t="n"/>
      <c r="E13" s="84" t="n"/>
      <c r="F13" s="84" t="n"/>
      <c r="G13" s="84" t="n"/>
      <c r="H13" s="84" t="n"/>
      <c r="I13" s="84" t="n"/>
      <c r="J13" s="84" t="n"/>
      <c r="K13" s="84" t="n"/>
      <c r="L13" s="84" t="n"/>
      <c r="M13" s="84" t="n"/>
      <c r="N13" s="84" t="n"/>
      <c r="O13" s="84" t="n"/>
      <c r="P13" s="84" t="n"/>
      <c r="Q13" s="97">
        <f>IF(OR(L13="",L13="در انتظار"),"",IF(Q13="",TODAY(),Q13))</f>
        <v/>
      </c>
    </row>
    <row r="14">
      <c r="A14" s="84" t="n"/>
      <c r="B14" s="84" t="n"/>
      <c r="C14" s="84" t="n"/>
      <c r="D14" s="84" t="n"/>
      <c r="E14" s="84" t="n"/>
      <c r="F14" s="84" t="n"/>
      <c r="G14" s="84" t="n"/>
      <c r="H14" s="84" t="n"/>
      <c r="I14" s="84" t="n"/>
      <c r="J14" s="84" t="n"/>
      <c r="K14" s="84" t="n"/>
      <c r="L14" s="84" t="n"/>
      <c r="M14" s="84" t="n"/>
      <c r="N14" s="84" t="n"/>
      <c r="O14" s="84" t="n"/>
      <c r="P14" s="84" t="n"/>
      <c r="Q14" s="97">
        <f>IF(OR(L14="",L14="در انتظار"),"",IF(Q14="",TODAY(),Q14))</f>
        <v/>
      </c>
    </row>
    <row r="15">
      <c r="A15" s="84" t="n"/>
      <c r="B15" s="84" t="n"/>
      <c r="C15" s="84" t="n"/>
      <c r="D15" s="84" t="n"/>
      <c r="E15" s="84" t="n"/>
      <c r="F15" s="84" t="n"/>
      <c r="G15" s="84" t="n"/>
      <c r="H15" s="84" t="n"/>
      <c r="I15" s="84" t="n"/>
      <c r="J15" s="84" t="n"/>
      <c r="K15" s="84" t="n"/>
      <c r="L15" s="84" t="n"/>
      <c r="M15" s="84" t="n"/>
      <c r="N15" s="84" t="n"/>
      <c r="O15" s="84" t="n"/>
      <c r="P15" s="84" t="n"/>
      <c r="Q15" s="97">
        <f>IF(OR(L15="",L15="در انتظار"),"",IF(Q15="",TODAY(),Q15))</f>
        <v/>
      </c>
    </row>
    <row r="16">
      <c r="A16" s="84" t="n"/>
      <c r="B16" s="84" t="n"/>
      <c r="C16" s="84" t="n"/>
      <c r="D16" s="84" t="n"/>
      <c r="E16" s="84" t="n"/>
      <c r="F16" s="84" t="n"/>
      <c r="G16" s="84" t="n"/>
      <c r="H16" s="84" t="n"/>
      <c r="I16" s="84" t="n"/>
      <c r="J16" s="84" t="n"/>
      <c r="K16" s="84" t="n"/>
      <c r="L16" s="84" t="n"/>
      <c r="M16" s="84" t="n"/>
      <c r="N16" s="84" t="n"/>
      <c r="O16" s="84" t="n"/>
      <c r="P16" s="84" t="n"/>
      <c r="Q16" s="97">
        <f>IF(OR(L16="",L16="در انتظار"),"",IF(Q16="",TODAY(),Q16))</f>
        <v/>
      </c>
    </row>
    <row r="17">
      <c r="A17" s="84" t="n"/>
      <c r="B17" s="84" t="n"/>
      <c r="C17" s="84" t="n"/>
      <c r="D17" s="84" t="n"/>
      <c r="E17" s="84" t="n"/>
      <c r="F17" s="84" t="n"/>
      <c r="G17" s="84" t="n"/>
      <c r="H17" s="84" t="n"/>
      <c r="I17" s="84" t="n"/>
      <c r="J17" s="84" t="n"/>
      <c r="K17" s="84" t="n"/>
      <c r="L17" s="84" t="n"/>
      <c r="M17" s="84" t="n"/>
      <c r="N17" s="84" t="n"/>
      <c r="O17" s="84" t="n"/>
      <c r="P17" s="84" t="n"/>
      <c r="Q17" s="97">
        <f>IF(OR(L17="",L17="در انتظار"),"",IF(Q17="",TODAY(),Q17))</f>
        <v/>
      </c>
    </row>
    <row r="18">
      <c r="A18" s="84" t="n"/>
      <c r="B18" s="84" t="n"/>
      <c r="C18" s="84" t="n"/>
      <c r="D18" s="84" t="n"/>
      <c r="E18" s="84" t="n"/>
      <c r="F18" s="84" t="n"/>
      <c r="G18" s="84" t="n"/>
      <c r="H18" s="84" t="n"/>
      <c r="I18" s="84" t="n"/>
      <c r="J18" s="84" t="n"/>
      <c r="K18" s="84" t="n"/>
      <c r="L18" s="84" t="n"/>
      <c r="M18" s="84" t="n"/>
      <c r="N18" s="84" t="n"/>
      <c r="O18" s="84" t="n"/>
      <c r="P18" s="84" t="n"/>
      <c r="Q18" s="97">
        <f>IF(OR(L18="",L18="در انتظار"),"",IF(Q18="",TODAY(),Q18))</f>
        <v/>
      </c>
    </row>
    <row r="19">
      <c r="A19" s="84" t="n"/>
      <c r="B19" s="84" t="n"/>
      <c r="C19" s="84" t="n"/>
      <c r="D19" s="84" t="n"/>
      <c r="E19" s="84" t="n"/>
      <c r="F19" s="84" t="n"/>
      <c r="G19" s="84" t="n"/>
      <c r="H19" s="84" t="n"/>
      <c r="I19" s="84" t="n"/>
      <c r="J19" s="84" t="n"/>
      <c r="K19" s="84" t="n"/>
      <c r="L19" s="84" t="n"/>
      <c r="M19" s="84" t="n"/>
      <c r="N19" s="84" t="n"/>
      <c r="O19" s="84" t="n"/>
      <c r="P19" s="84" t="n"/>
      <c r="Q19" s="97">
        <f>IF(OR(L19="",L19="در انتظار"),"",IF(Q19="",TODAY(),Q19))</f>
        <v/>
      </c>
    </row>
    <row r="20">
      <c r="A20" s="84" t="n"/>
      <c r="B20" s="84" t="n"/>
      <c r="C20" s="84" t="n"/>
      <c r="D20" s="84" t="n"/>
      <c r="E20" s="84" t="n"/>
      <c r="F20" s="84" t="n"/>
      <c r="G20" s="84" t="n"/>
      <c r="H20" s="84" t="n"/>
      <c r="I20" s="84" t="n"/>
      <c r="J20" s="84" t="n"/>
      <c r="K20" s="84" t="n"/>
      <c r="L20" s="84" t="n"/>
      <c r="M20" s="84" t="n"/>
      <c r="N20" s="84" t="n"/>
      <c r="O20" s="84" t="n"/>
      <c r="P20" s="84" t="n"/>
      <c r="Q20" s="97">
        <f>IF(OR(L20="",L20="در انتظار"),"",IF(Q20="",TODAY(),Q20))</f>
        <v/>
      </c>
    </row>
    <row r="21">
      <c r="A21" s="84" t="n"/>
      <c r="B21" s="84" t="n"/>
      <c r="C21" s="84" t="n"/>
      <c r="D21" s="84" t="n"/>
      <c r="E21" s="84" t="n"/>
      <c r="F21" s="84" t="n"/>
      <c r="G21" s="84" t="n"/>
      <c r="H21" s="84" t="n"/>
      <c r="I21" s="84" t="n"/>
      <c r="J21" s="84" t="n"/>
      <c r="K21" s="84" t="n"/>
      <c r="L21" s="84" t="n"/>
      <c r="M21" s="84" t="n"/>
      <c r="N21" s="84" t="n"/>
      <c r="O21" s="84" t="n"/>
      <c r="P21" s="84" t="n"/>
      <c r="Q21" s="97">
        <f>IF(OR(L21="",L21="در انتظار"),"",IF(Q21="",TODAY(),Q21))</f>
        <v/>
      </c>
    </row>
    <row r="22">
      <c r="A22" s="84" t="n"/>
      <c r="B22" s="84" t="n"/>
      <c r="C22" s="84" t="n"/>
      <c r="D22" s="84" t="n"/>
      <c r="E22" s="84" t="n"/>
      <c r="F22" s="84" t="n"/>
      <c r="G22" s="84" t="n"/>
      <c r="H22" s="84" t="n"/>
      <c r="I22" s="84" t="n"/>
      <c r="J22" s="84" t="n"/>
      <c r="K22" s="84" t="n"/>
      <c r="L22" s="84" t="n"/>
      <c r="M22" s="84" t="n"/>
      <c r="N22" s="84" t="n"/>
      <c r="O22" s="84" t="n"/>
      <c r="P22" s="84" t="n"/>
      <c r="Q22" s="97">
        <f>IF(OR(L22="",L22="در انتظار"),"",IF(Q22="",TODAY(),Q22))</f>
        <v/>
      </c>
    </row>
    <row r="23">
      <c r="A23" s="84" t="n"/>
      <c r="B23" s="84" t="n"/>
      <c r="C23" s="84" t="n"/>
      <c r="D23" s="84" t="n"/>
      <c r="E23" s="84" t="n"/>
      <c r="F23" s="84" t="n"/>
      <c r="G23" s="84" t="n"/>
      <c r="H23" s="84" t="n"/>
      <c r="I23" s="84" t="n"/>
      <c r="J23" s="84" t="n"/>
      <c r="K23" s="84" t="n"/>
      <c r="L23" s="84" t="n"/>
      <c r="M23" s="84" t="n"/>
      <c r="N23" s="84" t="n"/>
      <c r="O23" s="84" t="n"/>
      <c r="P23" s="84" t="n"/>
      <c r="Q23" s="97">
        <f>IF(OR(L23="",L23="در انتظار"),"",IF(Q23="",TODAY(),Q23))</f>
        <v/>
      </c>
    </row>
    <row r="24">
      <c r="A24" s="84" t="n"/>
      <c r="B24" s="84" t="n"/>
      <c r="C24" s="84" t="n"/>
      <c r="D24" s="84" t="n"/>
      <c r="E24" s="84" t="n"/>
      <c r="F24" s="84" t="n"/>
      <c r="G24" s="84" t="n"/>
      <c r="H24" s="84" t="n"/>
      <c r="I24" s="84" t="n"/>
      <c r="J24" s="84" t="n"/>
      <c r="K24" s="84" t="n"/>
      <c r="L24" s="84" t="n"/>
      <c r="M24" s="84" t="n"/>
      <c r="N24" s="84" t="n"/>
      <c r="O24" s="84" t="n"/>
      <c r="P24" s="84" t="n"/>
      <c r="Q24" s="97">
        <f>IF(OR(L24="",L24="در انتظار"),"",IF(Q24="",TODAY(),Q24))</f>
        <v/>
      </c>
    </row>
    <row r="25">
      <c r="A25" s="84" t="n"/>
      <c r="B25" s="84" t="n"/>
      <c r="C25" s="84" t="n"/>
      <c r="D25" s="84" t="n"/>
      <c r="E25" s="84" t="n"/>
      <c r="F25" s="84" t="n"/>
      <c r="G25" s="84" t="n"/>
      <c r="H25" s="84" t="n"/>
      <c r="I25" s="84" t="n"/>
      <c r="J25" s="84" t="n"/>
      <c r="K25" s="84" t="n"/>
      <c r="L25" s="84" t="n"/>
      <c r="M25" s="84" t="n"/>
      <c r="N25" s="84" t="n"/>
      <c r="O25" s="84" t="n"/>
      <c r="P25" s="84" t="n"/>
      <c r="Q25" s="97">
        <f>IF(OR(L25="",L25="در انتظار"),"",IF(Q25="",TODAY(),Q25))</f>
        <v/>
      </c>
    </row>
    <row r="26">
      <c r="A26" s="84" t="n"/>
      <c r="B26" s="84" t="n"/>
      <c r="C26" s="84" t="n"/>
      <c r="D26" s="84" t="n"/>
      <c r="E26" s="84" t="n"/>
      <c r="F26" s="84" t="n"/>
      <c r="G26" s="84" t="n"/>
      <c r="H26" s="84" t="n"/>
      <c r="I26" s="84" t="n"/>
      <c r="J26" s="84" t="n"/>
      <c r="K26" s="84" t="n"/>
      <c r="L26" s="84" t="n"/>
      <c r="M26" s="84" t="n"/>
      <c r="N26" s="84" t="n"/>
      <c r="O26" s="84" t="n"/>
      <c r="P26" s="84" t="n"/>
      <c r="Q26" s="97">
        <f>IF(OR(L26="",L26="در انتظار"),"",IF(Q26="",TODAY(),Q26))</f>
        <v/>
      </c>
    </row>
  </sheetData>
  <autoFilter ref="A4:Q6"/>
  <dataValidations count="1">
    <dataValidation sqref="L5 L6 L7 L8 L9 L10 L11 L12 L13 L14 L15 L16 L17 L18 L19 L20 L21 L22 L23 L24 L25 L26" showDropDown="0" showInputMessage="0" showErrorMessage="0" allowBlank="1" type="list">
      <formula1>='فهرست‌ها'!$A$2:$A$7</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BF8F00"/>
    <outlinePr summaryBelow="1" summaryRight="1"/>
    <pageSetUpPr fitToPage="1"/>
  </sheetPr>
  <dimension ref="A1:F16"/>
  <sheetViews>
    <sheetView rightToLeft="1"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ht="30" customHeight="1">
      <c r="A1" s="86" t="inlineStr">
        <is>
          <t>مرجع سریع سناریوهای McuPowerPath — هیسترزیس v_in و 5s qualification</t>
        </is>
      </c>
      <c r="B1" s="75" t="n"/>
      <c r="C1" s="75" t="n"/>
      <c r="D1" s="75" t="n"/>
      <c r="E1" s="75" t="n"/>
      <c r="F1" s="76" t="n"/>
    </row>
    <row r="2">
      <c r="A2" s="95" t="inlineStr">
        <is>
          <t>آستانه‌ها: QUALIFY 22000 (شروع 5s)، RECONNECT 21500 (وصل)، HYSTERESIS 500، STABLE 5000ms — فقط v_in، نه v_bat — PB4 falling فوری Low</t>
        </is>
      </c>
    </row>
    <row r="3" ht="22" customHeight="1">
      <c r="A3" s="114" t="inlineStr">
        <is>
          <t>موضوع</t>
        </is>
      </c>
      <c r="B3" s="114" t="inlineStr">
        <is>
          <t>شرط / مقدار</t>
        </is>
      </c>
      <c r="C3" s="114" t="inlineStr">
        <is>
          <t>رفتار مورد انتظار</t>
        </is>
      </c>
      <c r="D3" s="114" t="inlineStr">
        <is>
          <t>ثابت / محل کد</t>
        </is>
      </c>
      <c r="E3" s="114" t="inlineStr">
        <is>
          <t>توضیح</t>
        </is>
      </c>
      <c r="F3" s="114" t="inlineStr">
        <is>
          <t>وابستگی</t>
        </is>
      </c>
    </row>
    <row r="4" ht="18" customHeight="1">
      <c r="A4" s="115" t="inlineStr">
        <is>
          <t>نگاشت Q1</t>
        </is>
      </c>
      <c r="B4" s="115" t="inlineStr">
        <is>
          <t>Q1=PB5 pin41 فعال-Low, PB5 Low=وصل High=قطع</t>
        </is>
      </c>
      <c r="C4" s="115" t="inlineStr">
        <is>
          <t>HW mapping</t>
        </is>
      </c>
      <c r="D4" s="116" t="inlineStr">
        <is>
          <t>board_pins.h:PIN_BAT_SWITCH_*</t>
        </is>
      </c>
      <c r="E4" s="115" t="inlineStr">
        <is>
          <t>فقط PB5 در McuPowerPath</t>
        </is>
      </c>
      <c r="F4" s="116" t="inlineStr">
        <is>
          <t>MP-001,002</t>
        </is>
      </c>
    </row>
    <row r="5" ht="18" customHeight="1">
      <c r="A5" s="117" t="inlineStr">
        <is>
          <t>PB4</t>
        </is>
      </c>
      <c r="B5" s="117" t="inlineStr">
        <is>
          <t>PB4=MCU_INT_24_IN دو لبه, High=حاضر Low=قطع</t>
        </is>
      </c>
      <c r="C5" s="117" t="inlineStr">
        <is>
          <t>فقط تشخیص، falling → ISR Low</t>
        </is>
      </c>
      <c r="D5" s="118" t="inlineStr">
        <is>
          <t>bsp_exti.c:PB4</t>
        </is>
      </c>
      <c r="E5" s="117" t="inlineStr">
        <is>
          <t>بدون ADC wait</t>
        </is>
      </c>
      <c r="F5" s="118" t="inlineStr">
        <is>
          <t>MP-011,012</t>
        </is>
      </c>
    </row>
    <row r="6" ht="18" customHeight="1">
      <c r="A6" s="115" t="inlineStr">
        <is>
          <t>PB11/Q17</t>
        </is>
      </c>
      <c r="B6" s="115" t="inlineStr">
        <is>
          <t>PB11=PROTECT_BATTERY فقط Changeover</t>
        </is>
      </c>
      <c r="C6" s="115" t="inlineStr">
        <is>
          <t>بدون تغییر توسط McuPowerPath</t>
        </is>
      </c>
      <c r="D6" s="116" t="inlineStr">
        <is>
          <t>changeover.c</t>
        </is>
      </c>
      <c r="E6" s="115" t="inlineStr">
        <is>
          <t>regression</t>
        </is>
      </c>
      <c r="F6" s="116" t="inlineStr">
        <is>
          <t>MP-017</t>
        </is>
      </c>
    </row>
    <row r="7" ht="18" customHeight="1">
      <c r="A7" s="117" t="inlineStr">
        <is>
          <t>Startup</t>
        </is>
      </c>
      <c r="B7" s="117" t="inlineStr">
        <is>
          <t>بدون ورودی DC</t>
        </is>
      </c>
      <c r="C7" s="117" t="inlineStr">
        <is>
          <t>PB5 Low, MCU از باتری</t>
        </is>
      </c>
      <c r="D7" s="117" t="inlineStr">
        <is>
          <t>PIN_SAFE 0 + Init</t>
        </is>
      </c>
      <c r="E7" s="117" t="inlineStr">
        <is>
          <t>boot safe</t>
        </is>
      </c>
      <c r="F7" s="118" t="inlineStr">
        <is>
          <t>MP-002,016</t>
        </is>
      </c>
    </row>
    <row r="8" ht="18" customHeight="1">
      <c r="A8" s="115" t="inlineStr">
        <is>
          <t>Qualify</t>
        </is>
      </c>
      <c r="B8" s="115" t="inlineStr">
        <is>
          <t>v_in &gt;=22000 پیوسته 5000ms</t>
        </is>
      </c>
      <c r="C8" s="115" t="inlineStr">
        <is>
          <t>PB5 High (قطع)</t>
        </is>
      </c>
      <c r="D8" s="115" t="inlineStr">
        <is>
          <t>QUALIFY 22000 + STABLE 5000</t>
        </is>
      </c>
      <c r="E8" s="115" t="inlineStr">
        <is>
          <t>از rtos_time</t>
        </is>
      </c>
      <c r="F8" s="116" t="inlineStr">
        <is>
          <t>MP-003,004,009</t>
        </is>
      </c>
    </row>
    <row r="9" ht="18" customHeight="1">
      <c r="A9" s="117" t="inlineStr">
        <is>
          <t>Dead-band</t>
        </is>
      </c>
      <c r="B9" s="117" t="inlineStr">
        <is>
          <t>21500 &lt;= v_in &lt;22000</t>
        </is>
      </c>
      <c r="C9" s="117" t="inlineStr">
        <is>
          <t>لغو تایمر، حفظ Q1 (21.9V عدم reconnect)</t>
        </is>
      </c>
      <c r="D9" s="117" t="inlineStr">
        <is>
          <t>RECONNECT 21500</t>
        </is>
      </c>
      <c r="E9" s="117" t="inlineStr">
        <is>
          <t>هیسترزیس</t>
        </is>
      </c>
      <c r="F9" s="118" t="inlineStr">
        <is>
          <t>MP-005,006,007</t>
        </is>
      </c>
    </row>
    <row r="10" ht="18" customHeight="1">
      <c r="A10" s="115" t="inlineStr">
        <is>
          <t>Reconnect</t>
        </is>
      </c>
      <c r="B10" s="115" t="inlineStr">
        <is>
          <t>v_in &lt;21500</t>
        </is>
      </c>
      <c r="C10" s="115" t="inlineStr">
        <is>
          <t>PB5 Low (وصل) + لغو تایمر</t>
        </is>
      </c>
      <c r="D10" s="115" t="inlineStr">
        <is>
          <t>RECONNECT 21500</t>
        </is>
      </c>
      <c r="E10" s="115" t="inlineStr">
        <is>
          <t>حتی 21499</t>
        </is>
      </c>
      <c r="F10" s="116" t="inlineStr">
        <is>
          <t>MP-008,010</t>
        </is>
      </c>
    </row>
    <row r="11" ht="18" customHeight="1">
      <c r="A11" s="117" t="inlineStr">
        <is>
          <t>Falling PB4</t>
        </is>
      </c>
      <c r="B11" s="117" t="inlineStr">
        <is>
          <t>PB4 Low (قطع)</t>
        </is>
      </c>
      <c r="C11" s="117" t="inlineStr">
        <is>
          <t>ISR فوراً Low, cancel, سپس event</t>
        </is>
      </c>
      <c r="D11" s="117" t="inlineStr">
        <is>
          <t>OnInputIrq</t>
        </is>
      </c>
      <c r="E11" s="117" t="inlineStr">
        <is>
          <t>فوری &lt;100µs</t>
        </is>
      </c>
      <c r="F11" s="118" t="inlineStr">
        <is>
          <t>MP-011,012</t>
        </is>
      </c>
    </row>
    <row r="12" ht="18" customHeight="1">
      <c r="A12" s="115" t="inlineStr">
        <is>
          <t>v_bat بی‌اثر</t>
        </is>
      </c>
      <c r="B12" s="115" t="inlineStr">
        <is>
          <t>v_bat 19-26V while v_in 23V</t>
        </is>
      </c>
      <c r="C12" s="115" t="inlineStr">
        <is>
          <t>Q1 بدون تغییر</t>
        </is>
      </c>
      <c r="D12" s="115" t="inlineStr">
        <is>
          <t>فقط v_in</t>
        </is>
      </c>
      <c r="E12" s="115" t="inlineStr">
        <is>
          <t>مستقل</t>
        </is>
      </c>
      <c r="F12" s="116" t="inlineStr">
        <is>
          <t>MP-013</t>
        </is>
      </c>
    </row>
    <row r="13" ht="18" customHeight="1">
      <c r="A13" s="117" t="inlineStr">
        <is>
          <t>Invalid</t>
        </is>
      </c>
      <c r="B13" s="117" t="inlineStr">
        <is>
          <t>valid==false</t>
        </is>
      </c>
      <c r="C13" s="117" t="inlineStr">
        <is>
          <t>حفظ Q1, reset timer, زمان نامعتبر نشمرد</t>
        </is>
      </c>
      <c r="D13" s="117" t="inlineStr">
        <is>
          <t>snapshot-first</t>
        </is>
      </c>
      <c r="E13" s="117" t="inlineStr">
        <is>
          <t>like Changeover</t>
        </is>
      </c>
      <c r="F13" s="118" t="inlineStr">
        <is>
          <t>MP-014,015</t>
        </is>
      </c>
    </row>
    <row r="14" ht="18" customHeight="1">
      <c r="A14" s="115" t="inlineStr">
        <is>
          <t>Invalid+Timer</t>
        </is>
      </c>
      <c r="B14" s="115" t="inlineStr">
        <is>
          <t>2s qualify → 0.5s invalid → 5s</t>
        </is>
      </c>
      <c r="C14" s="115" t="inlineStr">
        <is>
          <t>قطع فقط پس از 5s پیوسته دوم</t>
        </is>
      </c>
      <c r="D14" s="115" t="inlineStr">
        <is>
          <t>Timers reset</t>
        </is>
      </c>
      <c r="E14" s="115" t="inlineStr">
        <is>
          <t>ناپایدار</t>
        </is>
      </c>
      <c r="F14" s="116" t="inlineStr">
        <is>
          <t>MP-015</t>
        </is>
      </c>
    </row>
    <row r="15" ht="18" customHeight="1">
      <c r="A15" s="117" t="inlineStr">
        <is>
          <t>Boot با ورودی</t>
        </is>
      </c>
      <c r="B15" s="117" t="inlineStr">
        <is>
          <t>v_in 23V @boot</t>
        </is>
      </c>
      <c r="C15" s="117" t="inlineStr">
        <is>
          <t>Low سپس High @5s</t>
        </is>
      </c>
      <c r="D15" s="117" t="inlineStr">
        <is>
          <t>Init Low</t>
        </is>
      </c>
      <c r="E15" s="117" t="inlineStr">
        <is>
          <t>no missing edge</t>
        </is>
      </c>
      <c r="F15" s="118" t="inlineStr">
        <is>
          <t>MP-016</t>
        </is>
      </c>
    </row>
    <row r="16" ht="18" customHeight="1">
      <c r="A16" s="115" t="inlineStr">
        <is>
          <t>Regression</t>
        </is>
      </c>
      <c r="B16" s="115" t="inlineStr">
        <is>
          <t>21 سناریو Changeover</t>
        </is>
      </c>
      <c r="C16" s="115" t="inlineStr">
        <is>
          <t>PB11 unchanged, PB5 forbidden</t>
        </is>
      </c>
      <c r="D16" s="115" t="inlineStr">
        <is>
          <t>changeover thresholds</t>
        </is>
      </c>
      <c r="E16" s="115" t="inlineStr">
        <is>
          <t>21000/20800/21200</t>
        </is>
      </c>
      <c r="F16" s="116" t="inlineStr">
        <is>
          <t>MP-017</t>
        </is>
      </c>
    </row>
  </sheetData>
  <mergeCells count="2">
    <mergeCell ref="A2:F2"/>
    <mergeCell ref="A1:F1"/>
  </mergeCells>
  <hyperlinks>
    <hyperlink xmlns:r="http://schemas.openxmlformats.org/officeDocument/2006/relationships" ref="D4" r:id="rId1"/>
    <hyperlink ref="F4" location="'تست‌های برنامه‌نویسی'!A5"/>
    <hyperlink xmlns:r="http://schemas.openxmlformats.org/officeDocument/2006/relationships" ref="D5" r:id="rId2"/>
    <hyperlink ref="F5" location="'تست‌های آزمایشگاهی'!A14"/>
    <hyperlink xmlns:r="http://schemas.openxmlformats.org/officeDocument/2006/relationships" ref="D6" r:id="rId3"/>
    <hyperlink ref="F6" location="'تست‌های آزمایشگاهی'!A20"/>
    <hyperlink ref="F7" location="'تست‌های آزمایشگاهی'!A5"/>
    <hyperlink ref="F8" location="'تست‌های آزمایشگاهی'!A6"/>
    <hyperlink ref="F9" location="'تست‌های آزمایشگاهی'!A8"/>
    <hyperlink ref="F10" location="'تست‌های آزمایشگاهی'!A11"/>
    <hyperlink ref="F11" location="'تست‌های آزمایشگاهی'!A14"/>
    <hyperlink ref="F12" location="'تست‌های آزمایشگاهی'!A16"/>
    <hyperlink ref="F13" location="'تست‌های آزمایشگاهی'!A17"/>
    <hyperlink ref="F14" location="'تست‌های آزمایشگاهی'!A18"/>
    <hyperlink ref="F15" location="'تست‌های آزمایشگاهی'!A19"/>
    <hyperlink ref="F16" location="'تست‌های آزمایشگاهی'!A20"/>
  </hyperlinks>
  <pageMargins left="0.75" right="0.75" top="1" bottom="1" header="0.5" footer="0.5"/>
</worksheet>
</file>

<file path=xl/worksheets/sheet6.xml><?xml version="1.0" encoding="utf-8"?>
<worksheet xmlns="http://schemas.openxmlformats.org/spreadsheetml/2006/main">
  <sheetPr>
    <tabColor rgb="00C00000"/>
    <outlinePr summaryBelow="1" summaryRight="1"/>
    <pageSetUpPr fitToPage="1"/>
  </sheetPr>
  <dimension ref="A1:M13"/>
  <sheetViews>
    <sheetView rightToLeft="1"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83" t="inlineStr">
        <is>
          <t>ثبت ایرادهای مشاهده‌شده — McuPowerPath (Q1=PB5 هیسترزیس)</t>
        </is>
      </c>
    </row>
    <row r="2" ht="30" customHeight="1">
      <c r="A2" s="86" t="inlineStr">
        <is>
          <t>برای هر وضعیت «رد» یا تفاوت مهم، یک ردیف با شناسه تست (MP-xxx) و جزئیات کامل پر کن. ISR Low باید &lt;100µs باشد.</t>
        </is>
      </c>
      <c r="B2" s="75" t="n"/>
      <c r="C2" s="75" t="n"/>
      <c r="D2" s="75" t="n"/>
      <c r="E2" s="75" t="n"/>
      <c r="F2" s="75" t="n"/>
      <c r="G2" s="75" t="n"/>
      <c r="H2" s="75" t="n"/>
      <c r="I2" s="75" t="n"/>
      <c r="J2" s="75" t="n"/>
      <c r="K2" s="75" t="n"/>
      <c r="L2" s="75" t="n"/>
      <c r="M2" s="76" t="n"/>
    </row>
    <row r="3" ht="22" customHeight="1">
      <c r="A3" s="114" t="inlineStr">
        <is>
          <t>شماره ایراد</t>
        </is>
      </c>
      <c r="B3" s="114" t="inlineStr">
        <is>
          <t>شناسه تست</t>
        </is>
      </c>
      <c r="C3" s="114" t="inlineStr">
        <is>
          <t>تاریخ کشف</t>
        </is>
      </c>
      <c r="D3" s="114" t="inlineStr">
        <is>
          <t>شدت</t>
        </is>
      </c>
      <c r="E3" s="114" t="inlineStr">
        <is>
          <t>شرح کوتاه ایراد</t>
        </is>
      </c>
      <c r="F3" s="114" t="inlineStr">
        <is>
          <t>مراحل بازتولید</t>
        </is>
      </c>
      <c r="G3" s="114" t="inlineStr">
        <is>
          <t>انتظار</t>
        </is>
      </c>
      <c r="H3" s="114" t="inlineStr">
        <is>
          <t>واقعیت</t>
        </is>
      </c>
      <c r="I3" s="114" t="inlineStr">
        <is>
          <t>مدرک/مسیر عکس یا scope</t>
        </is>
      </c>
      <c r="J3" s="114" t="inlineStr">
        <is>
          <t>commit firmware</t>
        </is>
      </c>
      <c r="K3" s="114" t="inlineStr">
        <is>
          <t>محل احتمالی</t>
        </is>
      </c>
      <c r="L3" s="114" t="inlineStr">
        <is>
          <t>وضعیت ایراد</t>
        </is>
      </c>
      <c r="M3" s="114" t="inlineStr">
        <is>
          <t>تأیید رفع / توضیحات</t>
        </is>
      </c>
    </row>
    <row r="4" ht="16" customHeight="1">
      <c r="A4" s="119" t="inlineStr"/>
      <c r="B4" s="119" t="inlineStr"/>
      <c r="C4" s="119" t="inlineStr"/>
      <c r="D4" s="119" t="inlineStr"/>
      <c r="E4" s="119" t="inlineStr"/>
      <c r="F4" s="119" t="inlineStr"/>
      <c r="G4" s="119" t="inlineStr"/>
      <c r="H4" s="119" t="inlineStr"/>
      <c r="I4" s="119" t="inlineStr"/>
      <c r="J4" s="119" t="inlineStr"/>
      <c r="K4" s="119" t="inlineStr"/>
      <c r="L4" s="119" t="inlineStr"/>
      <c r="M4" s="119" t="inlineStr"/>
    </row>
    <row r="5" ht="16" customHeight="1">
      <c r="A5" s="120" t="inlineStr"/>
      <c r="B5" s="120" t="inlineStr"/>
      <c r="C5" s="120" t="inlineStr"/>
      <c r="D5" s="120" t="inlineStr"/>
      <c r="E5" s="120" t="inlineStr"/>
      <c r="F5" s="120" t="inlineStr"/>
      <c r="G5" s="120" t="inlineStr"/>
      <c r="H5" s="120" t="inlineStr"/>
      <c r="I5" s="120" t="inlineStr"/>
      <c r="J5" s="120" t="inlineStr"/>
      <c r="K5" s="120" t="inlineStr"/>
      <c r="L5" s="120" t="inlineStr"/>
      <c r="M5" s="120" t="inlineStr"/>
    </row>
    <row r="6" ht="16" customHeight="1">
      <c r="A6" s="119" t="inlineStr"/>
      <c r="B6" s="119" t="inlineStr"/>
      <c r="C6" s="119" t="inlineStr"/>
      <c r="D6" s="119" t="inlineStr"/>
      <c r="E6" s="119" t="inlineStr"/>
      <c r="F6" s="119" t="inlineStr"/>
      <c r="G6" s="119" t="inlineStr"/>
      <c r="H6" s="119" t="inlineStr"/>
      <c r="I6" s="119" t="inlineStr"/>
      <c r="J6" s="119" t="inlineStr"/>
      <c r="K6" s="119" t="inlineStr"/>
      <c r="L6" s="119" t="inlineStr"/>
      <c r="M6" s="119" t="inlineStr"/>
    </row>
    <row r="7" ht="16" customHeight="1">
      <c r="A7" s="120" t="inlineStr"/>
      <c r="B7" s="120" t="inlineStr"/>
      <c r="C7" s="120" t="inlineStr"/>
      <c r="D7" s="120" t="inlineStr"/>
      <c r="E7" s="120" t="inlineStr"/>
      <c r="F7" s="120" t="inlineStr"/>
      <c r="G7" s="120" t="inlineStr"/>
      <c r="H7" s="120" t="inlineStr"/>
      <c r="I7" s="120" t="inlineStr"/>
      <c r="J7" s="120" t="inlineStr"/>
      <c r="K7" s="120" t="inlineStr"/>
      <c r="L7" s="120" t="inlineStr"/>
      <c r="M7" s="120" t="inlineStr"/>
    </row>
    <row r="8" ht="16" customHeight="1">
      <c r="A8" s="119" t="inlineStr"/>
      <c r="B8" s="119" t="inlineStr"/>
      <c r="C8" s="119" t="inlineStr"/>
      <c r="D8" s="119" t="inlineStr"/>
      <c r="E8" s="119" t="inlineStr"/>
      <c r="F8" s="119" t="inlineStr"/>
      <c r="G8" s="119" t="inlineStr"/>
      <c r="H8" s="119" t="inlineStr"/>
      <c r="I8" s="119" t="inlineStr"/>
      <c r="J8" s="119" t="inlineStr"/>
      <c r="K8" s="119" t="inlineStr"/>
      <c r="L8" s="119" t="inlineStr"/>
      <c r="M8" s="119" t="inlineStr"/>
    </row>
    <row r="9" ht="16" customHeight="1">
      <c r="A9" s="120" t="inlineStr"/>
      <c r="B9" s="120" t="inlineStr"/>
      <c r="C9" s="120" t="inlineStr"/>
      <c r="D9" s="120" t="inlineStr"/>
      <c r="E9" s="120" t="inlineStr"/>
      <c r="F9" s="120" t="inlineStr"/>
      <c r="G9" s="120" t="inlineStr"/>
      <c r="H9" s="120" t="inlineStr"/>
      <c r="I9" s="120" t="inlineStr"/>
      <c r="J9" s="120" t="inlineStr"/>
      <c r="K9" s="120" t="inlineStr"/>
      <c r="L9" s="120" t="inlineStr"/>
      <c r="M9" s="120" t="inlineStr"/>
    </row>
    <row r="10" ht="16" customHeight="1">
      <c r="A10" s="119" t="inlineStr"/>
      <c r="B10" s="119" t="inlineStr"/>
      <c r="C10" s="119" t="inlineStr"/>
      <c r="D10" s="119" t="inlineStr"/>
      <c r="E10" s="119" t="inlineStr"/>
      <c r="F10" s="119" t="inlineStr"/>
      <c r="G10" s="119" t="inlineStr"/>
      <c r="H10" s="119" t="inlineStr"/>
      <c r="I10" s="119" t="inlineStr"/>
      <c r="J10" s="119" t="inlineStr"/>
      <c r="K10" s="119" t="inlineStr"/>
      <c r="L10" s="119" t="inlineStr"/>
      <c r="M10" s="119" t="inlineStr"/>
    </row>
    <row r="11" ht="16" customHeight="1">
      <c r="A11" s="120" t="inlineStr"/>
      <c r="B11" s="120" t="inlineStr"/>
      <c r="C11" s="120" t="inlineStr"/>
      <c r="D11" s="120" t="inlineStr"/>
      <c r="E11" s="120" t="inlineStr"/>
      <c r="F11" s="120" t="inlineStr"/>
      <c r="G11" s="120" t="inlineStr"/>
      <c r="H11" s="120" t="inlineStr"/>
      <c r="I11" s="120" t="inlineStr"/>
      <c r="J11" s="120" t="inlineStr"/>
      <c r="K11" s="120" t="inlineStr"/>
      <c r="L11" s="120" t="inlineStr"/>
      <c r="M11" s="120" t="inlineStr"/>
    </row>
    <row r="12" ht="16" customHeight="1">
      <c r="A12" s="119" t="inlineStr"/>
      <c r="B12" s="119" t="inlineStr"/>
      <c r="C12" s="119" t="inlineStr"/>
      <c r="D12" s="119" t="inlineStr"/>
      <c r="E12" s="119" t="inlineStr"/>
      <c r="F12" s="119" t="inlineStr"/>
      <c r="G12" s="119" t="inlineStr"/>
      <c r="H12" s="119" t="inlineStr"/>
      <c r="I12" s="119" t="inlineStr"/>
      <c r="J12" s="119" t="inlineStr"/>
      <c r="K12" s="119" t="inlineStr"/>
      <c r="L12" s="119" t="inlineStr"/>
      <c r="M12" s="119" t="inlineStr"/>
    </row>
    <row r="13" ht="16" customHeight="1">
      <c r="A13" s="120" t="inlineStr"/>
      <c r="B13" s="120" t="inlineStr"/>
      <c r="C13" s="120" t="inlineStr"/>
      <c r="D13" s="120" t="inlineStr"/>
      <c r="E13" s="120" t="inlineStr"/>
      <c r="F13" s="120" t="inlineStr"/>
      <c r="G13" s="120" t="inlineStr"/>
      <c r="H13" s="120" t="inlineStr"/>
      <c r="I13" s="120" t="inlineStr"/>
      <c r="J13" s="120" t="inlineStr"/>
      <c r="K13" s="120" t="inlineStr"/>
      <c r="L13" s="120" t="inlineStr"/>
      <c r="M13" s="120" t="inlineStr"/>
    </row>
  </sheetData>
  <mergeCells count="2">
    <mergeCell ref="A2:M2"/>
    <mergeCell ref="A1:M1"/>
  </mergeCells>
  <pageMargins left="0.75" right="0.75" top="1" bottom="1" header="0.5" footer="0.5"/>
</worksheet>
</file>

<file path=xl/worksheets/sheet7.xml><?xml version="1.0" encoding="utf-8"?>
<worksheet xmlns="http://schemas.openxmlformats.org/spreadsheetml/2006/main">
  <sheetPr>
    <tabColor rgb="00548235"/>
    <outlinePr summaryBelow="1" summaryRight="1"/>
    <pageSetUpPr fitToPage="1"/>
  </sheetPr>
  <dimension ref="A1:F20"/>
  <sheetViews>
    <sheetView rightToLeft="1" workbookViewId="0">
      <selection activeCell="A1" sqref="A1"/>
    </sheetView>
  </sheetViews>
  <sheetFormatPr baseColWidth="8" defaultRowHeight="15"/>
  <cols>
    <col width="18" customWidth="1" min="1" max="1"/>
    <col width="22" customWidth="1" min="2" max="2"/>
    <col width="18" customWidth="1" min="3" max="3"/>
    <col width="22" customWidth="1" min="4" max="4"/>
    <col width="18" customWidth="1" min="5" max="5"/>
    <col width="22" customWidth="1" min="6" max="6"/>
  </cols>
  <sheetData>
    <row r="1" ht="20" customHeight="1">
      <c r="A1" s="83" t="inlineStr">
        <is>
          <t>تأیید نهایی اعتبارسنجی — McuPowerPath — Q1=PB5 هیسترزیس</t>
        </is>
      </c>
    </row>
    <row r="2">
      <c r="A2" s="121" t="inlineStr">
        <is>
          <t>این صفحه فقط پس از تکمیل تست‌ها و بستن ایرادهای بحرانی/بالا پر شود. DOC/State.xlsx و Changeover بدون تغییر می‌مانند.</t>
        </is>
      </c>
    </row>
    <row r="3" ht="18" customHeight="1">
      <c r="A3" s="114" t="inlineStr">
        <is>
          <t>مشخصات تست</t>
        </is>
      </c>
      <c r="B3" s="29" t="n"/>
      <c r="C3" s="29" t="n"/>
      <c r="D3" s="29" t="n"/>
      <c r="E3" s="29" t="n"/>
      <c r="F3" s="30" t="n"/>
    </row>
    <row r="4" ht="16" customHeight="1">
      <c r="A4" s="122" t="inlineStr">
        <is>
          <t>پروژه</t>
        </is>
      </c>
      <c r="B4" s="117" t="inlineStr">
        <is>
          <t>ChangeOver</t>
        </is>
      </c>
      <c r="C4" s="84" t="n"/>
      <c r="D4" s="122" t="inlineStr">
        <is>
          <t>ماژول</t>
        </is>
      </c>
      <c r="E4" s="117" t="inlineStr">
        <is>
          <t>McuPowerPath — Q1=PB5 pin41</t>
        </is>
      </c>
      <c r="F4" s="84" t="n"/>
    </row>
    <row r="5" ht="16" customHeight="1">
      <c r="A5" s="122" t="inlineStr">
        <is>
          <t>تاریخ ساخت فرم</t>
        </is>
      </c>
      <c r="B5" s="117" t="inlineStr">
        <is>
          <t>2026-09-17 (2.0 — هیسترزیس 500mV)</t>
        </is>
      </c>
      <c r="C5" s="84" t="n"/>
      <c r="D5" s="122" t="inlineStr">
        <is>
          <t>نسخه فرم</t>
        </is>
      </c>
      <c r="E5" s="117" t="inlineStr">
        <is>
          <t>2.0 — 22000/21500/500 + 5000ms</t>
        </is>
      </c>
      <c r="F5" s="84" t="n"/>
    </row>
    <row r="6" ht="16" customHeight="1">
      <c r="A6" s="122" t="inlineStr">
        <is>
          <t>commit firmware</t>
        </is>
      </c>
      <c r="B6" s="117" t="inlineStr">
        <is>
          <t>TESTER: fill flashed firmware commit</t>
        </is>
      </c>
      <c r="C6" s="84" t="n"/>
      <c r="D6" s="122" t="inlineStr">
        <is>
          <t>شناسه برد</t>
        </is>
      </c>
      <c r="E6" s="117" t="inlineStr"/>
      <c r="F6" s="84" t="n"/>
    </row>
    <row r="7" ht="16" customHeight="1">
      <c r="A7" s="122" t="inlineStr">
        <is>
          <t>تست‌کننده اصلی</t>
        </is>
      </c>
      <c r="B7" s="117" t="inlineStr"/>
      <c r="C7" s="84" t="n"/>
      <c r="D7" s="122" t="inlineStr">
        <is>
          <t>تاریخ شروع</t>
        </is>
      </c>
      <c r="E7" s="117" t="inlineStr"/>
      <c r="F7" s="84" t="n"/>
    </row>
    <row r="8" ht="16" customHeight="1">
      <c r="A8" s="122" t="inlineStr">
        <is>
          <t>تاریخ پایان</t>
        </is>
      </c>
      <c r="B8" s="117" t="inlineStr"/>
      <c r="C8" s="84" t="n"/>
      <c r="D8" s="122" t="inlineStr">
        <is>
          <t>ابزار اندازه‌گیری</t>
        </is>
      </c>
      <c r="E8" s="117" t="inlineStr">
        <is>
          <t>شبیه‌سازی host + DMM + اسکوپ</t>
        </is>
      </c>
      <c r="F8" s="84" t="n"/>
    </row>
    <row r="9" ht="16" customHeight="1">
      <c r="A9" s="122" t="inlineStr">
        <is>
          <t>فرکانس تیک</t>
        </is>
      </c>
      <c r="B9" s="117" t="inlineStr">
        <is>
          <t>از osKernelGetTickFreq (قابل‌حمل)</t>
        </is>
      </c>
      <c r="C9" s="84" t="n"/>
      <c r="D9" s="122" t="inlineStr">
        <is>
          <t>دوره کنترل</t>
        </is>
      </c>
      <c r="E9" s="117" t="inlineStr">
        <is>
          <t>APP_CONFIG.control_period_ms ≈10ms</t>
        </is>
      </c>
      <c r="F9" s="84" t="n"/>
    </row>
    <row r="10" ht="16" customHeight="1">
      <c r="A10" s="122" t="inlineStr">
        <is>
          <t>آستانه‌ها</t>
        </is>
      </c>
      <c r="B10" s="117" t="inlineStr">
        <is>
          <t>QUALIFY 22000 / RECONNECT 21500 / HYSTERESIS 500</t>
        </is>
      </c>
      <c r="C10" s="84" t="n"/>
      <c r="D10" s="122" t="inlineStr">
        <is>
          <t>فیلتر</t>
        </is>
      </c>
      <c r="E10" s="118" t="inlineStr">
        <is>
          <t>STABLE 5000ms via rtos_time.h</t>
        </is>
      </c>
      <c r="F10" s="84" t="n"/>
    </row>
    <row r="11" ht="16" customHeight="1">
      <c r="A11" s="122" t="inlineStr"/>
      <c r="B11" s="117" t="inlineStr"/>
      <c r="C11" s="84" t="n"/>
      <c r="D11" s="122" t="inlineStr"/>
      <c r="E11" s="117" t="inlineStr"/>
      <c r="F11" s="84" t="n"/>
    </row>
    <row r="12" ht="18" customHeight="1">
      <c r="A12" s="114" t="inlineStr">
        <is>
          <t>خلاصهٔ خودکار وضعیت تست‌ها</t>
        </is>
      </c>
      <c r="B12" s="29" t="n"/>
      <c r="C12" s="29" t="n"/>
      <c r="D12" s="29" t="n"/>
      <c r="E12" s="29" t="n"/>
      <c r="F12" s="30" t="n"/>
    </row>
    <row r="13" ht="16" customHeight="1">
      <c r="A13" s="122" t="inlineStr">
        <is>
          <t>شاخص</t>
        </is>
      </c>
      <c r="B13" s="117" t="inlineStr">
        <is>
          <t>مقدار</t>
        </is>
      </c>
      <c r="C13" s="84" t="n"/>
      <c r="D13" s="122" t="inlineStr">
        <is>
          <t>توضیح</t>
        </is>
      </c>
      <c r="E13" s="117" t="inlineStr"/>
      <c r="F13" s="84" t="n"/>
    </row>
    <row r="14" ht="16" customHeight="1">
      <c r="A14" s="122" t="inlineStr">
        <is>
          <t>کل تست‌ها</t>
        </is>
      </c>
      <c r="B14" s="117" t="inlineStr">
        <is>
          <t>17</t>
        </is>
      </c>
      <c r="C14" s="84" t="n"/>
      <c r="D14" s="123" t="inlineStr">
        <is>
          <t>از MP-001 تا MP-017</t>
        </is>
      </c>
      <c r="E14" s="117" t="inlineStr"/>
      <c r="F14" s="84" t="n"/>
    </row>
    <row r="15" ht="16" customHeight="1">
      <c r="A15" s="122" t="inlineStr">
        <is>
          <t>قبول</t>
        </is>
      </c>
      <c r="B15" s="117" t="inlineStr">
        <is>
          <t>0</t>
        </is>
      </c>
      <c r="C15" s="84" t="n"/>
      <c r="D15" s="122" t="inlineStr">
        <is>
          <t>COUNTIF برنامه تست!L:L="قبول"</t>
        </is>
      </c>
      <c r="E15" s="117" t="inlineStr"/>
      <c r="F15" s="84" t="n"/>
    </row>
    <row r="16" ht="16" customHeight="1">
      <c r="A16" s="122" t="inlineStr">
        <is>
          <t>رد</t>
        </is>
      </c>
      <c r="B16" s="117" t="inlineStr">
        <is>
          <t>0</t>
        </is>
      </c>
      <c r="C16" s="84" t="n"/>
      <c r="D16" s="122" t="inlineStr">
        <is>
          <t>COUNTIF رد</t>
        </is>
      </c>
      <c r="E16" s="117" t="inlineStr"/>
      <c r="F16" s="84" t="n"/>
    </row>
    <row r="17" ht="16" customHeight="1">
      <c r="A17" s="122" t="inlineStr">
        <is>
          <t>در انتظار</t>
        </is>
      </c>
      <c r="B17" s="117" t="inlineStr">
        <is>
          <t>17</t>
        </is>
      </c>
      <c r="C17" s="84" t="n"/>
      <c r="D17" s="122" t="inlineStr">
        <is>
          <t>پیش از تست برد</t>
        </is>
      </c>
      <c r="E17" s="117" t="inlineStr"/>
      <c r="F17" s="84" t="n"/>
    </row>
    <row r="18" ht="16" customHeight="1">
      <c r="A18" s="122" t="inlineStr">
        <is>
          <t>نرخ قبولی</t>
        </is>
      </c>
      <c r="B18" s="117" t="inlineStr">
        <is>
          <t>0%</t>
        </is>
      </c>
      <c r="C18" s="84" t="n"/>
      <c r="D18" s="122" t="inlineStr">
        <is>
          <t>قبول/کل</t>
        </is>
      </c>
      <c r="E18" s="117" t="inlineStr"/>
      <c r="F18" s="84" t="n"/>
    </row>
    <row r="19">
      <c r="A19" s="84" t="n"/>
      <c r="B19" s="84" t="n"/>
      <c r="C19" s="84" t="n"/>
      <c r="D19" s="84" t="n"/>
      <c r="E19" s="84" t="n"/>
      <c r="F19" s="84" t="n"/>
    </row>
    <row r="20" ht="20" customHeight="1">
      <c r="A20" s="124" t="inlineStr">
        <is>
          <t>امضا و تأیید: تست‌کننده ________________  سرپرست فنی ________________  تاریخ ________________</t>
        </is>
      </c>
    </row>
  </sheetData>
  <mergeCells count="5">
    <mergeCell ref="A2:F2"/>
    <mergeCell ref="A1:F1"/>
    <mergeCell ref="A12:F12"/>
    <mergeCell ref="A3:F3"/>
    <mergeCell ref="A20:F20"/>
  </mergeCells>
  <hyperlinks>
    <hyperlink xmlns:r="http://schemas.openxmlformats.org/officeDocument/2006/relationships" ref="A2" r:id="rId1"/>
    <hyperlink xmlns:r="http://schemas.openxmlformats.org/officeDocument/2006/relationships" ref="E10" r:id="rId2"/>
    <hyperlink ref="D14" location="'تست‌های برنامه‌نویسی'!A5"/>
  </hyperlinks>
  <pageMargins left="0.75" right="0.75" top="1" bottom="1" header="0.5" footer="0.5"/>
  <pageSetup orientation="portrait"/>
</worksheet>
</file>

<file path=xl/worksheets/sheet8.xml><?xml version="1.0" encoding="utf-8"?>
<worksheet xmlns="http://schemas.openxmlformats.org/spreadsheetml/2006/main">
  <sheetPr>
    <tabColor rgb="00808080"/>
    <outlinePr summaryBelow="1" summaryRight="1"/>
    <pageSetUpPr fitToPage="1"/>
  </sheetPr>
  <dimension ref="A1:C17"/>
  <sheetViews>
    <sheetView rightToLeft="1" workbookViewId="0">
      <selection activeCell="A1" sqref="A1"/>
    </sheetView>
  </sheetViews>
  <sheetFormatPr baseColWidth="8" defaultRowHeight="15"/>
  <cols>
    <col width="16" customWidth="1" min="1" max="1"/>
  </cols>
  <sheetData>
    <row r="1">
      <c r="A1" s="125" t="inlineStr">
        <is>
          <t>وضعیت</t>
        </is>
      </c>
      <c r="B1" s="84" t="n"/>
      <c r="C1" s="84" t="n"/>
    </row>
    <row r="2">
      <c r="A2" s="126" t="inlineStr">
        <is>
          <t>در انتظار</t>
        </is>
      </c>
      <c r="B2" s="84" t="n"/>
      <c r="C2" s="127" t="inlineStr">
        <is>
          <t>لیست‌ها برای DataValidation برنامه تست استفاده شود</t>
        </is>
      </c>
    </row>
    <row r="3">
      <c r="A3" s="128" t="inlineStr">
        <is>
          <t>انجام شد</t>
        </is>
      </c>
      <c r="B3" s="84" t="n"/>
      <c r="C3" s="84" t="n"/>
    </row>
    <row r="4">
      <c r="A4" s="129" t="inlineStr">
        <is>
          <t>قبول</t>
        </is>
      </c>
      <c r="B4" s="84" t="n"/>
      <c r="C4" s="84" t="n"/>
    </row>
    <row r="5">
      <c r="A5" s="130" t="inlineStr">
        <is>
          <t>رد</t>
        </is>
      </c>
      <c r="B5" s="84" t="n"/>
      <c r="C5" s="84" t="n"/>
    </row>
    <row r="6">
      <c r="A6" s="130" t="inlineStr">
        <is>
          <t>مسدود</t>
        </is>
      </c>
      <c r="B6" s="84" t="n"/>
      <c r="C6" s="84" t="n"/>
    </row>
    <row r="7">
      <c r="A7" s="84" t="inlineStr">
        <is>
          <t>نیاز به تکرار</t>
        </is>
      </c>
      <c r="B7" s="84" t="n"/>
      <c r="C7" s="84" t="n"/>
    </row>
    <row r="8">
      <c r="A8" s="125" t="inlineStr">
        <is>
          <t>اولویت</t>
        </is>
      </c>
      <c r="B8" s="84" t="n"/>
      <c r="C8" s="84" t="n"/>
    </row>
    <row r="9">
      <c r="A9" s="130" t="inlineStr">
        <is>
          <t>بالا</t>
        </is>
      </c>
      <c r="B9" s="84" t="n"/>
      <c r="C9" s="84" t="n"/>
    </row>
    <row r="10">
      <c r="A10" s="130" t="inlineStr">
        <is>
          <t>متوسط</t>
        </is>
      </c>
      <c r="B10" s="84" t="n"/>
      <c r="C10" s="84" t="n"/>
    </row>
    <row r="11">
      <c r="A11" s="130" t="inlineStr">
        <is>
          <t>پایین</t>
        </is>
      </c>
      <c r="B11" s="84" t="n"/>
      <c r="C11" s="84" t="n"/>
    </row>
    <row r="12">
      <c r="A12" s="84" t="n"/>
      <c r="B12" s="84" t="n"/>
      <c r="C12" s="84" t="n"/>
    </row>
    <row r="13">
      <c r="A13" s="125" t="inlineStr">
        <is>
          <t>شدت</t>
        </is>
      </c>
      <c r="B13" s="84" t="n"/>
      <c r="C13" s="84" t="n"/>
    </row>
    <row r="14">
      <c r="A14" s="130" t="inlineStr">
        <is>
          <t>بحرانی</t>
        </is>
      </c>
      <c r="B14" s="84" t="n"/>
      <c r="C14" s="84" t="n"/>
    </row>
    <row r="15">
      <c r="A15" s="130" t="inlineStr">
        <is>
          <t>بالا</t>
        </is>
      </c>
      <c r="B15" s="84" t="n"/>
      <c r="C15" s="84" t="n"/>
    </row>
    <row r="16">
      <c r="A16" s="130" t="inlineStr">
        <is>
          <t>متوسط</t>
        </is>
      </c>
      <c r="B16" s="84" t="n"/>
      <c r="C16" s="84" t="n"/>
    </row>
    <row r="17">
      <c r="A17" s="130" t="inlineStr">
        <is>
          <t>پایین</t>
        </is>
      </c>
      <c r="B17" s="84" t="n"/>
      <c r="C17" s="84" t="n"/>
    </row>
  </sheetData>
  <pageMargins left="0.75" right="0.75" top="1" bottom="1" header="0.5" footer="0.5"/>
</worksheet>
</file>

<file path=xl/worksheets/sheet9.xml><?xml version="1.0" encoding="utf-8"?>
<worksheet xmlns="http://schemas.openxmlformats.org/spreadsheetml/2006/main">
  <sheetPr>
    <tabColor rgb="007030A0"/>
    <outlinePr summaryBelow="1" summaryRight="1"/>
    <pageSetUpPr/>
  </sheetPr>
  <dimension ref="A1:C6"/>
  <sheetViews>
    <sheetView rightToLeft="1" workbookViewId="0">
      <selection activeCell="A1" sqref="A1"/>
    </sheetView>
  </sheetViews>
  <sheetFormatPr baseColWidth="8" defaultRowHeight="15"/>
  <cols>
    <col width="34" customWidth="1" min="1" max="1"/>
    <col width="78" customWidth="1" min="2" max="2"/>
  </cols>
  <sheetData>
    <row r="1" ht="30" customHeight="1">
      <c r="A1" s="31" t="inlineStr">
        <is>
          <t>ماشین حالت ماژول مسیر تغذیهٔ میکرو (McuPowerPath)</t>
        </is>
      </c>
    </row>
    <row r="2">
      <c r="A2" s="84" t="n"/>
      <c r="B2" s="84" t="n"/>
      <c r="C2" s="84" t="n"/>
    </row>
    <row r="3" ht="24" customHeight="1">
      <c r="A3" s="32" t="inlineStr">
        <is>
          <t>حالت‌ها و گذارهای همین ماژول</t>
        </is>
      </c>
      <c r="B3" s="33" t="inlineStr">
        <is>
          <t>McuPowerPath_State_Machine.xlsx</t>
        </is>
      </c>
      <c r="C3" s="84" t="n"/>
    </row>
    <row r="4" ht="24" customHeight="1">
      <c r="A4" s="32" t="inlineStr">
        <is>
          <t>ماشین حالت کل برنامه (نمای سیستمی)</t>
        </is>
      </c>
      <c r="B4" s="33" t="inlineStr">
        <is>
          <t>../../../Documentation/System_State_Machine.xlsx</t>
        </is>
      </c>
      <c r="C4" s="84" t="n"/>
    </row>
    <row r="5" ht="24" customHeight="1">
      <c r="A5" s="32" t="inlineStr">
        <is>
          <t>راهنمای رنگ‌ها</t>
        </is>
      </c>
      <c r="B5" s="34" t="inlineStr">
        <is>
          <t>سبز = عادی/سالم · زرد = هشدار یا انتظار · قرمز = خطا یا قفل · نارنجی = در حال کار · خاکستری = بی‌کار · آبی = اطلاعاتی</t>
        </is>
      </c>
      <c r="C5" s="84" t="n"/>
    </row>
    <row r="6" ht="24" customHeight="1">
      <c r="A6" s="32" t="inlineStr">
        <is>
          <t>بازتولید</t>
        </is>
      </c>
      <c r="B6" s="33" t="inlineStr">
        <is>
          <t>python3 tools/make_module_state_machines.py</t>
        </is>
      </c>
      <c r="C6" s="84" t="n"/>
    </row>
  </sheetData>
  <mergeCells count="1">
    <mergeCell ref="A1:C1"/>
  </mergeCells>
  <hyperlinks>
    <hyperlink xmlns:r="http://schemas.openxmlformats.org/officeDocument/2006/relationships" ref="B3" r:id="rId1"/>
    <hyperlink xmlns:r="http://schemas.openxmlformats.org/officeDocument/2006/relationships" ref="B4" r:id="rId2"/>
    <hyperlink xmlns:r="http://schemas.openxmlformats.org/officeDocument/2006/relationships" ref="B6"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2026-09-17T07:13:49Z</dcterms:created>
  <dcterms:modified xsi:type="dcterms:W3CDTF">2026-10-17T12:01:49Z</dcterms:modified>
</cp:coreProperties>
</file>