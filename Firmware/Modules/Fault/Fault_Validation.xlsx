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آزمایشگاهی" sheetId="9" state="visible" r:id="rId9"/>
  </sheets>
  <definedNames>
    <definedName name="_xlnm._FilterDatabase" localSheetId="1" hidden="1">'برنامه تست'!$A$4:$Q$54</definedName>
    <definedName name="_xlnm.Print_Titles" localSheetId="1">'برنامه تست'!$4:$4</definedName>
    <definedName name="_xlnm._FilterDatabase" localSheetId="2" hidden="1">'تست‌های برنامه‌نویسی'!$A$4:$Q$5</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79">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4"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5" fillId="8"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fault.c" TargetMode="External" Id="rId1" /><Relationship Type="http://schemas.openxmlformats.org/officeDocument/2006/relationships/hyperlink" Target="../../Config/Inc/app_types.h" TargetMode="External" Id="rId2" /></Relationships>
</file>

<file path=xl/worksheets/_rels/sheet8.xml.rels><Relationships xmlns="http://schemas.openxmlformats.org/package/2006/relationships"><Relationship Type="http://schemas.openxmlformats.org/officeDocument/2006/relationships/hyperlink" Target="Fault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6" t="inlineStr">
        <is>
          <t>برگه تست و اعتبارسنجی عملی ماژول Fault</t>
        </is>
      </c>
    </row>
    <row r="2">
      <c r="A2" s="47" t="inlineStr">
        <is>
          <t>Fault | این ماژول قطع باتری را در یک جا تشخیص می‌دهد: خطای شمارهٔ ۶ (بیت ۶، FAULT_CHARGER_BAT_LOST).
ماسک خطا اینجا نگه داشته می‌شود و قفل می‌ماند تا پاک شود.</t>
        </is>
      </c>
    </row>
    <row r="3" ht="30" customHeight="1">
      <c r="A3" s="48" t="inlineStr">
        <is>
          <t>هدف فایل</t>
        </is>
      </c>
    </row>
    <row r="4">
      <c r="A4" s="47" t="inlineStr"/>
    </row>
    <row r="5">
      <c r="A5" s="47" t="inlineStr">
        <is>
          <t>دو قاعده برای تشخیص قطع باتری:
قاعدهٔ اول: هنگام شارژ فعال، ولتاژ پمپ از 14.8 ولت بالاتر برود و 150 میلی‌ثانیه بماند.
قاعدهٔ دوم: ولتاژ یکی از نیم‌باتری‌ها زیر 6 ولت باشد، ورودی سالم باشد و این وضع 1 ثانیه بماند.
بازیابی: هر دو نیم‌باتری دست‌کم 7 ولت باشند، پمپی در کار نباشد و این وضع 1 ثانیه بماند.</t>
        </is>
      </c>
    </row>
    <row r="6">
      <c r="A6" s="47" t="inlineStr">
        <is>
          <t>شارژر و UI فقط این پرچم را می‌خوانند؛ خودشان تشخیص نمی‌دهند.
در مود تست دستی شارژر، این تشخیص کاملاً متوقف است و شمارنده‌های صبر (دبانس) صفر می‌مانند.</t>
        </is>
      </c>
    </row>
    <row r="7">
      <c r="A7" s="47" t="inlineStr">
        <is>
          <t>بدون دادهٔ معتبر، هیچ خطایی نه ثبت می‌شود و نه پاک می‌شود.</t>
        </is>
      </c>
    </row>
    <row r="8">
      <c r="A8" s="47" t="inlineStr"/>
    </row>
    <row r="9">
      <c r="A9" s="47" t="inlineStr">
        <is>
          <t>هشدار: تست قطع باتری هنگام شارژ را با جریان محدود و زیر نظر انجام بده.
ولتاژ گره پمپ‌شده می‌تواند از 15 ولت بالاتر برود.</t>
        </is>
      </c>
    </row>
    <row r="10"/>
    <row r="11">
      <c r="A11" s="76"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برنامهٔ تست عملی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می‌ماند یا پاک می‌شود</t>
        </is>
      </c>
      <c r="J4" s="48" t="inlineStr">
        <is>
          <t>چه چیزی باید ببینید تا بگویید درست است</t>
        </is>
      </c>
      <c r="K4" s="48" t="inlineStr">
        <is>
          <t>نتیجهٔ واقعی / اندازه‌گیری</t>
        </is>
      </c>
      <c r="L4" s="48" t="inlineStr">
        <is>
          <t>وضعیت</t>
        </is>
      </c>
      <c r="M4" s="48" t="inlineStr">
        <is>
          <t>شرح ایراد / تفاوت</t>
        </is>
      </c>
      <c r="N4" s="48" t="inlineStr">
        <is>
          <t>مدرک تست</t>
        </is>
      </c>
      <c r="O4" s="48" t="inlineStr">
        <is>
          <t>نسخهٔ برنامه</t>
        </is>
      </c>
      <c r="P4" s="48" t="inlineStr">
        <is>
          <t>نام تست‌کننده</t>
        </is>
      </c>
      <c r="Q4" s="48" t="inlineStr">
        <is>
          <t>تاریخ</t>
        </is>
      </c>
    </row>
    <row r="5" ht="54" customHeight="1">
      <c r="A5" s="51" t="inlineStr">
        <is>
          <t>FL-001</t>
        </is>
      </c>
      <c r="B5" s="52" t="inlineStr">
        <is>
          <t>قاعدهٔ پمپ</t>
        </is>
      </c>
      <c r="C5" s="53" t="inlineStr">
        <is>
          <t>بالا</t>
        </is>
      </c>
      <c r="D5" s="52" t="inlineStr">
        <is>
          <t>دستگاه با برق شهر روشن است و باتری واقعی در حال شارژ است (چراغ زرد چشمک می‌زند)</t>
        </is>
      </c>
      <c r="E5" s="52" t="inlineStr">
        <is>
          <t>گام ۱: هنگام شارژ، سیم یکی از باتری‌ها را از ترمینال جدا کن.
گام ۲: چند ثانیه صبر کن و چراغ‌ها را ببین. قرمز باید تندتند چشمک بزند و سبز ثابت بماند. هر چند ثانیه سه بوق بیاید.
گام ۳: در پنل نگاه کن که خطای شمارهٔ ۶ ثبت شده و جریان شارژ صفر شده است.</t>
        </is>
      </c>
      <c r="F5" s="54" t="inlineStr">
        <is>
          <t>کشیدن سیم باتری حین شارژ</t>
        </is>
      </c>
      <c r="G5" s="54" t="inlineStr">
        <is>
          <t>کمتر از یک دقیقه</t>
        </is>
      </c>
      <c r="H5" s="52" t="inlineStr">
        <is>
          <t>خطای ۶ (قطع باتری) می‌آید: قرمز چشمک‌تند، سبز ثابت، سه بوق دوره‌ای و شارژ کاملاً متوقف</t>
        </is>
      </c>
      <c r="I5" s="52" t="inlineStr">
        <is>
          <t>می‌ماند تا باتری برگردد</t>
        </is>
      </c>
      <c r="J5" s="52" t="inlineStr">
        <is>
          <t>باید ببینید: ظرف چند ثانیه خطای قطع باتری می‌آید؛ قرمز تند چشمک می‌زند، سبز ثابت است، سه بوق دوره‌ای می‌آید و شارژ کاملاً می‌ایستد. اگر خطا نیامد یا شارژ ادامه داشت، قبول نیست.</t>
        </is>
      </c>
      <c r="K5" s="52" t="n"/>
      <c r="L5" s="55" t="inlineStr">
        <is>
          <t>در انتظار</t>
        </is>
      </c>
      <c r="M5" s="52" t="n"/>
      <c r="N5" s="52" t="n"/>
      <c r="O5" s="54" t="inlineStr">
        <is>
          <t>(بعد از تست پر شود)</t>
        </is>
      </c>
      <c r="P5" s="54" t="n"/>
      <c r="Q5" s="56">
        <f>IF(OR(L5="",L5="در انتظار"),"",IF(Q5="",TODAY(),Q5))</f>
        <v/>
      </c>
    </row>
    <row r="6" ht="54" customHeight="1">
      <c r="A6" s="51" t="inlineStr">
        <is>
          <t>FL-002</t>
        </is>
      </c>
      <c r="B6" s="57" t="inlineStr">
        <is>
          <t>قاعدهٔ غیبت</t>
        </is>
      </c>
      <c r="C6" s="58" t="inlineStr">
        <is>
          <t>بالا</t>
        </is>
      </c>
      <c r="D6" s="57" t="inlineStr">
        <is>
          <t>باتری را اصلاً وصل نکرده‌ای؛ فقط برق شهر آماده است</t>
        </is>
      </c>
      <c r="E6" s="57" t="inlineStr">
        <is>
          <t>گام ۱: بدون باتری، برق شهر را به دستگاه وصل کن.
گام ۲: چند ثانیه صبر کن.
گام ۳: چراغ‌ها و پنل را چک کن.</t>
        </is>
      </c>
      <c r="F6" s="59" t="inlineStr">
        <is>
          <t>روشن‌کردن دستگاه بدون باتری با برق شهر</t>
        </is>
      </c>
      <c r="G6" s="59" t="inlineStr">
        <is>
          <t>کمتر از یک دقیقه</t>
        </is>
      </c>
      <c r="H6" s="57" t="inlineStr">
        <is>
          <t>خطای ۶ می‌آید (قرمز چشمک‌تند و سه بوق) و شارژ هیچ‌وقت شروع نمی‌شود</t>
        </is>
      </c>
      <c r="I6" s="57" t="inlineStr">
        <is>
          <t>می‌ماند تا باتری وصل شود</t>
        </is>
      </c>
      <c r="J6" s="57" t="inlineStr">
        <is>
          <t>باید ببینید: بدون باتری خطای قطع باتری می‌آید و شارژ هیچ‌وقت شروع نمی‌شود. اگر شارژ بی‌باتری شروع شد، قبول نیست.</t>
        </is>
      </c>
      <c r="K6" s="57" t="n"/>
      <c r="L6" s="55" t="inlineStr">
        <is>
          <t>در انتظار</t>
        </is>
      </c>
      <c r="M6" s="57" t="n"/>
      <c r="N6" s="57" t="n"/>
      <c r="O6" s="59" t="inlineStr">
        <is>
          <t>(بعد از تست پر شود)</t>
        </is>
      </c>
      <c r="P6" s="59" t="n"/>
      <c r="Q6" s="60">
        <f>IF(OR(L6="",L6="در انتظار"),"",IF(Q6="",TODAY(),Q6))</f>
        <v/>
      </c>
    </row>
    <row r="7" ht="54" customHeight="1">
      <c r="A7" s="51" t="inlineStr">
        <is>
          <t>FL-003</t>
        </is>
      </c>
      <c r="B7" s="52" t="inlineStr">
        <is>
          <t>بازیابی</t>
        </is>
      </c>
      <c r="C7" s="53" t="inlineStr">
        <is>
          <t>متوسط</t>
        </is>
      </c>
      <c r="D7" s="61" t="inlineStr">
        <is>
          <t>از FL-001 ادامه بده؛ خطای ۶ فعال است و سیم باتری جداست</t>
        </is>
      </c>
      <c r="E7" s="52" t="inlineStr">
        <is>
          <t>گام ۱: سیم باتری را سر جایش وصل کن.
گام ۲: چند ثانیه صبر کن: چشمک قرمز و بوق باید قطع شود.
گام ۳: کمی بیشتر صبر کن؛ شارژ باید بعد از یک مکث کوتاه آرام از سر گرفته شود.</t>
        </is>
      </c>
      <c r="F7" s="54" t="inlineStr">
        <is>
          <t>وصل دوبارهٔ باتری</t>
        </is>
      </c>
      <c r="G7" s="54" t="inlineStr">
        <is>
          <t>یک دقیقه</t>
        </is>
      </c>
      <c r="H7" s="52" t="inlineStr">
        <is>
          <t>خطای ۶ خودش پاک می‌شود و شارژ بدون پرش و ناگهانی برگشتن، عادی شروع می‌شود</t>
        </is>
      </c>
      <c r="I7" s="52" t="inlineStr">
        <is>
          <t>پاک‌شدن خودکار با برگشت باتری</t>
        </is>
      </c>
      <c r="J7" s="52" t="inlineStr">
        <is>
          <t>باید ببینید: با برگشت باتری خطا خودش پاک می‌شود و شارژ آرام و عادی شروع می‌شود. اگر خطا ماند یا شارژ خشن شروع شد، قبول نیست.</t>
        </is>
      </c>
      <c r="K7" s="52" t="n"/>
      <c r="L7" s="55" t="inlineStr">
        <is>
          <t>در انتظار</t>
        </is>
      </c>
      <c r="M7" s="52" t="n"/>
      <c r="N7" s="52" t="n"/>
      <c r="O7" s="54" t="inlineStr">
        <is>
          <t>(بعد از تست پر شود)</t>
        </is>
      </c>
      <c r="P7" s="54" t="n"/>
      <c r="Q7" s="56">
        <f>IF(OR(L7="",L7="در انتظار"),"",IF(Q7="",TODAY(),Q7))</f>
        <v/>
      </c>
    </row>
    <row r="8" ht="40.5" customHeight="1">
      <c r="A8" s="51" t="inlineStr">
        <is>
          <t>FL-005</t>
        </is>
      </c>
      <c r="B8" s="52" t="inlineStr">
        <is>
          <t>آینه در شارژر</t>
        </is>
      </c>
      <c r="C8" s="53" t="inlineStr">
        <is>
          <t>متوسط</t>
        </is>
      </c>
      <c r="D8" s="61" t="inlineStr">
        <is>
          <t>خطای ۶ را مثل FL-001 ساخته‌ای و فعال است</t>
        </is>
      </c>
      <c r="E8" s="52" t="inlineStr">
        <is>
          <t>گام ۱: یک آمپرمتر دستی سریِ مسیر شارژ بگذار یا جریان شارژ پنل را نگاه کن.
گام ۲: تا وقتی خطا هست جریان را زیر نظر بگیر.
گام ۳: باتری را وصل کن و ببین شارژ کی برمی‌گردد.</t>
        </is>
      </c>
      <c r="F8" s="54" t="inlineStr">
        <is>
          <t>نگه‌داشتن خطای ۶ و بعد وصل باتری</t>
        </is>
      </c>
      <c r="G8" s="54" t="inlineStr">
        <is>
          <t>دو دقیقه</t>
        </is>
      </c>
      <c r="H8" s="52" t="inlineStr">
        <is>
          <t>تا وقتی خطای ۶ هست جریان شارژ صفر می‌ماند؛ شارژر بیکار است و فقط با برگشت باتری دوباره راه می‌افتد</t>
        </is>
      </c>
      <c r="I8" s="52" t="inlineStr">
        <is>
          <t>توقف کامل تا بازیابی</t>
        </is>
      </c>
      <c r="J8" s="52" t="inlineStr">
        <is>
          <t>باید ببینید: تا وقتی خطا هست جریان شارژ در پنل صفر می‌ماند و فقط با برگشت باتری شارژ راه می‌افتد. اگر حین خطا جریان شارژ دیدید، قبول نیست.</t>
        </is>
      </c>
      <c r="K8" s="52" t="n"/>
      <c r="L8" s="55" t="inlineStr">
        <is>
          <t>در انتظار</t>
        </is>
      </c>
      <c r="M8" s="52" t="n"/>
      <c r="N8" s="52" t="n"/>
      <c r="O8" s="54" t="inlineStr">
        <is>
          <t>(بعد از تست پر شود)</t>
        </is>
      </c>
      <c r="P8" s="54" t="n"/>
      <c r="Q8" s="56">
        <f>IF(OR(L8="",L8="در انتظار"),"",IF(Q8="",TODAY(),Q8))</f>
        <v/>
      </c>
    </row>
    <row r="9" ht="40.5" customHeight="1">
      <c r="A9" s="51" t="inlineStr">
        <is>
          <t>FL-007</t>
        </is>
      </c>
      <c r="B9" s="52" t="inlineStr">
        <is>
          <t>فریز در مود دستی</t>
        </is>
      </c>
      <c r="C9" s="53" t="inlineStr">
        <is>
          <t>متوسط</t>
        </is>
      </c>
      <c r="D9" s="52" t="inlineStr">
        <is>
          <t>دستگاه روشن و از پنل، مود تست دستی شارژر را می‌توانی روشن کنی</t>
        </is>
      </c>
      <c r="E9" s="52" t="inlineStr">
        <is>
          <t>گام ۱: از پنل مود تست دستی شارژر را فعال کن.
گام ۲: در همین مود سیم باتری را بکش و چند ثانیه صبر کن.
گام ۳: باتری را وصل کن.</t>
        </is>
      </c>
      <c r="F9" s="54" t="inlineStr">
        <is>
          <t>قطع و وصل باتری داخل مود دستی</t>
        </is>
      </c>
      <c r="G9" s="54" t="inlineStr">
        <is>
          <t>یک دقیقه</t>
        </is>
      </c>
      <c r="H9" s="52" t="inlineStr">
        <is>
          <t>در مود دستی خطای ۶ ساخته نمی‌شود و چراغ قرمز قطع باتری نمی‌آید</t>
        </is>
      </c>
      <c r="I9" s="52" t="inlineStr">
        <is>
          <t>بدون قفل در مود دستی</t>
        </is>
      </c>
      <c r="J9" s="52" t="inlineStr">
        <is>
          <t>باید ببینید: در مود دستی خطای قطع باتری ساخته نمی‌شود و چراغ قرمز آن نمی‌آید. اگر خطا آمد، قبول نیست.</t>
        </is>
      </c>
      <c r="K9" s="52" t="n"/>
      <c r="L9" s="55" t="inlineStr">
        <is>
          <t>در انتظار</t>
        </is>
      </c>
      <c r="M9" s="52" t="n"/>
      <c r="N9" s="52" t="n"/>
      <c r="O9" s="54" t="inlineStr">
        <is>
          <t>(بعد از تست پر شود)</t>
        </is>
      </c>
      <c r="P9" s="54" t="n"/>
      <c r="Q9" s="56">
        <f>IF(OR(L9="",L9="در انتظار"),"",IF(Q9="",TODAY(),Q9))</f>
        <v/>
      </c>
    </row>
    <row r="10" ht="54" customHeight="1">
      <c r="A10" s="51" t="inlineStr">
        <is>
          <t>FL-008</t>
        </is>
      </c>
      <c r="B10" s="57" t="inlineStr">
        <is>
          <t>خروج از مود دستی</t>
        </is>
      </c>
      <c r="C10" s="59" t="inlineStr">
        <is>
          <t>متوسط</t>
        </is>
      </c>
      <c r="D10" s="62" t="inlineStr">
        <is>
          <t>از FL-007 ادامه بده؛ مود دستی فعال است</t>
        </is>
      </c>
      <c r="E10" s="62" t="inlineStr">
        <is>
          <t>گام ۱: از پنل از مود تست دستی خارج شو.
گام ۲: حالا سیم باتری را حین شارژ بکش.
گام ۳: چراغ‌ها را ببین.</t>
        </is>
      </c>
      <c r="F10" s="59" t="inlineStr">
        <is>
          <t>خروج از مود دستی و قطع باتری</t>
        </is>
      </c>
      <c r="G10" s="59" t="inlineStr">
        <is>
          <t>یک دقیقه</t>
        </is>
      </c>
      <c r="H10" s="57" t="inlineStr">
        <is>
          <t>بعد از خروج از مود دستی، قطع باتری دوباره مثل حالت عادی خطای ۶ می‌سازد</t>
        </is>
      </c>
      <c r="I10" s="57" t="inlineStr">
        <is>
          <t>برگشت رفتار عادی</t>
        </is>
      </c>
      <c r="J10" s="62" t="inlineStr">
        <is>
          <t>باید ببینید: بعد از خروج از مود دستی، قطع باتری دوباره خطای همیشگی را می‌سازد. اگر نساخت، قبول نیست.</t>
        </is>
      </c>
      <c r="K10" s="57" t="n"/>
      <c r="L10" s="55" t="inlineStr">
        <is>
          <t>در انتظار</t>
        </is>
      </c>
      <c r="M10" s="57" t="n"/>
      <c r="N10" s="57" t="n"/>
      <c r="O10" s="59" t="inlineStr">
        <is>
          <t>(بعد از تست پر شود)</t>
        </is>
      </c>
      <c r="P10" s="59" t="n"/>
      <c r="Q10" s="60">
        <f>IF(OR(L10="",L10="در انتظار"),"",IF(Q10="",TODAY(),Q10))</f>
        <v/>
      </c>
    </row>
    <row r="11" ht="54" customHeight="1">
      <c r="A11" s="51" t="inlineStr">
        <is>
          <t>FL-010</t>
        </is>
      </c>
      <c r="B11" s="57" t="inlineStr">
        <is>
          <t>تله‌متری</t>
        </is>
      </c>
      <c r="C11" s="59" t="inlineStr">
        <is>
          <t>متوسط</t>
        </is>
      </c>
      <c r="D11" s="57" t="inlineStr">
        <is>
          <t>پنل باز است و تله‌متری زنده را می‌بینی</t>
        </is>
      </c>
      <c r="E11" s="57" t="inlineStr">
        <is>
          <t>گام ۱: حین شارژ سیم باتری را بکش تا خطای ۶ بیاید.
گام ۲: در پنل نگاه کن خطای ۶ و توقف شارژ دیده می‌شود.
گام ۳: باتری را وصل کن و پاک‌شدن خطا را در پنل ببین.</t>
        </is>
      </c>
      <c r="F11" s="59" t="inlineStr">
        <is>
          <t>ساختن و پاک‌کردن خطای ۶ جلوی پنل</t>
        </is>
      </c>
      <c r="G11" s="59" t="inlineStr">
        <is>
          <t>دو دقیقه</t>
        </is>
      </c>
      <c r="H11" s="57" t="inlineStr">
        <is>
          <t>پنل همان چیزی را نشان می‌دهد که روی دستگاه می‌بینی: خطای ۶ می‌آید و با برگشت باتری پاک می‌شود</t>
        </is>
      </c>
      <c r="I11" s="57" t="inlineStr">
        <is>
          <t>هم‌گام با چراغ‌های دستگاه</t>
        </is>
      </c>
      <c r="J11" s="57" t="inlineStr">
        <is>
          <t>باید ببینید: پنل همان چیزی را نشان می‌دهد که روی دستگاه می‌بینید؛ خطا می‌آید و با برگشت باتری پاک می‌شود. اگر پنل با چراغ‌ها اختلاف داشت، قبول نیست.</t>
        </is>
      </c>
      <c r="K11" s="57" t="n"/>
      <c r="L11" s="55" t="inlineStr">
        <is>
          <t>در انتظار</t>
        </is>
      </c>
      <c r="M11" s="57" t="n"/>
      <c r="N11" s="57" t="n"/>
      <c r="O11" s="59" t="inlineStr">
        <is>
          <t>(بعد از تست پر شود)</t>
        </is>
      </c>
      <c r="P11" s="59" t="n"/>
      <c r="Q11" s="60">
        <f>IF(OR(L11="",L11="در انتظار"),"",IF(Q11="",TODAY(),Q11))</f>
        <v/>
      </c>
    </row>
    <row r="12" ht="54" customHeight="1">
      <c r="A12" s="51" t="inlineStr">
        <is>
          <t>FL-004</t>
        </is>
      </c>
      <c r="B12" s="57" t="inlineStr">
        <is>
          <t>هیسترزیس 6/7V</t>
        </is>
      </c>
      <c r="C12" s="59" t="inlineStr">
        <is>
          <t>پایین</t>
        </is>
      </c>
      <c r="D12" s="57" t="inlineStr">
        <is>
          <t>به‌جای یکی از باتری‌ها منبع آزمایشگاهی گذاشته‌ای؛ دستگاه با برق شهر روشن است</t>
        </is>
      </c>
      <c r="E12" s="57" t="inlineStr">
        <is>
          <t>گام ۱: ولتاژ منبع را حدود ۶٫۵ ولت نگه دار (نه وصلِ سالم، نه قطعِ کامل).
گام ۲: دو دقیقه نگاه کن؛ خطا نباید پرپر بزند.
گام ۳: ولتاژ را بالای ۷ ببر (سالم) و بعد زیر ۶ ببر (قطع) و هر بار رفتار را چک کن.</t>
        </is>
      </c>
      <c r="F12" s="59" t="inlineStr">
        <is>
          <t>ولتاژ یک نیم باتری: ۶٫۵ بعد بالای ۷ بعد زیر ۶ ولت</t>
        </is>
      </c>
      <c r="G12" s="59" t="inlineStr">
        <is>
          <t>سه دقیقه</t>
        </is>
      </c>
      <c r="H12" s="57" t="inlineStr">
        <is>
          <t>روی ۶٫۵ نه خطای تازه می‌آید نه پاک و ست می‌شود؛ بالای ۷ سالم است و زیر ۶ خطای ۶ می‌آید</t>
        </is>
      </c>
      <c r="I12" s="57" t="inlineStr">
        <is>
          <t>بدون پرپر دور مرز</t>
        </is>
      </c>
      <c r="J12" s="57" t="inlineStr">
        <is>
          <t>باید ببینید: روی ولتاژ وسط (حدود ۶٫۵ ولت) نه خطای تازه می‌آید نه پرپر می‌زند؛ بالای حد سالم و زیر حد خطا می‌آید. اگر روی وسط پرپر زد، قبول نیست.</t>
        </is>
      </c>
      <c r="K12" s="57" t="n"/>
      <c r="L12" s="55" t="inlineStr">
        <is>
          <t>در انتظار</t>
        </is>
      </c>
      <c r="M12" s="57" t="n"/>
      <c r="N12" s="57" t="n"/>
      <c r="O12" s="59" t="inlineStr">
        <is>
          <t>(بعد از تست پر شود)</t>
        </is>
      </c>
      <c r="P12" s="59" t="n"/>
      <c r="Q12" s="60">
        <f>IF(OR(L12="",L12="در انتظار"),"",IF(Q12="",TODAY(),Q12))</f>
        <v/>
      </c>
    </row>
    <row r="13">
      <c r="A13" s="77" t="n"/>
      <c r="B13" s="77" t="n"/>
      <c r="C13" s="77" t="n"/>
      <c r="D13" s="77" t="n"/>
      <c r="E13" s="77" t="n"/>
      <c r="F13" s="77" t="n"/>
      <c r="G13" s="77" t="n"/>
      <c r="H13" s="77" t="n"/>
      <c r="I13" s="77" t="n"/>
      <c r="J13" s="77" t="n"/>
      <c r="K13" s="77" t="n"/>
      <c r="L13" s="77" t="n"/>
      <c r="M13" s="77" t="n"/>
      <c r="N13" s="77" t="n"/>
      <c r="O13" s="77" t="n"/>
      <c r="P13" s="77" t="n"/>
      <c r="Q13" s="78" t="n"/>
    </row>
    <row r="14">
      <c r="A14" s="77" t="n"/>
      <c r="B14" s="77" t="n"/>
      <c r="C14" s="77" t="n"/>
      <c r="D14" s="77" t="n"/>
      <c r="E14" s="77" t="n"/>
      <c r="F14" s="77" t="n"/>
      <c r="G14" s="77" t="n"/>
      <c r="H14" s="77" t="n"/>
      <c r="I14" s="77" t="n"/>
      <c r="J14" s="77" t="n"/>
      <c r="K14" s="77" t="n"/>
      <c r="L14" s="77" t="n"/>
      <c r="M14" s="77" t="n"/>
      <c r="N14" s="77" t="n"/>
      <c r="O14" s="77" t="n"/>
      <c r="P14" s="77" t="n"/>
      <c r="Q14" s="78" t="n"/>
    </row>
    <row r="15">
      <c r="A15" s="77" t="n"/>
      <c r="B15" s="77" t="n"/>
      <c r="C15" s="77" t="n"/>
      <c r="D15" s="77" t="n"/>
      <c r="E15" s="77" t="n"/>
      <c r="F15" s="77" t="n"/>
      <c r="G15" s="77" t="n"/>
      <c r="H15" s="77" t="n"/>
      <c r="I15" s="77" t="n"/>
      <c r="J15" s="77" t="n"/>
      <c r="K15" s="77" t="n"/>
      <c r="L15" s="77" t="n"/>
      <c r="M15" s="77" t="n"/>
      <c r="N15" s="77" t="n"/>
      <c r="O15" s="77" t="n"/>
      <c r="P15" s="77" t="n"/>
      <c r="Q15" s="78" t="n"/>
    </row>
    <row r="16">
      <c r="A16" s="77" t="n"/>
      <c r="B16" s="77" t="n"/>
      <c r="C16" s="77" t="n"/>
      <c r="D16" s="77" t="n"/>
      <c r="E16" s="77" t="n"/>
      <c r="F16" s="77" t="n"/>
      <c r="G16" s="77" t="n"/>
      <c r="H16" s="77" t="n"/>
      <c r="I16" s="77" t="n"/>
      <c r="J16" s="77" t="n"/>
      <c r="K16" s="77" t="n"/>
      <c r="L16" s="77" t="n"/>
      <c r="M16" s="77" t="n"/>
      <c r="N16" s="77" t="n"/>
      <c r="O16" s="77" t="n"/>
      <c r="P16" s="77" t="n"/>
      <c r="Q16" s="78" t="n"/>
    </row>
    <row r="17">
      <c r="A17" s="77" t="n"/>
      <c r="B17" s="77" t="n"/>
      <c r="C17" s="77" t="n"/>
      <c r="D17" s="77" t="n"/>
      <c r="E17" s="77" t="n"/>
      <c r="F17" s="77" t="n"/>
      <c r="G17" s="77" t="n"/>
      <c r="H17" s="77" t="n"/>
      <c r="I17" s="77" t="n"/>
      <c r="J17" s="77" t="n"/>
      <c r="K17" s="77" t="n"/>
      <c r="L17" s="77" t="n"/>
      <c r="M17" s="77" t="n"/>
      <c r="N17" s="77" t="n"/>
      <c r="O17" s="77" t="n"/>
      <c r="P17" s="77" t="n"/>
      <c r="Q17" s="78" t="n"/>
    </row>
    <row r="18">
      <c r="A18" s="77" t="n"/>
      <c r="B18" s="77" t="n"/>
      <c r="C18" s="77" t="n"/>
      <c r="D18" s="77" t="n"/>
      <c r="E18" s="77" t="n"/>
      <c r="F18" s="77" t="n"/>
      <c r="G18" s="77" t="n"/>
      <c r="H18" s="77" t="n"/>
      <c r="I18" s="77" t="n"/>
      <c r="J18" s="77" t="n"/>
      <c r="K18" s="77" t="n"/>
      <c r="L18" s="77" t="n"/>
      <c r="M18" s="77" t="n"/>
      <c r="N18" s="77" t="n"/>
      <c r="O18" s="77" t="n"/>
      <c r="P18" s="77" t="n"/>
      <c r="Q18" s="78" t="n"/>
    </row>
    <row r="19">
      <c r="A19" s="77" t="n"/>
      <c r="B19" s="77" t="n"/>
      <c r="C19" s="77" t="n"/>
      <c r="D19" s="77" t="n"/>
      <c r="E19" s="77" t="n"/>
      <c r="F19" s="77" t="n"/>
      <c r="G19" s="77" t="n"/>
      <c r="H19" s="77" t="n"/>
      <c r="I19" s="77" t="n"/>
      <c r="J19" s="77" t="n"/>
      <c r="K19" s="77" t="n"/>
      <c r="L19" s="77" t="n"/>
      <c r="M19" s="77" t="n"/>
      <c r="N19" s="77" t="n"/>
      <c r="O19" s="77" t="n"/>
      <c r="P19" s="77" t="n"/>
      <c r="Q19" s="78" t="n"/>
    </row>
    <row r="20">
      <c r="A20" s="77" t="n"/>
      <c r="B20" s="77" t="n"/>
      <c r="C20" s="77" t="n"/>
      <c r="D20" s="77" t="n"/>
      <c r="E20" s="77" t="n"/>
      <c r="F20" s="77" t="n"/>
      <c r="G20" s="77" t="n"/>
      <c r="H20" s="77" t="n"/>
      <c r="I20" s="77" t="n"/>
      <c r="J20" s="77" t="n"/>
      <c r="K20" s="77" t="n"/>
      <c r="L20" s="77" t="n"/>
      <c r="M20" s="77" t="n"/>
      <c r="N20" s="77" t="n"/>
      <c r="O20" s="77" t="n"/>
      <c r="P20" s="77" t="n"/>
      <c r="Q20" s="78" t="n"/>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sheetData>
  <autoFilter ref="A4:Q54"/>
  <mergeCells count="3">
    <mergeCell ref="A3:Q3"/>
    <mergeCell ref="A2:Q2"/>
    <mergeCell ref="A1:Q1"/>
  </mergeCells>
  <dataValidations count="2">
    <dataValidation sqref="C5:C12" showDropDown="0" showInputMessage="0" showErrorMessage="0" allowBlank="1" type="list">
      <formula1>='فهرست‌ها'!$B$9:$B$11</formula1>
    </dataValidation>
    <dataValidation sqref="L5:L12" showDropDown="0" showInputMessage="0" showErrorMessage="0" allowBlank="1" type="list">
      <formula1>='فهرست‌ها'!$A$2:$A$7</formula1>
    </dataValidation>
  </dataValidations>
  <hyperlinks>
    <hyperlink ref="D7" location="'برنامه تست'!A5"/>
    <hyperlink ref="D8" location="'برنامه تست'!A5"/>
    <hyperlink ref="D10" location="'برنامه تست'!A9"/>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4" t="inlineStr">
        <is>
          <t>تست‌های برنامه‌نویسی و هاست (جدا از ولیدیشن عملی برد)</t>
        </is>
      </c>
      <c r="B1" s="50" t="n"/>
      <c r="C1" s="50" t="n"/>
      <c r="D1" s="50" t="n"/>
      <c r="E1" s="50" t="n"/>
      <c r="F1" s="50" t="n"/>
      <c r="G1" s="50" t="n"/>
      <c r="H1" s="50" t="n"/>
      <c r="I1" s="50" t="n"/>
      <c r="J1" s="50" t="n"/>
      <c r="K1" s="50" t="n"/>
      <c r="L1" s="50" t="n"/>
      <c r="M1" s="50" t="n"/>
      <c r="N1" s="50" t="n"/>
      <c r="O1" s="50" t="n"/>
      <c r="P1" s="50" t="n"/>
      <c r="Q1" s="50" t="n"/>
    </row>
    <row r="2" ht="42" customHeight="1">
      <c r="A2" s="50" t="n"/>
      <c r="B2" s="65"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می‌ماند یا پاک می‌شود</t>
        </is>
      </c>
      <c r="J4" s="48" t="inlineStr">
        <is>
          <t>معیار قبولی</t>
        </is>
      </c>
      <c r="K4" s="48" t="inlineStr">
        <is>
          <t>نتیجهٔ واقعی / اندازه‌گیری</t>
        </is>
      </c>
      <c r="L4" s="48" t="inlineStr">
        <is>
          <t>وضعیت</t>
        </is>
      </c>
      <c r="M4" s="48" t="inlineStr">
        <is>
          <t>شرح ایراد / تفاوت</t>
        </is>
      </c>
      <c r="N4" s="48" t="inlineStr">
        <is>
          <t>مدرک تست</t>
        </is>
      </c>
      <c r="O4" s="48" t="inlineStr">
        <is>
          <t>نسخهٔ برنامه</t>
        </is>
      </c>
      <c r="P4" s="48" t="inlineStr">
        <is>
          <t>نام تست‌کننده</t>
        </is>
      </c>
      <c r="Q4" s="48" t="inlineStr">
        <is>
          <t>تاریخ</t>
        </is>
      </c>
    </row>
    <row r="5" ht="54" customHeight="1">
      <c r="A5" s="51" t="inlineStr">
        <is>
          <t>FL-009</t>
        </is>
      </c>
      <c r="B5" s="52" t="inlineStr">
        <is>
          <t>تزریق دستی</t>
        </is>
      </c>
      <c r="C5" s="54" t="inlineStr">
        <is>
          <t>پایین</t>
        </is>
      </c>
      <c r="D5" s="52" t="inlineStr">
        <is>
          <t>دیباگر وصل</t>
        </is>
      </c>
      <c r="E5" s="52" t="inlineStr">
        <is>
          <t>گام ۱: دیباگر را وصل کن و مسیر تست func__Fault_Set/Clear را آماده کن.
گام ۲: چند بیت دلخواه را یک بار Set و یک بار Clear کن.
گام ۳: ماسک را با func__Fault_Get بخوان و func__Fault_Any را چک کن.
گام ۴: ماسک باید دقیقاً همان بیت‌هایی باشد که ست کردی و Any با بودن/نبودن بیت درست جواب دهد.</t>
        </is>
      </c>
      <c r="F5" s="54" t="inlineStr">
        <is>
          <t>بیت‌های دلخواه</t>
        </is>
      </c>
      <c r="G5" s="54" t="inlineStr">
        <is>
          <t>—</t>
        </is>
      </c>
      <c r="H5" s="52" t="inlineStr">
        <is>
          <t>ماسک دقیقاً Set/Clear می‌شود</t>
        </is>
      </c>
      <c r="I5" s="52" t="inlineStr">
        <is>
          <t>—</t>
        </is>
      </c>
      <c r="J5" s="52" t="inlineStr">
        <is>
          <t>Get/Any مطابق</t>
        </is>
      </c>
      <c r="K5" s="52" t="n"/>
      <c r="L5" s="55" t="inlineStr">
        <is>
          <t>در انتظار</t>
        </is>
      </c>
      <c r="M5" s="52" t="n"/>
      <c r="N5" s="52" t="n"/>
      <c r="O5" s="54" t="inlineStr">
        <is>
          <t>(بعد از تست پر شود)</t>
        </is>
      </c>
      <c r="P5" s="54" t="n"/>
      <c r="Q5" s="56" t="inlineStr">
        <is>
          <t>2026-09-23</t>
        </is>
      </c>
    </row>
    <row r="6">
      <c r="A6" s="51" t="inlineStr">
        <is>
          <t>FA-020</t>
        </is>
      </c>
      <c r="B6" s="52" t="inlineStr">
        <is>
          <t>snapshot zeroing</t>
        </is>
      </c>
      <c r="C6" s="53" t="inlineStr">
        <is>
          <t>بالا</t>
        </is>
      </c>
      <c r="D6" s="52" t="inlineStr">
        <is>
          <t>valid=false</t>
        </is>
      </c>
      <c r="E6" s="52" t="inlineStr">
        <is>
          <t>گام ۱: یک snapshot نامعتبر بساز: valid=false و هر 9 فیلد صفر.
گام ۲: آن را 2 ثانیه به Fault_Evaluate بده.
گام ۳: ماسک خطا را بخوان. هیچ ثبت یا پاک‌شدن کاذبی نباید اتفاق افتاده باشد.
گام ۴: تابع فقط valid را چک می‌کند و بر اساس فیلدهای صفر تصمیم نمی‌گیرد.</t>
        </is>
      </c>
      <c r="F6" s="54" t="inlineStr">
        <is>
          <t>valid=false</t>
        </is>
      </c>
      <c r="G6" s="54" t="inlineStr">
        <is>
          <t>2s</t>
        </is>
      </c>
      <c r="H6" s="52" t="inlineStr">
        <is>
          <t>بدون Set/Clear کاذب؛ فقط valid چک شود؛ هر 9 فیلد صفر شده باشد</t>
        </is>
      </c>
      <c r="I6" s="52" t="inlineStr">
        <is>
          <t>—</t>
        </is>
      </c>
      <c r="J6" s="52" t="inlineStr">
        <is>
          <t>بدون fault کاذب</t>
        </is>
      </c>
      <c r="K6" s="52" t="n"/>
      <c r="L6" s="66" t="inlineStr">
        <is>
          <t>نیاز به تکرار</t>
        </is>
      </c>
      <c r="M6" s="52" t="n"/>
      <c r="N6" s="52" t="n"/>
      <c r="O6" s="54" t="inlineStr">
        <is>
          <t>62f3782</t>
        </is>
      </c>
      <c r="P6" s="54" t="n"/>
      <c r="Q6" s="56">
        <f>IF(OR(L6="",L6="در انتظار"),"",IF(Q6="",TODAY(),Q6))</f>
        <v/>
      </c>
    </row>
    <row r="7">
      <c r="A7" s="50" t="n"/>
      <c r="B7" s="50" t="n"/>
      <c r="C7" s="50" t="n"/>
      <c r="D7" s="50" t="n"/>
      <c r="E7" s="50" t="n"/>
      <c r="F7" s="50" t="n"/>
      <c r="G7" s="50" t="n"/>
      <c r="H7" s="50" t="n"/>
      <c r="I7" s="50" t="n"/>
      <c r="J7" s="50" t="n"/>
      <c r="K7" s="50" t="n"/>
      <c r="L7" s="50" t="n"/>
      <c r="M7" s="50" t="n"/>
      <c r="N7" s="50" t="n"/>
      <c r="O7" s="50" t="n"/>
      <c r="P7" s="50" t="n"/>
      <c r="Q7" s="63">
        <f>IF(OR(L7="",L7="در انتظار"),"",IF(Q7="",TODAY(),Q7))</f>
        <v/>
      </c>
    </row>
    <row r="8">
      <c r="A8" s="50" t="n"/>
      <c r="B8" s="50" t="n"/>
      <c r="C8" s="50" t="n"/>
      <c r="D8" s="50" t="n"/>
      <c r="E8" s="50" t="n"/>
      <c r="F8" s="50" t="n"/>
      <c r="G8" s="50" t="n"/>
      <c r="H8" s="50" t="n"/>
      <c r="I8" s="50" t="n"/>
      <c r="J8" s="50" t="n"/>
      <c r="K8" s="50" t="n"/>
      <c r="L8" s="50" t="n"/>
      <c r="M8" s="50" t="n"/>
      <c r="N8" s="50" t="n"/>
      <c r="O8" s="50" t="n"/>
      <c r="P8" s="50" t="n"/>
      <c r="Q8" s="63">
        <f>IF(OR(L8="",L8="در انتظار"),"",IF(Q8="",TODAY(),Q8))</f>
        <v/>
      </c>
    </row>
    <row r="9">
      <c r="A9" s="50" t="n"/>
      <c r="B9" s="50" t="n"/>
      <c r="C9" s="50" t="n"/>
      <c r="D9" s="50" t="n"/>
      <c r="E9" s="50" t="n"/>
      <c r="F9" s="50" t="n"/>
      <c r="G9" s="50" t="n"/>
      <c r="H9" s="50" t="n"/>
      <c r="I9" s="50" t="n"/>
      <c r="J9" s="50" t="n"/>
      <c r="K9" s="50" t="n"/>
      <c r="L9" s="50" t="n"/>
      <c r="M9" s="50" t="n"/>
      <c r="N9" s="50" t="n"/>
      <c r="O9" s="50" t="n"/>
      <c r="P9" s="50" t="n"/>
      <c r="Q9" s="63">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3">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3">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3">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3">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3">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3">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3">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3">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3">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3">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3">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3">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3">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3">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3">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3">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8"/>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8" t="inlineStr">
        <is>
          <t>مرجع سریع سناریوها و ثابت‌های ماژول Fault</t>
        </is>
      </c>
      <c r="B1" s="40" t="n"/>
      <c r="C1" s="40" t="n"/>
      <c r="D1" s="40" t="n"/>
      <c r="E1" s="41" t="n"/>
    </row>
    <row r="2">
      <c r="A2" s="50" t="n"/>
      <c r="B2" s="50" t="n"/>
      <c r="C2" s="50" t="n"/>
      <c r="D2" s="50" t="n"/>
      <c r="E2" s="50" t="n"/>
    </row>
    <row r="3">
      <c r="A3" s="69" t="inlineStr">
        <is>
          <t>موضوع</t>
        </is>
      </c>
      <c r="B3" s="69" t="inlineStr">
        <is>
          <t>شرط / مقدار</t>
        </is>
      </c>
      <c r="C3" s="69" t="inlineStr">
        <is>
          <t>رفتار مورد انتظار</t>
        </is>
      </c>
      <c r="D3" s="69" t="inlineStr">
        <is>
          <t>ثابت / محل کد</t>
        </is>
      </c>
      <c r="E3" s="69" t="inlineStr">
        <is>
          <t>توضیح</t>
        </is>
      </c>
    </row>
    <row r="4">
      <c r="A4" s="70" t="inlineStr">
        <is>
          <t>قاعدهٔ پمپ</t>
        </is>
      </c>
      <c r="B4" s="70" t="inlineStr">
        <is>
          <t>&gt;14.8V حین BULK/ABSORB، 150ms</t>
        </is>
      </c>
      <c r="C4" s="70" t="inlineStr">
        <is>
          <t>قفل FAULT_CHARGER_BAT_LOST</t>
        </is>
      </c>
      <c r="D4" s="70" t="inlineStr">
        <is>
          <t>FAULT_BAT_DISCONNECT_MV / FAULT_BAT_DISCONNECT_DEBOUNCE_MS</t>
        </is>
      </c>
      <c r="E4" s="70" t="inlineStr">
        <is>
          <t>فقط کانال فعال</t>
        </is>
      </c>
    </row>
    <row r="5">
      <c r="A5" s="70" t="inlineStr">
        <is>
          <t>قاعدهٔ غیبت</t>
        </is>
      </c>
      <c r="B5" s="70" t="inlineStr">
        <is>
          <t>هر نیم &lt;6V با ورودی سالم، 1s</t>
        </is>
      </c>
      <c r="C5" s="70" t="inlineStr">
        <is>
          <t>قفل FAULT_CHARGER_BAT_LOST</t>
        </is>
      </c>
      <c r="D5" s="70" t="inlineStr">
        <is>
          <t>FAULT_BAT_ABSENT_MV / FAULT_BAT_ABSENT_DEBOUNCE_MS</t>
        </is>
      </c>
      <c r="E5" s="70" t="inlineStr">
        <is>
          <t>هرکدام، نه هر دو</t>
        </is>
      </c>
    </row>
    <row r="6">
      <c r="A6" s="70" t="inlineStr">
        <is>
          <t>بازیابی</t>
        </is>
      </c>
      <c r="B6" s="70" t="inlineStr">
        <is>
          <t>هر دو نیم ≥7V بدون پمپ، 1s</t>
        </is>
      </c>
      <c r="C6" s="70" t="inlineStr">
        <is>
          <t>پاک شدن بیت</t>
        </is>
      </c>
      <c r="D6" s="70" t="inlineStr">
        <is>
          <t>FAULT_BATTERY_BACK_MV / FAULT_BAT_RECOVER_MS</t>
        </is>
      </c>
      <c r="E6" s="70" t="inlineStr">
        <is>
          <t>هیسترزیس 1V</t>
        </is>
      </c>
    </row>
    <row r="7">
      <c r="A7" s="70" t="inlineStr">
        <is>
          <t>فریز مود دستی</t>
        </is>
      </c>
      <c r="B7" s="70" t="inlineStr">
        <is>
          <t>IsManualTestModeActive</t>
        </is>
      </c>
      <c r="C7" s="70" t="inlineStr">
        <is>
          <t>بدون Set/Clear، تمپ صفر</t>
        </is>
      </c>
      <c r="D7" s="71" t="inlineStr">
        <is>
          <t>fault.c (v1.2)</t>
        </is>
      </c>
      <c r="E7" s="70" t="inlineStr">
        <is>
          <t>پمپ عمدی عادی‌سازی شد</t>
        </is>
      </c>
    </row>
    <row r="8">
      <c r="A8" s="70" t="inlineStr">
        <is>
          <t>بیت‌های ماسک</t>
        </is>
      </c>
      <c r="B8" s="71" t="inlineStr">
        <is>
          <t>0..6 در app_types.h</t>
        </is>
      </c>
      <c r="C8" s="70" t="inlineStr">
        <is>
          <t>FAULT_CHARGER_BAT_LOST (بیت ۶)</t>
        </is>
      </c>
      <c r="D8" s="70" t="inlineStr">
        <is>
          <t>FAULT_*</t>
        </is>
      </c>
      <c r="E8" s="70" t="inlineStr">
        <is>
          <t>0x40 در تله‌متری</t>
        </is>
      </c>
    </row>
  </sheetData>
  <mergeCells count="1">
    <mergeCell ref="A1:E1"/>
  </mergeCells>
  <hyperlinks>
    <hyperlink xmlns:r="http://schemas.openxmlformats.org/officeDocument/2006/relationships" ref="D7" r:id="rId1"/>
    <hyperlink xmlns:r="http://schemas.openxmlformats.org/officeDocument/2006/relationships" ref="B8"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6" t="inlineStr">
        <is>
          <t>ثبت ایرادهای مشاهده‌شده — ماژول Fault</t>
        </is>
      </c>
    </row>
    <row r="2" ht="30" customHeight="1">
      <c r="A2" s="48" t="inlineStr">
        <is>
          <t>برای هر وضعیت «رد» یا تفاوت مهم، یک ردیف با شناسهٔ یکتا ثبت و پس از اصلاح دوباره تست شود.</t>
        </is>
      </c>
      <c r="B2" s="40" t="n"/>
      <c r="C2" s="40" t="n"/>
      <c r="D2" s="40" t="n"/>
      <c r="E2" s="40" t="n"/>
      <c r="F2" s="40" t="n"/>
      <c r="G2" s="40" t="n"/>
      <c r="H2" s="40" t="n"/>
      <c r="I2" s="40" t="n"/>
      <c r="J2" s="40" t="n"/>
      <c r="K2" s="40" t="n"/>
      <c r="L2" s="40" t="n"/>
      <c r="M2" s="41" t="n"/>
    </row>
    <row r="3">
      <c r="A3" s="69" t="inlineStr">
        <is>
          <t>شماره ایراد</t>
        </is>
      </c>
      <c r="B3" s="69" t="inlineStr">
        <is>
          <t>شناسه تست</t>
        </is>
      </c>
      <c r="C3" s="69" t="inlineStr">
        <is>
          <t>تاریخ کشف</t>
        </is>
      </c>
      <c r="D3" s="69" t="inlineStr">
        <is>
          <t>شدت</t>
        </is>
      </c>
      <c r="E3" s="69" t="inlineStr">
        <is>
          <t>شرح کوتاه ایراد</t>
        </is>
      </c>
      <c r="F3" s="69" t="inlineStr">
        <is>
          <t>مراحل بازتولید</t>
        </is>
      </c>
      <c r="G3" s="69" t="inlineStr">
        <is>
          <t>انتظار</t>
        </is>
      </c>
      <c r="H3" s="69" t="inlineStr">
        <is>
          <t>واقعیت</t>
        </is>
      </c>
      <c r="I3" s="69" t="inlineStr">
        <is>
          <t>مدرک/مسیر عکس یا scope</t>
        </is>
      </c>
      <c r="J3" s="69" t="inlineStr">
        <is>
          <t>نسخهٔ برنامه</t>
        </is>
      </c>
      <c r="K3" s="69" t="inlineStr">
        <is>
          <t>محل احتمالی</t>
        </is>
      </c>
      <c r="L3" s="69" t="inlineStr">
        <is>
          <t>وضعیت ایراد</t>
        </is>
      </c>
      <c r="M3" s="69"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6" t="inlineStr">
        <is>
          <t>تأیید نهایی اعتبارسنجی — ماژول Fault</t>
        </is>
      </c>
    </row>
    <row r="2">
      <c r="A2" s="47" t="inlineStr">
        <is>
          <t>این صفحه فقط پس از تکمیل تست‌ها و بسته‌شدن ایرادها پر می‌شود.</t>
        </is>
      </c>
    </row>
    <row r="3">
      <c r="A3" s="47" t="inlineStr">
        <is>
          <t>مشخصات تست</t>
        </is>
      </c>
    </row>
    <row r="4">
      <c r="A4" s="47" t="inlineStr">
        <is>
          <t>پروژه</t>
        </is>
      </c>
      <c r="B4" s="47" t="inlineStr">
        <is>
          <t>ChangeOver</t>
        </is>
      </c>
      <c r="C4" s="50" t="n"/>
    </row>
    <row r="5">
      <c r="A5" s="47" t="inlineStr">
        <is>
          <t>ماژول</t>
        </is>
      </c>
      <c r="B5" s="47" t="inlineStr">
        <is>
          <t>Fault — تشخیص متمرکز قطع باتری</t>
        </is>
      </c>
      <c r="C5" s="50" t="n"/>
    </row>
    <row r="6">
      <c r="A6" s="47" t="inlineStr">
        <is>
          <t>تاریخ ساخت فرم</t>
        </is>
      </c>
      <c r="B6" s="47" t="inlineStr">
        <is>
          <t>2026-09-23 (1.0 — شامل فریز v1.2)</t>
        </is>
      </c>
      <c r="C6" s="50" t="n"/>
    </row>
    <row r="7">
      <c r="A7" s="47" t="inlineStr">
        <is>
          <t>نسخه فرم</t>
        </is>
      </c>
      <c r="B7" s="47" t="inlineStr">
        <is>
          <t>1.0</t>
        </is>
      </c>
      <c r="C7" s="50" t="n"/>
    </row>
    <row r="8">
      <c r="A8" s="47" t="inlineStr">
        <is>
          <t>نسخهٔ برنامه</t>
        </is>
      </c>
      <c r="B8" s="47" t="inlineStr">
        <is>
          <t>(بعد از تست پر شود)</t>
        </is>
      </c>
      <c r="C8" s="50" t="n"/>
    </row>
    <row r="9">
      <c r="A9" s="47" t="inlineStr">
        <is>
          <t>ابزار</t>
        </is>
      </c>
      <c r="B9" s="47" t="inlineStr">
        <is>
          <t>پنل ESP + مولتی‌متر + سیم‌کشی تست</t>
        </is>
      </c>
      <c r="C9" s="50" t="n"/>
    </row>
    <row r="10">
      <c r="A10" s="50" t="n"/>
      <c r="B10" s="50" t="n"/>
      <c r="C10" s="50" t="n"/>
    </row>
    <row r="11">
      <c r="A11" s="72" t="inlineStr">
        <is>
          <t>خلاصهٔ خودکار وضعیت تست‌ها</t>
        </is>
      </c>
      <c r="B11" s="50" t="n"/>
      <c r="C11" s="50" t="n"/>
    </row>
    <row r="12">
      <c r="A12" s="69" t="inlineStr">
        <is>
          <t>شاخص</t>
        </is>
      </c>
      <c r="B12" s="69" t="inlineStr">
        <is>
          <t>مقدار</t>
        </is>
      </c>
      <c r="C12" s="69" t="inlineStr">
        <is>
          <t>توضیح</t>
        </is>
      </c>
    </row>
    <row r="13">
      <c r="A13" s="73" t="inlineStr">
        <is>
          <t>کل تست‌ها</t>
        </is>
      </c>
      <c r="B13" s="73" t="n">
        <v>10</v>
      </c>
      <c r="C13" s="73" t="inlineStr">
        <is>
          <t>همهٔ ردیف‌های برنامه تست</t>
        </is>
      </c>
    </row>
    <row r="14">
      <c r="A14" s="73" t="inlineStr">
        <is>
          <t>قبول</t>
        </is>
      </c>
      <c r="B14" s="73">
        <f>COUNTIF('برنامه تست'!L:L,"قبول")</f>
        <v/>
      </c>
      <c r="C14" s="73" t="inlineStr">
        <is>
          <t>COUNTIF برنامه تست</t>
        </is>
      </c>
    </row>
    <row r="15">
      <c r="A15" s="73" t="inlineStr">
        <is>
          <t>رد</t>
        </is>
      </c>
      <c r="B15" s="73">
        <f>COUNTIF('برنامه تست'!L:L,"رد")</f>
        <v/>
      </c>
      <c r="C15" s="73" t="inlineStr">
        <is>
          <t>COUNTIF رد</t>
        </is>
      </c>
    </row>
    <row r="16">
      <c r="A16" s="73" t="inlineStr">
        <is>
          <t>در انتظار</t>
        </is>
      </c>
      <c r="B16" s="73">
        <f>COUNTIF('برنامه تست'!L:L,"در انتظار")</f>
        <v/>
      </c>
      <c r="C16" s="73" t="inlineStr">
        <is>
          <t>پیش از تست برد</t>
        </is>
      </c>
    </row>
    <row r="17">
      <c r="A17" s="73" t="inlineStr">
        <is>
          <t>نرخ قبولی</t>
        </is>
      </c>
      <c r="B17" s="73">
        <f>IF(10=0,0,COUNTIF('برنامه تست'!L:L,"قبول")/10)</f>
        <v/>
      </c>
      <c r="C17" s="73" t="inlineStr">
        <is>
          <t>قبول/کل</t>
        </is>
      </c>
    </row>
    <row r="18">
      <c r="A18" s="50" t="n"/>
      <c r="B18" s="50" t="n"/>
      <c r="C18" s="50" t="n"/>
    </row>
    <row r="19">
      <c r="A19" s="72" t="inlineStr">
        <is>
          <t>امضا و تأیید: تست‌کننده ______  بازبین ______  تاریخ ______</t>
        </is>
      </c>
      <c r="B19" s="50" t="n"/>
      <c r="C19" s="50"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4" t="inlineStr">
        <is>
          <t>وضعیت</t>
        </is>
      </c>
      <c r="B1" s="50" t="n"/>
    </row>
    <row r="2">
      <c r="A2" s="75" t="inlineStr">
        <is>
          <t>در انتظار</t>
        </is>
      </c>
      <c r="B2" s="50" t="n"/>
    </row>
    <row r="3">
      <c r="A3" s="75" t="inlineStr">
        <is>
          <t>انجام شد</t>
        </is>
      </c>
      <c r="B3" s="50" t="n"/>
    </row>
    <row r="4">
      <c r="A4" s="75" t="inlineStr">
        <is>
          <t>قبول</t>
        </is>
      </c>
      <c r="B4" s="50" t="n"/>
    </row>
    <row r="5">
      <c r="A5" s="75" t="inlineStr">
        <is>
          <t>رد</t>
        </is>
      </c>
      <c r="B5" s="50" t="n"/>
    </row>
    <row r="6">
      <c r="A6" s="75" t="inlineStr">
        <is>
          <t>مسدود</t>
        </is>
      </c>
      <c r="B6" s="50" t="n"/>
    </row>
    <row r="7">
      <c r="A7" s="50" t="inlineStr">
        <is>
          <t>نیاز به تکرار</t>
        </is>
      </c>
      <c r="B7" s="50" t="n"/>
    </row>
    <row r="8">
      <c r="A8" s="74" t="inlineStr">
        <is>
          <t>اولویت</t>
        </is>
      </c>
      <c r="B8" s="50" t="n"/>
    </row>
    <row r="9">
      <c r="A9" s="50" t="n"/>
      <c r="B9" s="75" t="inlineStr">
        <is>
          <t>بالا</t>
        </is>
      </c>
    </row>
    <row r="10">
      <c r="A10" s="50" t="n"/>
      <c r="B10" s="75" t="inlineStr">
        <is>
          <t>متوسط</t>
        </is>
      </c>
    </row>
    <row r="11">
      <c r="A11" s="50" t="n"/>
      <c r="B11" s="75" t="inlineStr">
        <is>
          <t>پایین</t>
        </is>
      </c>
    </row>
    <row r="12">
      <c r="A12" s="50" t="n"/>
      <c r="B12" s="50" t="n"/>
    </row>
    <row r="13">
      <c r="A13" s="74" t="inlineStr">
        <is>
          <t>شدت</t>
        </is>
      </c>
      <c r="B13" s="50" t="n"/>
    </row>
    <row r="14">
      <c r="A14" s="75" t="inlineStr">
        <is>
          <t>بحرانی</t>
        </is>
      </c>
      <c r="B14" s="50" t="n"/>
    </row>
    <row r="15">
      <c r="A15" s="75" t="inlineStr">
        <is>
          <t>بالا</t>
        </is>
      </c>
      <c r="B15" s="50" t="n"/>
    </row>
    <row r="16">
      <c r="A16" s="75" t="inlineStr">
        <is>
          <t>متوسط</t>
        </is>
      </c>
      <c r="B16" s="50" t="n"/>
    </row>
    <row r="17">
      <c r="A17" s="75" t="inlineStr">
        <is>
          <t>پایین</t>
        </is>
      </c>
      <c r="B17" s="50" t="n"/>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خطا (Fault)</t>
        </is>
      </c>
    </row>
    <row r="2">
      <c r="A2" s="50" t="n"/>
      <c r="B2" s="50" t="n"/>
      <c r="C2" s="50" t="n"/>
    </row>
    <row r="3" ht="24" customHeight="1">
      <c r="A3" s="9" t="inlineStr">
        <is>
          <t>حالت‌ها و گذارهای همین ماژول</t>
        </is>
      </c>
      <c r="B3" s="10" t="inlineStr">
        <is>
          <t>Fault_State_Machine.xlsx</t>
        </is>
      </c>
      <c r="C3" s="50" t="n"/>
    </row>
    <row r="4" ht="24" customHeight="1">
      <c r="A4" s="9" t="inlineStr">
        <is>
          <t>ماشین حالت کل برنامه (نمای سیستمی)</t>
        </is>
      </c>
      <c r="B4" s="10" t="inlineStr">
        <is>
          <t>../../../Documentation/System_State_Machine.xlsx</t>
        </is>
      </c>
      <c r="C4" s="50"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0" t="n"/>
    </row>
    <row r="6" ht="24" customHeight="1">
      <c r="A6" s="9" t="inlineStr">
        <is>
          <t>بازتولید</t>
        </is>
      </c>
      <c r="B6" s="10" t="inlineStr">
        <is>
          <t>python3 tools/make_module_state_machines.py</t>
        </is>
      </c>
      <c r="C6" s="50"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برنامهٔ تست آزمایشگاهی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می‌ماند یا پاک می‌شود</t>
        </is>
      </c>
      <c r="J4" s="48" t="inlineStr">
        <is>
          <t>معیار قبولی</t>
        </is>
      </c>
      <c r="K4" s="48" t="inlineStr">
        <is>
          <t>نتیجهٔ واقعی / اندازه‌گیری</t>
        </is>
      </c>
      <c r="L4" s="48" t="inlineStr">
        <is>
          <t>وضعیت</t>
        </is>
      </c>
      <c r="M4" s="48" t="inlineStr">
        <is>
          <t>شرح ایراد / تفاوت</t>
        </is>
      </c>
      <c r="N4" s="48" t="inlineStr">
        <is>
          <t>مدرک تست</t>
        </is>
      </c>
      <c r="O4" s="48" t="inlineStr">
        <is>
          <t>نسخهٔ برنامه</t>
        </is>
      </c>
      <c r="P4" s="48" t="inlineStr">
        <is>
          <t>نام تست‌کننده</t>
        </is>
      </c>
      <c r="Q4" s="48" t="inlineStr">
        <is>
          <t>تاریخ</t>
        </is>
      </c>
    </row>
    <row r="5" ht="54" customHeight="1">
      <c r="A5" s="51" t="inlineStr">
        <is>
          <t>FL-006</t>
        </is>
      </c>
      <c r="B5" s="57" t="inlineStr">
        <is>
          <t>snapshot نامعتبر</t>
        </is>
      </c>
      <c r="C5" s="58" t="inlineStr">
        <is>
          <t>بالا</t>
        </is>
      </c>
      <c r="D5" s="57" t="inlineStr">
        <is>
          <t>ADC در warm-up یا نامعتبر</t>
        </is>
      </c>
      <c r="E5" s="57" t="inlineStr">
        <is>
          <t>گام ۱: ADC را در حالت warm-up نگه دار یا کاری کن snapshot نامعتبر باشد.
گام ۲: رفتار ست/پاک شدن بیت‌ها را در همین مدت نگاه کن.
گام ۳: تا وقتی snapshot معتبر نیست هیچ Set و Clear نباید اتفاق بیفتد و وضعیت قبلی ماسک باید حفظ شود.</t>
        </is>
      </c>
      <c r="F5" s="59" t="inlineStr">
        <is>
          <t>—</t>
        </is>
      </c>
      <c r="G5" s="59" t="inlineStr">
        <is>
          <t>—</t>
        </is>
      </c>
      <c r="H5" s="57" t="inlineStr">
        <is>
          <t>هیچ Set/Clear؛ وضعیت قبلی حفظ</t>
        </is>
      </c>
      <c r="I5" s="57" t="inlineStr">
        <is>
          <t>—</t>
        </is>
      </c>
      <c r="J5" s="57" t="inlineStr">
        <is>
          <t>بدون تغییر ماسک</t>
        </is>
      </c>
      <c r="K5" s="57" t="n"/>
      <c r="L5" s="55" t="inlineStr">
        <is>
          <t>در انتظار</t>
        </is>
      </c>
      <c r="M5" s="57" t="n"/>
      <c r="N5" s="57" t="n"/>
      <c r="O5" s="59" t="inlineStr">
        <is>
          <t>(بعد از تست پر شود)</t>
        </is>
      </c>
      <c r="P5" s="59" t="n"/>
      <c r="Q5" s="60">
        <f>IF(OR(L5="",L5="در انتظار"),"",IF(Q5="",TODAY(),Q5))</f>
        <v/>
      </c>
    </row>
    <row r="6" ht="54" customHeight="1"/>
    <row r="7" ht="54" customHeight="1"/>
    <row r="8" ht="54" customHeight="1"/>
    <row r="9" ht="40.5" customHeight="1"/>
    <row r="10" ht="40.5" customHeight="1"/>
    <row r="11" ht="54" customHeight="1"/>
    <row r="12" ht="54" customHeight="1"/>
    <row r="13" ht="54" customHeight="1"/>
    <row r="14" ht="54" customHeight="1"/>
    <row r="15" ht="40.5" customHeight="1"/>
  </sheetData>
  <mergeCells count="3">
    <mergeCell ref="A3:Q3"/>
    <mergeCell ref="A2:Q2"/>
    <mergeCell ref="A1:Q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2026-10-17T12:44:58Z</dcterms:modified>
</cp:coreProperties>
</file>