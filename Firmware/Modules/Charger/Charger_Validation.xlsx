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تست'!$A$4:$Q$61</definedName>
    <definedName name="_xlnm.Print_Titles" localSheetId="1">'برنامه تست'!$4:$4</definedName>
    <definedName name="_xlnm._FilterDatabase" localSheetId="2" hidden="1">'تست‌های آزمایشگاهی'!$A$4:$Q$8</definedName>
    <definedName name="_xlnm.Print_Titles" localSheetId="2">'تست‌های آزمایشگاهی'!$4:$4</definedName>
    <definedName name="_xlnm._FilterDatabase" localSheetId="3" hidden="1">'تست‌های برنامه‌نویسی'!$A$4:$Q$7</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29">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color rgb="000563C1"/>
      <sz val="8"/>
      <u val="single"/>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theme="1"/>
      <sz val="11"/>
    </font>
    <font>
      <name val="Vazirmatn"/>
      <sz val="11"/>
    </font>
  </fonts>
  <fills count="10">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C6EFCE"/>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85">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13" fillId="0" borderId="2" applyAlignment="1" pivotButton="0" quotePrefix="0" xfId="0">
      <alignment horizontal="right" vertical="center" wrapText="1"/>
    </xf>
    <xf numFmtId="0" fontId="13" fillId="0" borderId="2" applyAlignment="1" pivotButton="0" quotePrefix="0" xfId="0">
      <alignment horizontal="center" vertical="center" wrapText="1"/>
    </xf>
    <xf numFmtId="0" fontId="13" fillId="7" borderId="2" applyAlignment="1" pivotButton="0" quotePrefix="0" xfId="0">
      <alignment horizontal="right" vertical="center" wrapText="1"/>
    </xf>
    <xf numFmtId="0" fontId="8" fillId="8" borderId="2" applyAlignment="1" pivotButton="0" quotePrefix="0" xfId="0">
      <alignment horizontal="center" vertical="center" wrapText="1"/>
    </xf>
    <xf numFmtId="0" fontId="8" fillId="9"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8" fillId="0" borderId="0" applyAlignment="1" pivotButton="0" quotePrefix="0" xfId="0">
      <alignment horizontal="right" vertical="center" wrapText="1"/>
    </xf>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applyAlignment="1" pivotButton="0" quotePrefix="0" xfId="0">
      <alignment horizontal="right" vertical="center" wrapText="1"/>
    </xf>
    <xf numFmtId="0" fontId="24" fillId="0" borderId="0" pivotButton="0" quotePrefix="0" xfId="0"/>
    <xf numFmtId="0" fontId="5" fillId="5" borderId="2" applyAlignment="1" pivotButton="0" quotePrefix="0" xfId="0">
      <alignment horizontal="center" vertical="center"/>
    </xf>
    <xf numFmtId="0" fontId="7" fillId="7" borderId="2" applyAlignment="1" pivotButton="0" quotePrefix="0" xfId="0">
      <alignment horizontal="right" vertical="center" wrapText="1"/>
    </xf>
    <xf numFmtId="0" fontId="25" fillId="7" borderId="2" applyAlignment="1" pivotButton="0" quotePrefix="0" xfId="0">
      <alignment horizontal="center" vertical="center" wrapText="1"/>
    </xf>
    <xf numFmtId="0" fontId="7" fillId="7"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7" borderId="2" applyAlignment="1" pivotButton="0" quotePrefix="0" xfId="0">
      <alignment horizontal="center" vertical="center" wrapText="1"/>
    </xf>
    <xf numFmtId="0" fontId="7" fillId="0" borderId="2" applyAlignment="1" pivotButton="0" quotePrefix="0" xfId="0">
      <alignment horizontal="right" vertical="center" wrapText="1"/>
    </xf>
    <xf numFmtId="0" fontId="25" fillId="0" borderId="2" applyAlignment="1" pivotButton="0" quotePrefix="0" xfId="0">
      <alignment horizontal="center" vertical="center" wrapText="1"/>
    </xf>
    <xf numFmtId="0" fontId="7" fillId="0" borderId="2" applyAlignment="1" pivotButton="0" quotePrefix="0" xfId="0">
      <alignment horizontal="center" vertical="center" wrapText="1"/>
    </xf>
    <xf numFmtId="164" fontId="7" fillId="0" borderId="2" applyAlignment="1" pivotButton="0" quotePrefix="0" xfId="0">
      <alignment horizontal="center" vertical="center" wrapText="1"/>
    </xf>
    <xf numFmtId="0" fontId="6" fillId="7" borderId="2" applyAlignment="1" pivotButton="0" quotePrefix="0" xfId="0">
      <alignment horizontal="right" vertical="center" wrapText="1"/>
    </xf>
    <xf numFmtId="0" fontId="6" fillId="0" borderId="2" applyAlignment="1" pivotButton="0" quotePrefix="0" xfId="0">
      <alignment horizontal="right" vertical="center" wrapText="1"/>
    </xf>
    <xf numFmtId="0" fontId="5" fillId="8" borderId="2" applyAlignment="1" pivotButton="0" quotePrefix="0" xfId="0">
      <alignment horizontal="center" vertical="center" wrapText="1"/>
    </xf>
    <xf numFmtId="164" fontId="24" fillId="0" borderId="0" pivotButton="0" quotePrefix="0" xfId="0"/>
    <xf numFmtId="0" fontId="23" fillId="0" borderId="0" pivotButton="0" quotePrefix="0" xfId="0"/>
    <xf numFmtId="0" fontId="7" fillId="0" borderId="0" applyAlignment="1" pivotButton="0" quotePrefix="0" xfId="0">
      <alignment vertical="center" wrapText="1"/>
    </xf>
    <xf numFmtId="0" fontId="6" fillId="0" borderId="2" applyAlignment="1" pivotButton="0" quotePrefix="0" xfId="0">
      <alignment horizontal="center" vertical="center" wrapText="1"/>
    </xf>
    <xf numFmtId="0" fontId="5" fillId="9" borderId="2" applyAlignment="1" pivotButton="0" quotePrefix="0" xfId="0">
      <alignment horizontal="center" vertical="center" wrapText="1"/>
    </xf>
    <xf numFmtId="0" fontId="24" fillId="0" borderId="5" pivotButton="0" quotePrefix="0" xfId="0"/>
    <xf numFmtId="0" fontId="24" fillId="0" borderId="6" pivotButton="0" quotePrefix="0" xfId="0"/>
    <xf numFmtId="0" fontId="26"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2"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8" fillId="0" borderId="0" pivotButton="0" quotePrefix="0" xfId="0"/>
    <xf numFmtId="0" fontId="28" fillId="0" borderId="7" pivotButton="0" quotePrefix="0" xfId="0"/>
    <xf numFmtId="164" fontId="28"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harger.h" TargetMode="External" Id="rId1" /></Relationships>
</file>

<file path=xl/worksheets/_rels/sheet5.xml.rels><Relationships xmlns="http://schemas.openxmlformats.org/package/2006/relationships"><Relationship Type="http://schemas.openxmlformats.org/officeDocument/2006/relationships/hyperlink" Target="charger.h" TargetMode="External" Id="rId1" /></Relationships>
</file>

<file path=xl/worksheets/_rels/sheet9.xml.rels><Relationships xmlns="http://schemas.openxmlformats.org/package/2006/relationships"><Relationship Type="http://schemas.openxmlformats.org/officeDocument/2006/relationships/hyperlink" Target="Charger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sheetPr>
  <dimension ref="A1:A12"/>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49" t="inlineStr">
        <is>
          <t>برگه تست و اعتبارسنجی عملی ماژول Charger</t>
        </is>
      </c>
    </row>
    <row r="2">
      <c r="A2" s="50" t="inlineStr">
        <is>
          <t>Charger | دو شارژر مستقل ۱۲V؛ Ch1→باتری بالا (VHIGH)، Ch2→باتری پایین (VLOW)؛ پارامترهای زندهٔ ESP + مود تست دستی v1.2</t>
        </is>
      </c>
    </row>
    <row r="3" ht="30" customHeight="1">
      <c r="A3" s="51" t="inlineStr">
        <is>
          <t>هدف فایل</t>
        </is>
      </c>
    </row>
    <row r="4">
      <c r="A4" s="50" t="inlineStr"/>
    </row>
    <row r="5">
      <c r="A5" s="50" t="inlineStr">
        <is>
          <t>سناریوها حول رفتار قابل مشاهدهٔ هر کانال: state (تله‌متری ESP)، duty (اسکوپ PA0/PA6)، رلهٔ NC و پنل ESP نوشته شده‌اند.</t>
        </is>
      </c>
    </row>
    <row r="6">
      <c r="A6" s="52" t="inlineStr">
        <is>
          <t>ثابت‌های مرجع در charger.h: باند تنظیم 630..650mA تخمینی، خطای سخت 950mA، ابزورب 14.3/14.4/14.6V، فلوت 13.5V، reentry 12.8V، سقف duty 500‰، ددمن مود دستی 3000ms.</t>
        </is>
      </c>
    </row>
    <row r="7">
      <c r="A7" s="50" t="inlineStr">
        <is>
          <t>تست مود دستی فقط با بار مقاومتی یا electronic load با voltage clamp؛ مقاومت آزاد شبیه‌ساز باتری نیست و منبع ورودی باید محدودشده باشد.</t>
        </is>
      </c>
    </row>
    <row r="8">
      <c r="A8" s="50" t="inlineStr"/>
    </row>
    <row r="9">
      <c r="A9" s="50" t="inlineStr">
        <is>
          <t>هشدار: تست مود دستی بدون باتری فقط با electronic load دارای voltage clamp؛ هرگز با مقاومت آزاد.</t>
        </is>
      </c>
    </row>
    <row r="10">
      <c r="A10" s="50" t="inlineStr">
        <is>
          <t>هشدار: منبع ورودی در تست‌های اول محدودشده باشد؛ current-limit ورودی جای حفاظت خروجی firmware نیست.</t>
        </is>
      </c>
    </row>
    <row r="11"/>
    <row r="12">
      <c r="A12" s="82" t="inlineStr">
        <is>
          <t>اولویت تست‌های عملی: «بالا» یعنی رفتار اصلی‌ای که در کار عادی دستگاه می‌بینید (روشن‌شدن، شروع و پایان شارژ، چهره‌های اصلی چراغ‌ها، رفتن تغذیه روی برق ورودی، خطاهای اصلی)؛ اول همین‌ها را انجام دهید. «متوسط» رفتارهای فرعیِ کاربردی است و «پایین» ریزه‌کاری‌ها (مثل اثر نوسان چند درصدی روی ریتم چشمک یا لبه‌های دقیق درصد و زمان).
ستون «چه چیزی باید ببینید تا بگویید درست است» می‌گوید دقیقاً چه چیزی را باید ببینید یا بشنوید تا آن تست را قبول کنید؛ اگر چیز دیگری دیدید، وضعیت را «رد» بزنید و در شرح ایراد بنویسید چه دیدید.</t>
        </is>
      </c>
    </row>
  </sheetData>
  <mergeCells count="10">
    <mergeCell ref="A8"/>
    <mergeCell ref="A6"/>
    <mergeCell ref="A9"/>
    <mergeCell ref="A4"/>
    <mergeCell ref="A3"/>
    <mergeCell ref="A7"/>
    <mergeCell ref="A2"/>
    <mergeCell ref="A10"/>
    <mergeCell ref="A5"/>
    <mergeCell ref="A1"/>
  </mergeCells>
  <hyperlinks>
    <hyperlink xmlns:r="http://schemas.openxmlformats.org/officeDocument/2006/relationships" ref="A6" r:id="rId1"/>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Q5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53" t="inlineStr">
        <is>
          <t>برنامهٔ تست عملی — ماژول Charger</t>
        </is>
      </c>
    </row>
    <row r="2">
      <c r="A2" s="50" t="inlineStr">
        <is>
          <t>وضعیت فقط یکی از: در انتظار / قبول / رد / مسدود / نیاز به تکرار. تست Host جایگزین تست برد نیست.</t>
        </is>
      </c>
    </row>
    <row r="3">
      <c r="A3" s="50" t="inlineStr">
        <is>
          <t>برای هر ردیف پیش‌شرط، ورودی، انتظار و معیار قبولی صریح است؛ نتیجهٔ واقعی فقط با اندازه‌گیری روی برد پر می‌شود.</t>
        </is>
      </c>
    </row>
    <row r="4" ht="30" customHeight="1">
      <c r="A4" s="51" t="inlineStr">
        <is>
          <t>شناسه</t>
        </is>
      </c>
      <c r="B4" s="51" t="inlineStr">
        <is>
          <t>دسته</t>
        </is>
      </c>
      <c r="C4" s="51" t="inlineStr">
        <is>
          <t>اولویت</t>
        </is>
      </c>
      <c r="D4" s="51" t="inlineStr">
        <is>
          <t>پیش‌شرط</t>
        </is>
      </c>
      <c r="E4" s="51" t="inlineStr">
        <is>
          <t>روش اجرای دقیق</t>
        </is>
      </c>
      <c r="F4" s="51" t="inlineStr">
        <is>
          <t>ورودی‌ها / شرایط</t>
        </is>
      </c>
      <c r="G4" s="51" t="inlineStr">
        <is>
          <t>مدت مشاهده</t>
        </is>
      </c>
      <c r="H4" s="51" t="inlineStr">
        <is>
          <t>رفتار مورد انتظار</t>
        </is>
      </c>
      <c r="I4" s="51" t="inlineStr">
        <is>
          <t>وضعیت حفظ / latch</t>
        </is>
      </c>
      <c r="J4" s="51" t="inlineStr">
        <is>
          <t>چه چیزی باید ببینید تا بگویید درست است</t>
        </is>
      </c>
      <c r="K4" s="51" t="inlineStr">
        <is>
          <t>نتیجهٔ واقعی / اندازه‌گیری</t>
        </is>
      </c>
      <c r="L4" s="51" t="inlineStr">
        <is>
          <t>وضعیت</t>
        </is>
      </c>
      <c r="M4" s="51" t="inlineStr">
        <is>
          <t>شرح ایراد / تفاوت</t>
        </is>
      </c>
      <c r="N4" s="51" t="inlineStr">
        <is>
          <t>مدرک تست / scope</t>
        </is>
      </c>
      <c r="O4" s="51" t="inlineStr">
        <is>
          <t>commit</t>
        </is>
      </c>
      <c r="P4" s="51" t="inlineStr">
        <is>
          <t>نام تست‌کننده</t>
        </is>
      </c>
      <c r="Q4" s="51" t="inlineStr">
        <is>
          <t>تاریخ</t>
        </is>
      </c>
    </row>
    <row r="5" ht="54" customHeight="1">
      <c r="A5" s="55" t="inlineStr">
        <is>
          <t>CH-042</t>
        </is>
      </c>
      <c r="B5" s="56" t="inlineStr">
        <is>
          <t>شروع شارژ با وصل ورودی</t>
        </is>
      </c>
      <c r="C5" s="57" t="inlineStr">
        <is>
          <t>بالا</t>
        </is>
      </c>
      <c r="D5" s="56" t="inlineStr">
        <is>
          <t>باتری نیمه‌خالی وصل و جاافتاده؛ ورودی قطع</t>
        </is>
      </c>
      <c r="E5" s="56" t="inlineStr">
        <is>
          <t>گام ۱: با ورودیِ قطع مطمئن شو شارژی در کار نیست (جریان صفر).
گام ۲: ورودی ۲۴ ولت را وصل کن.
گام ۳: تا یک دقیقه نگاه کن؛ شارژ باید خودش شروع شود.
گام ۴: ورودی را قطع کن؛ شارژ باید بایستد.</t>
        </is>
      </c>
      <c r="F5" s="58" t="inlineStr">
        <is>
          <t>ورودی ۲۴ ولت وصل و قطع</t>
        </is>
      </c>
      <c r="G5" s="58" t="inlineStr">
        <is>
          <t>یک دقیقه</t>
        </is>
      </c>
      <c r="H5" s="56" t="inlineStr">
        <is>
          <t>با وصل ورودی شارژ خودکار شروع و با قطع آن متوقف می‌شود</t>
        </is>
      </c>
      <c r="I5" s="56" t="inlineStr">
        <is>
          <t>—</t>
        </is>
      </c>
      <c r="J5" s="56" t="inlineStr">
        <is>
          <t>باید ببینید: با وصل ورودی، جریان شارژ در پنل (یا با مولتی‌متر) بالا می‌رود و چراغ زرد چشمک می‌زند؛ با قطع ورودی جریان صفر می‌شود. اگر شارژ شروع نشد یا با قطع ورودی ادامه داشت، قبول نیست.</t>
        </is>
      </c>
      <c r="K5" s="56" t="n"/>
      <c r="L5" s="59" t="inlineStr">
        <is>
          <t>در انتظار</t>
        </is>
      </c>
      <c r="M5" s="56" t="n"/>
      <c r="N5" s="56" t="n"/>
      <c r="O5" s="58" t="n"/>
      <c r="P5" s="58" t="n"/>
      <c r="Q5" s="60">
        <f>IF(OR(L5="",L5="در انتظار"),"",IF(Q5="",TODAY(),Q5))</f>
        <v/>
      </c>
    </row>
    <row r="6" ht="54" customHeight="1">
      <c r="A6" s="55" t="inlineStr">
        <is>
          <t>CH-004</t>
        </is>
      </c>
      <c r="B6" s="56" t="inlineStr">
        <is>
          <t>تنظیم BULK</t>
        </is>
      </c>
      <c r="C6" s="57" t="inlineStr">
        <is>
          <t>بالا</t>
        </is>
      </c>
      <c r="D6" s="56" t="inlineStr">
        <is>
          <t>یک باتری نیمه‌خالی واقعی وصل است و برق شهر برقرار؛ آمپرمتر دستی یا پنل برای دیدن جریان آماده است</t>
        </is>
      </c>
      <c r="E6" s="56" t="inlineStr">
        <is>
          <t>گام ۱: شارژ را شروع کن و بگذار یک دقیقه جا بیفتد.
گام ۲: جریان شارژ را از پنل یا آمپرمتر دستی بخوان.
گام ۳: یک دقیقه دیگر نگاه کن که جریان ثابت مانده یا نه.</t>
        </is>
      </c>
      <c r="F6" s="58" t="inlineStr">
        <is>
          <t>باتری نیمه‌خالی در حال شارژ</t>
        </is>
      </c>
      <c r="G6" s="58" t="inlineStr">
        <is>
          <t>دو دقیقه</t>
        </is>
      </c>
      <c r="H6" s="56" t="inlineStr">
        <is>
          <t>جریان شارژ نزدیک سقف تنظیم‌شده (حدود ۰٫۶۴ آمپر) می‌ایستد و پایدار می‌ماند؛ بالا و پایین نمی‌پرد</t>
        </is>
      </c>
      <c r="I6" s="56" t="inlineStr">
        <is>
          <t>پایدار تا وقتی باتری پرتر شود</t>
        </is>
      </c>
      <c r="J6" s="56" t="inlineStr">
        <is>
          <t>باید ببینید: جریان شارژ (در پنل یا با مولتی‌متر) نزدیک سقف تنظیم‌شده می‌ایستد و پایدار می‌ماند و بالا و پایین نمی‌پرد. اگر نوسان شدید داشت یا خیلی کمتر یا بیشتر بود، قبول نیست.</t>
        </is>
      </c>
      <c r="K6" s="56" t="n"/>
      <c r="L6" s="59" t="inlineStr">
        <is>
          <t>در انتظار</t>
        </is>
      </c>
      <c r="M6" s="56" t="n"/>
      <c r="N6" s="56" t="n"/>
      <c r="O6" s="58" t="inlineStr">
        <is>
          <t>TESTER: fill</t>
        </is>
      </c>
      <c r="P6" s="58" t="n"/>
      <c r="Q6" s="60">
        <f>IF(OR(L6="",L6="در انتظار"),"",IF(Q6="",TODAY(),Q6))</f>
        <v/>
      </c>
    </row>
    <row r="7" ht="54" customHeight="1">
      <c r="A7" s="55" t="inlineStr">
        <is>
          <t>CH-005</t>
        </is>
      </c>
      <c r="B7" s="61" t="inlineStr">
        <is>
          <t>ABSORB</t>
        </is>
      </c>
      <c r="C7" s="62" t="inlineStr">
        <is>
          <t>بالا</t>
        </is>
      </c>
      <c r="D7" s="61" t="inlineStr">
        <is>
          <t>باتری تقریباً پر است و شارژ ادامه دارد</t>
        </is>
      </c>
      <c r="E7" s="61" t="inlineStr">
        <is>
          <t>گام ۱: باتری نزدیک‌به‌پر را به شارژ نگه دار.
گام ۲: ولتاژ باتری را با مولتی‌متر و جریان شارژ را با پنل زیر نظر بگیر.</t>
        </is>
      </c>
      <c r="F7" s="63" t="inlineStr">
        <is>
          <t>باتری تقریباً پر در شارژ</t>
        </is>
      </c>
      <c r="G7" s="63" t="inlineStr">
        <is>
          <t>ده دقیقه</t>
        </is>
      </c>
      <c r="H7" s="61" t="inlineStr">
        <is>
          <t>ولتاژ باتری تقریباً ثابت می‌ماند و جریان شارژ آرام‌آرام کم می‌شود (شارژ ملایم پایانی)</t>
        </is>
      </c>
      <c r="I7" s="61" t="inlineStr">
        <is>
          <t>تا رسیدن به حالت نگهداری</t>
        </is>
      </c>
      <c r="J7" s="61" t="inlineStr">
        <is>
          <t>باید ببینید: ولتاژ باتری تقریباً ثابت می‌ماند و جریان شارژ آرام‌آرام کم می‌شود. اگر ولتاژ از حد شارژ بالا رفت، قبول نیست.</t>
        </is>
      </c>
      <c r="K7" s="61" t="n"/>
      <c r="L7" s="59" t="inlineStr">
        <is>
          <t>در انتظار</t>
        </is>
      </c>
      <c r="M7" s="61" t="n"/>
      <c r="N7" s="61" t="n"/>
      <c r="O7" s="63" t="inlineStr">
        <is>
          <t>TESTER: fill</t>
        </is>
      </c>
      <c r="P7" s="63" t="n"/>
      <c r="Q7" s="64">
        <f>IF(OR(L7="",L7="در انتظار"),"",IF(Q7="",TODAY(),Q7))</f>
        <v/>
      </c>
    </row>
    <row r="8" ht="54" customHeight="1">
      <c r="A8" s="55" t="inlineStr">
        <is>
          <t>CH-012</t>
        </is>
      </c>
      <c r="B8" s="56" t="inlineStr">
        <is>
          <t>اعتبار sense باتری</t>
        </is>
      </c>
      <c r="C8" s="57" t="inlineStr">
        <is>
          <t>متوسط</t>
        </is>
      </c>
      <c r="D8" s="56" t="inlineStr">
        <is>
          <t>دستگاه در حال شارژ یک باتری واقعی است</t>
        </is>
      </c>
      <c r="E8" s="56" t="inlineStr">
        <is>
          <t>گام ۱: حین شارژ، سیم حس‌کردن ولتاژ باتری را جدا کن.
گام ۲: به شارژر نگاه کن؛ نباید کورکورانه به شارژ ادامه دهد.
گام ۳: سیم را وصل کن و برگشت شارژ را ببین.</t>
        </is>
      </c>
      <c r="F8" s="58" t="inlineStr">
        <is>
          <t>قطع و وصل سیم حس ولتاژ باتری</t>
        </is>
      </c>
      <c r="G8" s="58" t="inlineStr">
        <is>
          <t>دو دقیقه</t>
        </is>
      </c>
      <c r="H8" s="56" t="inlineStr">
        <is>
          <t>با قطع سیم حس، شارژ متوقف می‌ماند؛ با وصل آن، شارژ عادی برمی‌گردد</t>
        </is>
      </c>
      <c r="I8" s="56" t="inlineStr">
        <is>
          <t>توقف تا برگشت حس</t>
        </is>
      </c>
      <c r="J8" s="56" t="inlineStr">
        <is>
          <t>باید ببینید: با قطع سیم حس، شارژ متوقف می‌ماند و با وصل آن شارژ عادی برمی‌گردد. اگر بی‌حس هم شارژ ادامه داشت، قبول نیست.</t>
        </is>
      </c>
      <c r="K8" s="56" t="n"/>
      <c r="L8" s="59" t="inlineStr">
        <is>
          <t>در انتظار</t>
        </is>
      </c>
      <c r="M8" s="56" t="n"/>
      <c r="N8" s="56" t="n"/>
      <c r="O8" s="58" t="inlineStr">
        <is>
          <t>TESTER: fill</t>
        </is>
      </c>
      <c r="P8" s="58" t="n"/>
      <c r="Q8" s="60">
        <f>IF(OR(L8="",L8="در انتظار"),"",IF(Q8="",TODAY(),Q8))</f>
        <v/>
      </c>
    </row>
    <row r="9" ht="54" customHeight="1">
      <c r="A9" s="55" t="inlineStr">
        <is>
          <t>CH-013</t>
        </is>
      </c>
      <c r="B9" s="61" t="inlineStr">
        <is>
          <t>مود دستی: ورود</t>
        </is>
      </c>
      <c r="C9" s="62" t="inlineStr">
        <is>
          <t>متوسط</t>
        </is>
      </c>
      <c r="D9" s="61" t="inlineStr">
        <is>
          <t>پنل وصل است و دستگاه روشن</t>
        </is>
      </c>
      <c r="E9" s="61" t="inlineStr">
        <is>
          <t>گام ۱: از پنل مود تست دستی شارژر را روشن کن.
گام ۲: نگاه کن شارژ خودکار کنار می‌رود و شارژر فقط به فرمان دستی گوش می‌دهد.
گام ۳: یک فرمان دستی کوچک بده و اجراش را ببین.</t>
        </is>
      </c>
      <c r="F9" s="63" t="inlineStr">
        <is>
          <t>روشن‌کردن مود دستی از پنل</t>
        </is>
      </c>
      <c r="G9" s="63" t="inlineStr">
        <is>
          <t>دو دقیقه</t>
        </is>
      </c>
      <c r="H9" s="61" t="inlineStr">
        <is>
          <t>شارژر وارد مود دستی می‌شود و فقط فرمان دستی را اجرا می‌کند</t>
        </is>
      </c>
      <c r="I9" s="61" t="inlineStr">
        <is>
          <t>تا خروج از مود</t>
        </is>
      </c>
      <c r="J9" s="61" t="inlineStr">
        <is>
          <t>باید ببینید: شارژر وارد مود دستی می‌شود و فقط فرمان دستی پنل را اجرا می‌کند. اگر شارژ خودکار ادامه داشت، قبول نیست.</t>
        </is>
      </c>
      <c r="K9" s="61" t="n"/>
      <c r="L9" s="59" t="inlineStr">
        <is>
          <t>در انتظار</t>
        </is>
      </c>
      <c r="M9" s="61" t="n"/>
      <c r="N9" s="61" t="n"/>
      <c r="O9" s="63" t="inlineStr">
        <is>
          <t>TESTER: fill</t>
        </is>
      </c>
      <c r="P9" s="63" t="n"/>
      <c r="Q9" s="64">
        <f>IF(OR(L9="",L9="در انتظار"),"",IF(Q9="",TODAY(),Q9))</f>
        <v/>
      </c>
    </row>
    <row r="10" ht="54" customHeight="1">
      <c r="A10" s="55" t="inlineStr">
        <is>
          <t>CH-018</t>
        </is>
      </c>
      <c r="B10" s="56" t="inlineStr">
        <is>
          <t>خروج از مود دستی</t>
        </is>
      </c>
      <c r="C10" s="57" t="inlineStr">
        <is>
          <t>متوسط</t>
        </is>
      </c>
      <c r="D10" s="56" t="inlineStr">
        <is>
          <t>شارژر در مود تست دستی است</t>
        </is>
      </c>
      <c r="E10" s="56" t="inlineStr">
        <is>
          <t>گام ۱: از پنل از مود دستی خارج شو.
گام ۲: یک باتری نیمه‌خالی را زیر نظر بگیر.</t>
        </is>
      </c>
      <c r="F10" s="58" t="inlineStr">
        <is>
          <t>خروج از مود دستی</t>
        </is>
      </c>
      <c r="G10" s="58" t="inlineStr">
        <is>
          <t>پنج دقیقه</t>
        </is>
      </c>
      <c r="H10" s="56" t="inlineStr">
        <is>
          <t>شارژ خودکار عادی از سر گرفته می‌شود و باتری مثل همیشه شارژ می‌شود</t>
        </is>
      </c>
      <c r="I10" s="56" t="inlineStr">
        <is>
          <t>برگشت به خودکار</t>
        </is>
      </c>
      <c r="J10" s="56" t="inlineStr">
        <is>
          <t>باید ببینید: شارژ خودکار عادی از سر گرفته می‌شود و باتری مثل همیشه شارژ می‌شود. اگر در مود دستی ماند، قبول نیست.</t>
        </is>
      </c>
      <c r="K10" s="56" t="n"/>
      <c r="L10" s="59" t="inlineStr">
        <is>
          <t>در انتظار</t>
        </is>
      </c>
      <c r="M10" s="56" t="n"/>
      <c r="N10" s="56" t="n"/>
      <c r="O10" s="58" t="inlineStr">
        <is>
          <t>TESTER: fill</t>
        </is>
      </c>
      <c r="P10" s="58" t="n"/>
      <c r="Q10" s="60">
        <f>IF(OR(L10="",L10="در انتظار"),"",IF(Q10="",TODAY(),Q10))</f>
        <v/>
      </c>
    </row>
    <row r="11" ht="54" customHeight="1">
      <c r="A11" s="55" t="inlineStr">
        <is>
          <t>CH-037</t>
        </is>
      </c>
      <c r="B11" s="56" t="inlineStr">
        <is>
          <t>ورودی خارج بازه 22-30V</t>
        </is>
      </c>
      <c r="C11" s="57" t="inlineStr">
        <is>
          <t>متوسط</t>
        </is>
      </c>
      <c r="D11" s="56" t="inlineStr">
        <is>
          <t>ورودی از منبع آزمایشگاهی می‌آید تا ولتاژش را عوض کنی؛ باتری وصل است</t>
        </is>
      </c>
      <c r="E11" s="56" t="inlineStr">
        <is>
          <t>گام ۱: ولتاژ ورودی را زیر ۲۲ ولت بیاور؛ شارژ نباید شروع شود.
گام ۲: به ۲۴ ولت برگردان؛ شارژ باید شروع شود.
گام ۳: ولتاژ را بالای ۳۰ ببر؛ شارژ باید بایستد.
گام ۴: به ۲۴ برگردان؛ شارژ باید خودش برگردد.</t>
        </is>
      </c>
      <c r="F11" s="58" t="inlineStr">
        <is>
          <t>ورودی: پایین، ۲۴، بالا، ۲۴ ولت</t>
        </is>
      </c>
      <c r="G11" s="58" t="inlineStr">
        <is>
          <t>پنج دقیقه</t>
        </is>
      </c>
      <c r="H11" s="56" t="inlineStr">
        <is>
          <t>خارج از بازهٔ سالم شارژ نداریم و با برگشت ورودی به ۲۴ ولت شارژ خودش برمی‌گردد</t>
        </is>
      </c>
      <c r="I11" s="56" t="inlineStr">
        <is>
          <t>بدون قفل</t>
        </is>
      </c>
      <c r="J11" s="56" t="inlineStr">
        <is>
          <t>باید ببینید: خارج از بازهٔ سالم ورودی شارژی نیست و با برگشت ورودی به ۲۴ ولت شارژ خودش برمی‌گردد. اگر خارج از بازه شارژ کرد یا برنگشت، قبول نیست.</t>
        </is>
      </c>
      <c r="K11" s="56" t="n"/>
      <c r="L11" s="67" t="inlineStr">
        <is>
          <t>نیاز به تکرار</t>
        </is>
      </c>
      <c r="M11" s="56" t="n"/>
      <c r="N11" s="56" t="n"/>
      <c r="O11" s="58" t="inlineStr">
        <is>
          <t>thermal</t>
        </is>
      </c>
      <c r="P11" s="58" t="n"/>
      <c r="Q11" s="60">
        <f>IF(OR(L11="",L11="در انتظار"),"",IF(Q11="",TODAY(),Q11))</f>
        <v/>
      </c>
    </row>
    <row r="12" ht="54" customHeight="1">
      <c r="A12" s="55" t="inlineStr">
        <is>
          <t>CH-040</t>
        </is>
      </c>
      <c r="B12" s="56" t="inlineStr">
        <is>
          <t>سناریوی ۶: باتری خراب دیگر شارژ نمی‌شود</t>
        </is>
      </c>
      <c r="C12" s="57" t="inlineStr">
        <is>
          <t>متوسط</t>
        </is>
      </c>
      <c r="D12" s="56" t="inlineStr">
        <is>
          <t>از پنل زمان سناریوی باتری خراب (شناسهٔ ۱۲۵) را موقتاً روی چند دقیقه بگذار؛ یک باتری خالی وصل است</t>
        </is>
      </c>
      <c r="E12" s="56" t="inlineStr">
        <is>
          <t>گام ۱: باتری خالی را به شارژ بزن و نگذار در این مدت به شارژ کامل برسد.
گام ۲: بعد از گذشت زمان تنظیم‌شده، ببین شارژ همان کانال متوقف شده و قرمز ثابت آمده.
گام ۳: برق را قطع و وصل کن؛ شارژ آن باتری نباید دوباره شروع شود.
گام ۴: باتری را با سالم عوض کن؛ شارژ باید عادی شروع شود.
گام ۵: شناسهٔ ۱۲۵ را به مقدار واقعی (یک شبانه‌روز) برگردان.</t>
        </is>
      </c>
      <c r="F12" s="58" t="inlineStr">
        <is>
          <t>شارژ باتری خالی با زمان کوتاه‌شده</t>
        </is>
      </c>
      <c r="G12" s="58" t="inlineStr">
        <is>
          <t>چند دقیقه + زمان تنظیم‌شده</t>
        </is>
      </c>
      <c r="H12" s="56" t="inlineStr">
        <is>
          <t>بعد از زمان، آن باتری دیگر شارژ نمی‌شود تا وقتی واقعاً عوض شود</t>
        </is>
      </c>
      <c r="I12" s="56" t="inlineStr">
        <is>
          <t>قفل تا تعویض باتری</t>
        </is>
      </c>
      <c r="J12" s="56" t="inlineStr">
        <is>
          <t>باید ببینید: بعد از زمان تنظیم‌شده، آن باتری دیگر شارژ نمی‌شود تا وقتی واقعاً عوض شود؛ با باتری سالم شارژ عادی شروع می‌شود. اگر همان باتری دوباره شارژ شد، قبول نیست.</t>
        </is>
      </c>
      <c r="K12" s="56" t="n"/>
      <c r="L12" s="67" t="inlineStr">
        <is>
          <t>در انتظار</t>
        </is>
      </c>
      <c r="M12" s="56" t="n"/>
      <c r="N12" s="56" t="n"/>
      <c r="O12" s="58" t="n"/>
      <c r="P12" s="58" t="n"/>
      <c r="Q12" s="60">
        <f>IF(OR(L12="",L12="در انتظار"),"",IF(Q12="",TODAY(),Q12))</f>
        <v/>
      </c>
    </row>
    <row r="13" ht="54" customHeight="1">
      <c r="A13" s="55" t="inlineStr">
        <is>
          <t>CH-041</t>
        </is>
      </c>
      <c r="B13" s="56" t="inlineStr">
        <is>
          <t>خطای ۷: کانال بی‌جریان قفل فنی می‌سازد</t>
        </is>
      </c>
      <c r="C13" s="57" t="inlineStr">
        <is>
          <t>متوسط</t>
        </is>
      </c>
      <c r="D13" s="56" t="inlineStr">
        <is>
          <t>دستگاه در حال شارژ است و فیوز خروجی هر کانال را می‌شناسی</t>
        </is>
      </c>
      <c r="E13" s="56" t="inlineStr">
        <is>
          <t>گام ۱: فیوز خروجی یک کانال را دربیاور.
گام ۲: چند ثانیه صبر کن: شارژ کلاً باید قفل شود و هر سه چراغ با هم چشمک بزنند.
گام ۳: فیوز را جا بزن؛ درست نباید بشود.
گام ۴: خاموش و روشن کن؛ شارژ عادی باید برگردد.</t>
        </is>
      </c>
      <c r="F13" s="58" t="inlineStr">
        <is>
          <t>دربیاوردن فیوز یک کانال حین شارژ</t>
        </is>
      </c>
      <c r="G13" s="58" t="inlineStr">
        <is>
          <t>پنج دقیقه</t>
        </is>
      </c>
      <c r="H13" s="56" t="inlineStr">
        <is>
          <t>خطای فنی ۷ قفل می‌شود و فقط با خاموش/روشن پاک می‌شود</t>
        </is>
      </c>
      <c r="I13" s="56" t="inlineStr">
        <is>
          <t>قفل تا ریست</t>
        </is>
      </c>
      <c r="J13" s="56" t="inlineStr">
        <is>
          <t>باید ببینید: خطای فنی قفل می‌شود و فقط با خاموش و روشن‌کردن دستگاه پاک می‌شود. اگر شارژ بی‌جریان ادامه داشت، قبول نیست.</t>
        </is>
      </c>
      <c r="K13" s="56" t="n"/>
      <c r="L13" s="67" t="inlineStr">
        <is>
          <t>در انتظار</t>
        </is>
      </c>
      <c r="M13" s="56" t="n"/>
      <c r="N13" s="56" t="n"/>
      <c r="O13" s="58" t="n"/>
      <c r="P13" s="58" t="n"/>
      <c r="Q13" s="60">
        <f>IF(OR(L13="",L13="در انتظار"),"",IF(Q13="",TODAY(),Q13))</f>
        <v/>
      </c>
    </row>
    <row r="14" ht="54" customHeight="1">
      <c r="A14" s="55" t="inlineStr">
        <is>
          <t>CH-006</t>
        </is>
      </c>
      <c r="B14" s="56" t="inlineStr">
        <is>
          <t>شستشوی ABSORB</t>
        </is>
      </c>
      <c r="C14" s="58" t="inlineStr">
        <is>
          <t>متوسط</t>
        </is>
      </c>
      <c r="D14" s="56" t="inlineStr">
        <is>
          <t>باتری در شارژ پایانی (جذب) است</t>
        </is>
      </c>
      <c r="E14" s="56" t="inlineStr">
        <is>
          <t>گام ۱: حین شارژ پایانی، یک مصرف کوتاه و واقعی از باتری بکش (مثلاً یک لامپ را چند ثانیه روشن کن) و بردار.
گام ۲: رفتار شارژر را نگاه کن.</t>
        </is>
      </c>
      <c r="F14" s="58" t="inlineStr">
        <is>
          <t>مصرف کوتاه حین شارژ پایانی</t>
        </is>
      </c>
      <c r="G14" s="58" t="inlineStr">
        <is>
          <t>پنج دقیقه</t>
        </is>
      </c>
      <c r="H14" s="56" t="inlineStr">
        <is>
          <t>شارژر به شارژ تند برنمی‌گردد؛ همان شارژ پایانی آرام را ادامه می‌دهد تا باتری کامل شود</t>
        </is>
      </c>
      <c r="I14" s="56" t="inlineStr">
        <is>
          <t>بدون برگشت به شارژ تند</t>
        </is>
      </c>
      <c r="J14" s="56" t="inlineStr">
        <is>
          <t>باید ببینید: شارژر به شارژ تند برنمی‌گردد و همان شارژ پایانی آرام را ادامه می‌دهد تا باتری کامل شود. اگر به جریان کامل برگشت، قبول نیست.</t>
        </is>
      </c>
      <c r="K14" s="56" t="n"/>
      <c r="L14" s="59" t="inlineStr">
        <is>
          <t>در انتظار</t>
        </is>
      </c>
      <c r="M14" s="56" t="n"/>
      <c r="N14" s="56" t="n"/>
      <c r="O14" s="58" t="inlineStr">
        <is>
          <t>TESTER: fill</t>
        </is>
      </c>
      <c r="P14" s="58" t="n"/>
      <c r="Q14" s="60">
        <f>IF(OR(L14="",L14="در انتظار"),"",IF(Q14="",TODAY(),Q14))</f>
        <v/>
      </c>
    </row>
    <row r="15" ht="54" customHeight="1">
      <c r="A15" s="55" t="inlineStr">
        <is>
          <t>CH-007</t>
        </is>
      </c>
      <c r="B15" s="61" t="inlineStr">
        <is>
          <t>FLOAT و reentry</t>
        </is>
      </c>
      <c r="C15" s="63" t="inlineStr">
        <is>
          <t>متوسط</t>
        </is>
      </c>
      <c r="D15" s="61" t="inlineStr">
        <is>
          <t>باتری کاملاً پر شده و شارژ به حالت نگهداری رسیده (جریان خیلی کم)</t>
        </is>
      </c>
      <c r="E15" s="61" t="inlineStr">
        <is>
          <t>گام ۱: بگذار باتری کامل پر و شارژ آرام شود.
گام ۲: یک بار واقعی روی خروجی بکش تا باتری کمی خالی شود.
گام ۳: نگاه کن شارژ دوباره کی و چطور شروع می‌شود.</t>
        </is>
      </c>
      <c r="F15" s="63" t="inlineStr">
        <is>
          <t>باتری پر، بعد کمی مصرف واقعی</t>
        </is>
      </c>
      <c r="G15" s="63" t="inlineStr">
        <is>
          <t>ده دقیقه</t>
        </is>
      </c>
      <c r="H15" s="61" t="inlineStr">
        <is>
          <t>در حالت پر، جریان نگهداری خیلی کم است؛ با کمی خالی‌شدن، شارژ خودش دوباره شروع می‌شود</t>
        </is>
      </c>
      <c r="I15" s="61" t="inlineStr">
        <is>
          <t>رفت‌وبرگشت خودکار پر/شارژ</t>
        </is>
      </c>
      <c r="J15" s="61" t="inlineStr">
        <is>
          <t>باید ببینید: در حالت پر جریان نگهداری خیلی کم است و با کمی خالی‌شدن باتری، شارژ خودش دوباره شروع می‌شود. اگر دوباره شارژ نشد یا بی‌وقفه شارژ کرد، قبول نیست.</t>
        </is>
      </c>
      <c r="K15" s="61" t="n"/>
      <c r="L15" s="59" t="inlineStr">
        <is>
          <t>در انتظار</t>
        </is>
      </c>
      <c r="M15" s="61" t="n"/>
      <c r="N15" s="61" t="n"/>
      <c r="O15" s="63" t="inlineStr">
        <is>
          <t>TESTER: fill</t>
        </is>
      </c>
      <c r="P15" s="63" t="n"/>
      <c r="Q15" s="64">
        <f>IF(OR(L15="",L15="در انتظار"),"",IF(Q15="",TODAY(),Q15))</f>
        <v/>
      </c>
    </row>
    <row r="16" ht="54" customHeight="1">
      <c r="A16" s="55" t="inlineStr">
        <is>
          <t>CH-014</t>
        </is>
      </c>
      <c r="B16" s="56" t="inlineStr">
        <is>
          <t>مود دستی: ددمن لینک</t>
        </is>
      </c>
      <c r="C16" s="57" t="inlineStr">
        <is>
          <t>متوسط</t>
        </is>
      </c>
      <c r="D16" s="56" t="inlineStr">
        <is>
          <t>شارژر در مود تست دستی و در حال اجرای فرمان دستی است</t>
        </is>
      </c>
      <c r="E16" s="65" t="inlineStr">
        <is>
          <t>گام ۱: کابل ارتباطی پنل (ESP) را بکش تا فرمان تازه‌ای نرسد.
گام ۲: کرنومتر بگیر و شارژر را نگاه کن.
گام ۳: کابل را وصل کن.</t>
        </is>
      </c>
      <c r="F16" s="58" t="inlineStr">
        <is>
          <t>قطع ارتباط پنل حین مود دستی</t>
        </is>
      </c>
      <c r="G16" s="58" t="inlineStr">
        <is>
          <t>دو دقیقه</t>
        </is>
      </c>
      <c r="H16" s="56" t="inlineStr">
        <is>
          <t>بعد از چند ثانیه بی‌ارتباطی، شارژ دستی خودش متوقف می‌شود؛ نباید بی‌صاحب ادامه دهد</t>
        </is>
      </c>
      <c r="I16" s="56" t="inlineStr">
        <is>
          <t>توقف خودکار با قطع ارتباط</t>
        </is>
      </c>
      <c r="J16" s="56" t="inlineStr">
        <is>
          <t>باید ببینید: بعد از چند ثانیه قطع ارتباط، شارژ دستی خودش متوقف می‌شود و بی‌صاحب ادامه نمی‌دهد. اگر بی‌ارتباط هم ادامه داد، قبول نیست.</t>
        </is>
      </c>
      <c r="K16" s="56" t="n"/>
      <c r="L16" s="59" t="inlineStr">
        <is>
          <t>در انتظار</t>
        </is>
      </c>
      <c r="M16" s="56" t="n"/>
      <c r="N16" s="56" t="n"/>
      <c r="O16" s="58" t="inlineStr">
        <is>
          <t>TESTER: fill</t>
        </is>
      </c>
      <c r="P16" s="58" t="n"/>
      <c r="Q16" s="60">
        <f>IF(OR(L16="",L16="در انتظار"),"",IF(Q16="",TODAY(),Q16))</f>
        <v/>
      </c>
    </row>
    <row r="17" ht="54" customHeight="1">
      <c r="A17" s="55" t="inlineStr">
        <is>
          <t>CH-016</t>
        </is>
      </c>
      <c r="B17" s="56" t="inlineStr">
        <is>
          <t>مود دستی: قطع 15V</t>
        </is>
      </c>
      <c r="C17" s="57" t="inlineStr">
        <is>
          <t>متوسط</t>
        </is>
      </c>
      <c r="D17" s="56" t="inlineStr">
        <is>
          <t>شارژر در مود تست دستی در حال کار است</t>
        </is>
      </c>
      <c r="E17" s="56" t="inlineStr">
        <is>
          <t>گام ۱: برق طبقهٔ قدرت شارژر را قطع کن (همان کاری که در تعمیرات می‌کنی).
گام ۲: رفتار کانال را ببین.
گام ۳: برق را برگردان.</t>
        </is>
      </c>
      <c r="F17" s="58" t="inlineStr">
        <is>
          <t>قطع و وصل برق طبقهٔ قدرت در مود دستی</t>
        </is>
      </c>
      <c r="G17" s="58" t="inlineStr">
        <is>
          <t>یک دقیقه</t>
        </is>
      </c>
      <c r="H17" s="56" t="inlineStr">
        <is>
          <t>کانال همان لحظه بیکار و بی‌خطر می‌شود و با برگشت برق، رفتار عادی برمی‌گردد</t>
        </is>
      </c>
      <c r="I17" s="56" t="inlineStr">
        <is>
          <t>بدون قفل اضافه</t>
        </is>
      </c>
      <c r="J17" s="56" t="inlineStr">
        <is>
          <t>باید ببینید: کانال همان لحظه بیکار و بی‌خطر می‌شود و با برگشت برق رفتار عادی برمی‌گردد. اگر رفتار غیرعادی دیدید، قبول نیست.</t>
        </is>
      </c>
      <c r="K17" s="56" t="n"/>
      <c r="L17" s="59" t="inlineStr">
        <is>
          <t>در انتظار</t>
        </is>
      </c>
      <c r="M17" s="56" t="n"/>
      <c r="N17" s="56" t="n"/>
      <c r="O17" s="58" t="inlineStr">
        <is>
          <t>TESTER: fill</t>
        </is>
      </c>
      <c r="P17" s="58" t="n"/>
      <c r="Q17" s="60">
        <f>IF(OR(L17="",L17="در انتظار"),"",IF(Q17="",TODAY(),Q17))</f>
        <v/>
      </c>
    </row>
    <row r="18" ht="54" customHeight="1">
      <c r="A18" s="55" t="inlineStr">
        <is>
          <t>CH-017</t>
        </is>
      </c>
      <c r="B18" s="61" t="inlineStr">
        <is>
          <t>مود دستی: قطع کانال</t>
        </is>
      </c>
      <c r="C18" s="63" t="inlineStr">
        <is>
          <t>متوسط</t>
        </is>
      </c>
      <c r="D18" s="61" t="inlineStr">
        <is>
          <t>هر دو کانال شارژر در مود دستی در حال کارند (دو باتری وصل)</t>
        </is>
      </c>
      <c r="E18" s="66" t="inlineStr">
        <is>
          <t>گام ۱: از پنل فقط یک کانال را خاموش کن.
گام ۲: هر دو کانال را نگاه کن.
گام ۳: کانال خاموش را دوباره روشن کن.</t>
        </is>
      </c>
      <c r="F18" s="63" t="inlineStr">
        <is>
          <t>خاموش/روشن کردن یک کانال از پنل</t>
        </is>
      </c>
      <c r="G18" s="63" t="inlineStr">
        <is>
          <t>دو دقیقه</t>
        </is>
      </c>
      <c r="H18" s="61" t="inlineStr">
        <is>
          <t>فقط همان کانال می‌ایستد و کانال دیگر بی‌تغییر ادامه می‌دهد</t>
        </is>
      </c>
      <c r="I18" s="61" t="inlineStr">
        <is>
          <t>استقلال دو کانال</t>
        </is>
      </c>
      <c r="J18" s="61" t="inlineStr">
        <is>
          <t>باید ببینید: فقط همان کانال می‌ایستد و کانال دیگر بی‌تغییر ادامه می‌دهد. اگر روی کانال دیگر اثر گذاشت، قبول نیست.</t>
        </is>
      </c>
      <c r="K18" s="61" t="n"/>
      <c r="L18" s="59" t="inlineStr">
        <is>
          <t>در انتظار</t>
        </is>
      </c>
      <c r="M18" s="61" t="n"/>
      <c r="N18" s="61" t="n"/>
      <c r="O18" s="63" t="inlineStr">
        <is>
          <t>TESTER: fill</t>
        </is>
      </c>
      <c r="P18" s="63" t="n"/>
      <c r="Q18" s="64">
        <f>IF(OR(L18="",L18="در انتظار"),"",IF(Q18="",TODAY(),Q18))</f>
        <v/>
      </c>
    </row>
    <row r="19" ht="54" customHeight="1">
      <c r="A19" s="55" t="inlineStr">
        <is>
          <t>CH-019</t>
        </is>
      </c>
      <c r="B19" s="61" t="inlineStr">
        <is>
          <t>سقف duty زنده</t>
        </is>
      </c>
      <c r="C19" s="63" t="inlineStr">
        <is>
          <t>متوسط</t>
        </is>
      </c>
      <c r="D19" s="61" t="inlineStr">
        <is>
          <t>دستگاه در حال شارژ یک باتری نیمه‌خالی است</t>
        </is>
      </c>
      <c r="E19" s="61" t="inlineStr">
        <is>
          <t>گام ۱: از پنل سقف توان شارژ را کمتر کن.
گام ۲: جریان شارژ را در پنل یا آمپرمتر ببین.
گام ۳: سقف را به حالت اول برگردان.</t>
        </is>
      </c>
      <c r="F19" s="63" t="inlineStr">
        <is>
          <t>کم و زیاد کردن سقف توان از پنل</t>
        </is>
      </c>
      <c r="G19" s="63" t="inlineStr">
        <is>
          <t>پنج دقیقه</t>
        </is>
      </c>
      <c r="H19" s="61" t="inlineStr">
        <is>
          <t>جریان شارژ به همان نسبت کم و زیاد می‌شود، بدون اینکه دستگاه خاموش یا خطادار شود</t>
        </is>
      </c>
      <c r="I19" s="61" t="inlineStr">
        <is>
          <t>بدون قفل</t>
        </is>
      </c>
      <c r="J19" s="61" t="inlineStr">
        <is>
          <t>باید ببینید: جریان شارژ به همان نسبت سقف کم و زیاد می‌شود و دستگاه خاموش یا خطادار نمی‌شود. اگر سقف بی‌اثر بود، قبول نیست.</t>
        </is>
      </c>
      <c r="K19" s="61" t="n"/>
      <c r="L19" s="59" t="inlineStr">
        <is>
          <t>در انتظار</t>
        </is>
      </c>
      <c r="M19" s="61" t="n"/>
      <c r="N19" s="61" t="n"/>
      <c r="O19" s="63" t="inlineStr">
        <is>
          <t>TESTER: fill</t>
        </is>
      </c>
      <c r="P19" s="63" t="n"/>
      <c r="Q19" s="64">
        <f>IF(OR(L19="",L19="در انتظار"),"",IF(Q19="",TODAY(),Q19))</f>
        <v/>
      </c>
    </row>
    <row r="20" ht="54" customHeight="1">
      <c r="A20" s="55" t="inlineStr">
        <is>
          <t>CH-036</t>
        </is>
      </c>
      <c r="B20" s="61" t="inlineStr">
        <is>
          <t>استراحت حرارتی 1h-&gt;10min</t>
        </is>
      </c>
      <c r="C20" s="62" t="inlineStr">
        <is>
          <t>متوسط</t>
        </is>
      </c>
      <c r="D20" s="61" t="inlineStr">
        <is>
          <t>دو باتری خالی واقعی وصل و هر دو کانال آمادهٔ شارژ سنگین‌اند</t>
        </is>
      </c>
      <c r="E20" s="61" t="inlineStr">
        <is>
          <t>گام ۱: هر دو کانال را با باتری خالی به شارژ بزن.
گام ۲: حدود یک ساعت شارژ سنگین را زیر نظر بگیر (هر از چندی سر بزن).
گام ۳: بعد از حدود یک ساعت، هر کانال باید حدود ده دقیقه استراحت کند: جریان صفر ولی باتری وصل می‌ماند.
گام ۴: بعد از استراحت، شارژ باید خودش ادامه پیدا کند.</t>
        </is>
      </c>
      <c r="F20" s="63" t="inlineStr">
        <is>
          <t>یک ساعت شارژ سنگین هر دو کانال</t>
        </is>
      </c>
      <c r="G20" s="63" t="inlineStr">
        <is>
          <t>حدود یک ساعت و نیم</t>
        </is>
      </c>
      <c r="H20" s="61" t="inlineStr">
        <is>
          <t>بعد از یک ساعت شارژ سنگین، هر کانال ده دقیقه استراحت می‌کند و بعد خودش به شارژ برمی‌گردد</t>
        </is>
      </c>
      <c r="I20" s="61" t="inlineStr">
        <is>
          <t>استراحت و ادامهٔ خودکار</t>
        </is>
      </c>
      <c r="J20" s="61" t="inlineStr">
        <is>
          <t>باید ببینید: بعد از حدود یک ساعت شارژ سنگین، کانال حدود ده دقیقه استراحت می‌کند و بعد خودش به شارژ برمی‌گردد. اگر بی‌وقفه چند ساعت شارژ کرد یا برای همیشه ایستاد، قبول نیست.</t>
        </is>
      </c>
      <c r="K20" s="61" t="n"/>
      <c r="L20" s="67" t="inlineStr">
        <is>
          <t>نیاز به تکرار</t>
        </is>
      </c>
      <c r="M20" s="61" t="n"/>
      <c r="N20" s="61" t="n"/>
      <c r="O20" s="63" t="inlineStr">
        <is>
          <t>thermal</t>
        </is>
      </c>
      <c r="P20" s="63" t="n"/>
      <c r="Q20" s="64">
        <f>IF(OR(L20="",L20="در انتظار"),"",IF(Q20="",TODAY(),Q20))</f>
        <v/>
      </c>
    </row>
    <row r="21">
      <c r="A21" s="83" t="n"/>
      <c r="B21" s="83" t="n"/>
      <c r="C21" s="83" t="n"/>
      <c r="D21" s="83" t="n"/>
      <c r="E21" s="83" t="n"/>
      <c r="F21" s="83" t="n"/>
      <c r="G21" s="83" t="n"/>
      <c r="H21" s="83" t="n"/>
      <c r="I21" s="83" t="n"/>
      <c r="J21" s="83" t="n"/>
      <c r="K21" s="83" t="n"/>
      <c r="L21" s="83" t="n"/>
      <c r="M21" s="83" t="n"/>
      <c r="N21" s="83" t="n"/>
      <c r="O21" s="83" t="n"/>
      <c r="P21" s="83" t="n"/>
      <c r="Q21" s="84" t="n"/>
    </row>
    <row r="22">
      <c r="A22" s="83" t="n"/>
      <c r="B22" s="83" t="n"/>
      <c r="C22" s="83" t="n"/>
      <c r="D22" s="83" t="n"/>
      <c r="E22" s="83" t="n"/>
      <c r="F22" s="83" t="n"/>
      <c r="G22" s="83" t="n"/>
      <c r="H22" s="83" t="n"/>
      <c r="I22" s="83" t="n"/>
      <c r="J22" s="83" t="n"/>
      <c r="K22" s="83" t="n"/>
      <c r="L22" s="83" t="n"/>
      <c r="M22" s="83" t="n"/>
      <c r="N22" s="83" t="n"/>
      <c r="O22" s="83" t="n"/>
      <c r="P22" s="83" t="n"/>
      <c r="Q22" s="84" t="n"/>
    </row>
    <row r="23">
      <c r="A23" s="83" t="n"/>
      <c r="B23" s="83" t="n"/>
      <c r="C23" s="83" t="n"/>
      <c r="D23" s="83" t="n"/>
      <c r="E23" s="83" t="n"/>
      <c r="F23" s="83" t="n"/>
      <c r="G23" s="83" t="n"/>
      <c r="H23" s="83" t="n"/>
      <c r="I23" s="83" t="n"/>
      <c r="J23" s="83" t="n"/>
      <c r="K23" s="83" t="n"/>
      <c r="L23" s="83" t="n"/>
      <c r="M23" s="83" t="n"/>
      <c r="N23" s="83" t="n"/>
      <c r="O23" s="83" t="n"/>
      <c r="P23" s="83" t="n"/>
      <c r="Q23" s="84" t="n"/>
    </row>
    <row r="24">
      <c r="A24" s="83" t="n"/>
      <c r="B24" s="83" t="n"/>
      <c r="C24" s="83" t="n"/>
      <c r="D24" s="83" t="n"/>
      <c r="E24" s="83" t="n"/>
      <c r="F24" s="83" t="n"/>
      <c r="G24" s="83" t="n"/>
      <c r="H24" s="83" t="n"/>
      <c r="I24" s="83" t="n"/>
      <c r="J24" s="83" t="n"/>
      <c r="K24" s="83" t="n"/>
      <c r="L24" s="83" t="n"/>
      <c r="M24" s="83" t="n"/>
      <c r="N24" s="83" t="n"/>
      <c r="O24" s="83" t="n"/>
      <c r="P24" s="83" t="n"/>
      <c r="Q24" s="84" t="n"/>
    </row>
    <row r="25">
      <c r="A25" s="83" t="n"/>
      <c r="B25" s="83" t="n"/>
      <c r="C25" s="83" t="n"/>
      <c r="D25" s="83" t="n"/>
      <c r="E25" s="83" t="n"/>
      <c r="F25" s="83" t="n"/>
      <c r="G25" s="83" t="n"/>
      <c r="H25" s="83" t="n"/>
      <c r="I25" s="83" t="n"/>
      <c r="J25" s="83" t="n"/>
      <c r="K25" s="83" t="n"/>
      <c r="L25" s="83" t="n"/>
      <c r="M25" s="83" t="n"/>
      <c r="N25" s="83" t="n"/>
      <c r="O25" s="83" t="n"/>
      <c r="P25" s="83" t="n"/>
      <c r="Q25" s="84" t="n"/>
    </row>
    <row r="26">
      <c r="A26" s="83" t="n"/>
      <c r="B26" s="83" t="n"/>
      <c r="C26" s="83" t="n"/>
      <c r="D26" s="83" t="n"/>
      <c r="E26" s="83" t="n"/>
      <c r="F26" s="83" t="n"/>
      <c r="G26" s="83" t="n"/>
      <c r="H26" s="83" t="n"/>
      <c r="I26" s="83" t="n"/>
      <c r="J26" s="83" t="n"/>
      <c r="K26" s="83" t="n"/>
      <c r="L26" s="83" t="n"/>
      <c r="M26" s="83" t="n"/>
      <c r="N26" s="83" t="n"/>
      <c r="O26" s="83" t="n"/>
      <c r="P26" s="83" t="n"/>
      <c r="Q26" s="84" t="n"/>
    </row>
    <row r="27">
      <c r="A27" s="83" t="n"/>
      <c r="B27" s="83" t="n"/>
      <c r="C27" s="83" t="n"/>
      <c r="D27" s="83" t="n"/>
      <c r="E27" s="83" t="n"/>
      <c r="F27" s="83" t="n"/>
      <c r="G27" s="83" t="n"/>
      <c r="H27" s="83" t="n"/>
      <c r="I27" s="83" t="n"/>
      <c r="J27" s="83" t="n"/>
      <c r="K27" s="83" t="n"/>
      <c r="L27" s="83" t="n"/>
      <c r="M27" s="83" t="n"/>
      <c r="N27" s="83" t="n"/>
      <c r="O27" s="83" t="n"/>
      <c r="P27" s="83" t="n"/>
      <c r="Q27" s="84" t="n"/>
    </row>
    <row r="28">
      <c r="A28" s="83" t="n"/>
      <c r="B28" s="83" t="n"/>
      <c r="C28" s="83" t="n"/>
      <c r="D28" s="83" t="n"/>
      <c r="E28" s="83" t="n"/>
      <c r="F28" s="83" t="n"/>
      <c r="G28" s="83" t="n"/>
      <c r="H28" s="83" t="n"/>
      <c r="I28" s="83" t="n"/>
      <c r="J28" s="83" t="n"/>
      <c r="K28" s="83" t="n"/>
      <c r="L28" s="83" t="n"/>
      <c r="M28" s="83" t="n"/>
      <c r="N28" s="83" t="n"/>
      <c r="O28" s="83" t="n"/>
      <c r="P28" s="83" t="n"/>
      <c r="Q28" s="84" t="n"/>
    </row>
    <row r="29">
      <c r="A29" s="83" t="n"/>
      <c r="B29" s="83" t="n"/>
      <c r="C29" s="83" t="n"/>
      <c r="D29" s="83" t="n"/>
      <c r="E29" s="83" t="n"/>
      <c r="F29" s="83" t="n"/>
      <c r="G29" s="83" t="n"/>
      <c r="H29" s="83" t="n"/>
      <c r="I29" s="83" t="n"/>
      <c r="J29" s="83" t="n"/>
      <c r="K29" s="83" t="n"/>
      <c r="L29" s="83" t="n"/>
      <c r="M29" s="83" t="n"/>
      <c r="N29" s="83" t="n"/>
      <c r="O29" s="83" t="n"/>
      <c r="P29" s="83" t="n"/>
      <c r="Q29" s="84" t="n"/>
    </row>
    <row r="30">
      <c r="A30" s="83" t="n"/>
      <c r="B30" s="83" t="n"/>
      <c r="C30" s="83" t="n"/>
      <c r="D30" s="83" t="n"/>
      <c r="E30" s="83" t="n"/>
      <c r="F30" s="83" t="n"/>
      <c r="G30" s="83" t="n"/>
      <c r="H30" s="83" t="n"/>
      <c r="I30" s="83" t="n"/>
      <c r="J30" s="83" t="n"/>
      <c r="K30" s="83" t="n"/>
      <c r="L30" s="83" t="n"/>
      <c r="M30" s="83" t="n"/>
      <c r="N30" s="83" t="n"/>
      <c r="O30" s="83" t="n"/>
      <c r="P30" s="83" t="n"/>
      <c r="Q30" s="84" t="n"/>
    </row>
    <row r="31">
      <c r="A31" s="83" t="n"/>
      <c r="B31" s="83" t="n"/>
      <c r="C31" s="83" t="n"/>
      <c r="D31" s="83" t="n"/>
      <c r="E31" s="83" t="n"/>
      <c r="F31" s="83" t="n"/>
      <c r="G31" s="83" t="n"/>
      <c r="H31" s="83" t="n"/>
      <c r="I31" s="83" t="n"/>
      <c r="J31" s="83" t="n"/>
      <c r="K31" s="83" t="n"/>
      <c r="L31" s="83" t="n"/>
      <c r="M31" s="83" t="n"/>
      <c r="N31" s="83" t="n"/>
      <c r="O31" s="83" t="n"/>
      <c r="P31" s="83" t="n"/>
      <c r="Q31" s="84" t="n"/>
    </row>
    <row r="32">
      <c r="A32" s="83" t="n"/>
      <c r="B32" s="83" t="n"/>
      <c r="C32" s="83" t="n"/>
      <c r="D32" s="83" t="n"/>
      <c r="E32" s="83" t="n"/>
      <c r="F32" s="83" t="n"/>
      <c r="G32" s="83" t="n"/>
      <c r="H32" s="83" t="n"/>
      <c r="I32" s="83" t="n"/>
      <c r="J32" s="83" t="n"/>
      <c r="K32" s="83" t="n"/>
      <c r="L32" s="83" t="n"/>
      <c r="M32" s="83" t="n"/>
      <c r="N32" s="83" t="n"/>
      <c r="O32" s="83" t="n"/>
      <c r="P32" s="83" t="n"/>
      <c r="Q32" s="84" t="n"/>
    </row>
    <row r="33">
      <c r="A33" s="83" t="n"/>
      <c r="B33" s="83" t="n"/>
      <c r="C33" s="83" t="n"/>
      <c r="D33" s="83" t="n"/>
      <c r="E33" s="83" t="n"/>
      <c r="F33" s="83" t="n"/>
      <c r="G33" s="83" t="n"/>
      <c r="H33" s="83" t="n"/>
      <c r="I33" s="83" t="n"/>
      <c r="J33" s="83" t="n"/>
      <c r="K33" s="83" t="n"/>
      <c r="L33" s="83" t="n"/>
      <c r="M33" s="83" t="n"/>
      <c r="N33" s="83" t="n"/>
      <c r="O33" s="83" t="n"/>
      <c r="P33" s="83" t="n"/>
      <c r="Q33" s="84" t="n"/>
    </row>
    <row r="34">
      <c r="A34" s="83" t="n"/>
      <c r="B34" s="83" t="n"/>
      <c r="C34" s="83" t="n"/>
      <c r="D34" s="83" t="n"/>
      <c r="E34" s="83" t="n"/>
      <c r="F34" s="83" t="n"/>
      <c r="G34" s="83" t="n"/>
      <c r="H34" s="83" t="n"/>
      <c r="I34" s="83" t="n"/>
      <c r="J34" s="83" t="n"/>
      <c r="K34" s="83" t="n"/>
      <c r="L34" s="83" t="n"/>
      <c r="M34" s="83" t="n"/>
      <c r="N34" s="83" t="n"/>
      <c r="O34" s="83" t="n"/>
      <c r="P34" s="83" t="n"/>
      <c r="Q34" s="84" t="n"/>
    </row>
    <row r="35">
      <c r="A35" s="83" t="n"/>
      <c r="B35" s="83" t="n"/>
      <c r="C35" s="83" t="n"/>
      <c r="D35" s="83" t="n"/>
      <c r="E35" s="83" t="n"/>
      <c r="F35" s="83" t="n"/>
      <c r="G35" s="83" t="n"/>
      <c r="H35" s="83" t="n"/>
      <c r="I35" s="83" t="n"/>
      <c r="J35" s="83" t="n"/>
      <c r="K35" s="83" t="n"/>
      <c r="L35" s="83" t="n"/>
      <c r="M35" s="83" t="n"/>
      <c r="N35" s="83" t="n"/>
      <c r="O35" s="83" t="n"/>
      <c r="P35" s="83" t="n"/>
      <c r="Q35" s="84" t="n"/>
    </row>
    <row r="36">
      <c r="A36" s="83" t="n"/>
      <c r="B36" s="83" t="n"/>
      <c r="C36" s="83" t="n"/>
      <c r="D36" s="83" t="n"/>
      <c r="E36" s="83" t="n"/>
      <c r="F36" s="83" t="n"/>
      <c r="G36" s="83" t="n"/>
      <c r="H36" s="83" t="n"/>
      <c r="I36" s="83" t="n"/>
      <c r="J36" s="83" t="n"/>
      <c r="K36" s="83" t="n"/>
      <c r="L36" s="83" t="n"/>
      <c r="M36" s="83" t="n"/>
      <c r="N36" s="83" t="n"/>
      <c r="O36" s="83" t="n"/>
      <c r="P36" s="83" t="n"/>
      <c r="Q36" s="84" t="n"/>
    </row>
    <row r="37">
      <c r="A37" s="83" t="n"/>
      <c r="B37" s="83" t="n"/>
      <c r="C37" s="83" t="n"/>
      <c r="D37" s="83" t="n"/>
      <c r="E37" s="83" t="n"/>
      <c r="F37" s="83" t="n"/>
      <c r="G37" s="83" t="n"/>
      <c r="H37" s="83" t="n"/>
      <c r="I37" s="83" t="n"/>
      <c r="J37" s="83" t="n"/>
      <c r="K37" s="83" t="n"/>
      <c r="L37" s="83" t="n"/>
      <c r="M37" s="83" t="n"/>
      <c r="N37" s="83" t="n"/>
      <c r="O37" s="83" t="n"/>
      <c r="P37" s="83" t="n"/>
      <c r="Q37" s="84" t="n"/>
    </row>
    <row r="38">
      <c r="A38" s="83" t="n"/>
      <c r="B38" s="83" t="n"/>
      <c r="C38" s="83" t="n"/>
      <c r="D38" s="83" t="n"/>
      <c r="E38" s="83" t="n"/>
      <c r="F38" s="83" t="n"/>
      <c r="G38" s="83" t="n"/>
      <c r="H38" s="83" t="n"/>
      <c r="I38" s="83" t="n"/>
      <c r="J38" s="83" t="n"/>
      <c r="K38" s="83" t="n"/>
      <c r="L38" s="83" t="n"/>
      <c r="M38" s="83" t="n"/>
      <c r="N38" s="83" t="n"/>
      <c r="O38" s="83" t="n"/>
      <c r="P38" s="83" t="n"/>
      <c r="Q38" s="84" t="n"/>
    </row>
    <row r="39">
      <c r="A39" s="83" t="n"/>
      <c r="B39" s="83" t="n"/>
      <c r="C39" s="83" t="n"/>
      <c r="D39" s="83" t="n"/>
      <c r="E39" s="83" t="n"/>
      <c r="F39" s="83" t="n"/>
      <c r="G39" s="83" t="n"/>
      <c r="H39" s="83" t="n"/>
      <c r="I39" s="83" t="n"/>
      <c r="J39" s="83" t="n"/>
      <c r="K39" s="83" t="n"/>
      <c r="L39" s="83" t="n"/>
      <c r="M39" s="83" t="n"/>
      <c r="N39" s="83" t="n"/>
      <c r="O39" s="83" t="n"/>
      <c r="P39" s="83" t="n"/>
      <c r="Q39" s="84" t="n"/>
    </row>
    <row r="40">
      <c r="A40" s="83" t="n"/>
      <c r="B40" s="83" t="n"/>
      <c r="C40" s="83" t="n"/>
      <c r="D40" s="83" t="n"/>
      <c r="E40" s="83" t="n"/>
      <c r="F40" s="83" t="n"/>
      <c r="G40" s="83" t="n"/>
      <c r="H40" s="83" t="n"/>
      <c r="I40" s="83" t="n"/>
      <c r="J40" s="83" t="n"/>
      <c r="K40" s="83" t="n"/>
      <c r="L40" s="83" t="n"/>
      <c r="M40" s="83" t="n"/>
      <c r="N40" s="83" t="n"/>
      <c r="O40" s="83" t="n"/>
      <c r="P40" s="83" t="n"/>
      <c r="Q40" s="84" t="n"/>
    </row>
    <row r="41">
      <c r="A41" s="83" t="n"/>
      <c r="B41" s="83" t="n"/>
      <c r="C41" s="83" t="n"/>
      <c r="D41" s="83" t="n"/>
      <c r="E41" s="83" t="n"/>
      <c r="F41" s="83" t="n"/>
      <c r="G41" s="83" t="n"/>
      <c r="H41" s="83" t="n"/>
      <c r="I41" s="83" t="n"/>
      <c r="J41" s="83" t="n"/>
      <c r="K41" s="83" t="n"/>
      <c r="L41" s="83" t="n"/>
      <c r="M41" s="83" t="n"/>
      <c r="N41" s="83" t="n"/>
      <c r="O41" s="83" t="n"/>
      <c r="P41" s="83" t="n"/>
      <c r="Q41" s="84" t="n"/>
    </row>
    <row r="42">
      <c r="A42" s="83" t="n"/>
      <c r="B42" s="83" t="n"/>
      <c r="C42" s="83" t="n"/>
      <c r="D42" s="83" t="n"/>
      <c r="E42" s="83" t="n"/>
      <c r="F42" s="83" t="n"/>
      <c r="G42" s="83" t="n"/>
      <c r="H42" s="83" t="n"/>
      <c r="I42" s="83" t="n"/>
      <c r="J42" s="83" t="n"/>
      <c r="K42" s="83" t="n"/>
      <c r="L42" s="83" t="n"/>
      <c r="M42" s="83" t="n"/>
      <c r="N42" s="83" t="n"/>
      <c r="O42" s="83" t="n"/>
      <c r="P42" s="83" t="n"/>
      <c r="Q42" s="84" t="n"/>
    </row>
    <row r="43">
      <c r="A43" s="83" t="n"/>
      <c r="B43" s="83" t="n"/>
      <c r="C43" s="83" t="n"/>
      <c r="D43" s="83" t="n"/>
      <c r="E43" s="83" t="n"/>
      <c r="F43" s="83" t="n"/>
      <c r="G43" s="83" t="n"/>
      <c r="H43" s="83" t="n"/>
      <c r="I43" s="83" t="n"/>
      <c r="J43" s="83" t="n"/>
      <c r="K43" s="83" t="n"/>
      <c r="L43" s="83" t="n"/>
      <c r="M43" s="83" t="n"/>
      <c r="N43" s="83" t="n"/>
      <c r="O43" s="83" t="n"/>
      <c r="P43" s="83" t="n"/>
      <c r="Q43" s="84" t="n"/>
    </row>
    <row r="44">
      <c r="A44" s="83" t="n"/>
      <c r="B44" s="83" t="n"/>
      <c r="C44" s="83" t="n"/>
      <c r="D44" s="83" t="n"/>
      <c r="E44" s="83" t="n"/>
      <c r="F44" s="83" t="n"/>
      <c r="G44" s="83" t="n"/>
      <c r="H44" s="83" t="n"/>
      <c r="I44" s="83" t="n"/>
      <c r="J44" s="83" t="n"/>
      <c r="K44" s="83" t="n"/>
      <c r="L44" s="83" t="n"/>
      <c r="M44" s="83" t="n"/>
      <c r="N44" s="83" t="n"/>
      <c r="O44" s="83" t="n"/>
      <c r="P44" s="83" t="n"/>
      <c r="Q44" s="84" t="n"/>
    </row>
    <row r="45">
      <c r="A45" s="83" t="n"/>
      <c r="B45" s="83" t="n"/>
      <c r="C45" s="83" t="n"/>
      <c r="D45" s="83" t="n"/>
      <c r="E45" s="83" t="n"/>
      <c r="F45" s="83" t="n"/>
      <c r="G45" s="83" t="n"/>
      <c r="H45" s="83" t="n"/>
      <c r="I45" s="83" t="n"/>
      <c r="J45" s="83" t="n"/>
      <c r="K45" s="83" t="n"/>
      <c r="L45" s="83" t="n"/>
      <c r="M45" s="83" t="n"/>
      <c r="N45" s="83" t="n"/>
      <c r="O45" s="83" t="n"/>
      <c r="P45" s="83" t="n"/>
      <c r="Q45" s="84" t="n"/>
    </row>
    <row r="46">
      <c r="A46" s="83" t="n"/>
      <c r="B46" s="83" t="n"/>
      <c r="C46" s="83" t="n"/>
      <c r="D46" s="83" t="n"/>
      <c r="E46" s="83" t="n"/>
      <c r="F46" s="83" t="n"/>
      <c r="G46" s="83" t="n"/>
      <c r="H46" s="83" t="n"/>
      <c r="I46" s="83" t="n"/>
      <c r="J46" s="83" t="n"/>
      <c r="K46" s="83" t="n"/>
      <c r="L46" s="83" t="n"/>
      <c r="M46" s="83" t="n"/>
      <c r="N46" s="83" t="n"/>
      <c r="O46" s="83" t="n"/>
      <c r="P46" s="83" t="n"/>
      <c r="Q46" s="84" t="n"/>
    </row>
    <row r="47">
      <c r="A47" s="83" t="n"/>
      <c r="B47" s="83" t="n"/>
      <c r="C47" s="83" t="n"/>
      <c r="D47" s="83" t="n"/>
      <c r="E47" s="83" t="n"/>
      <c r="F47" s="83" t="n"/>
      <c r="G47" s="83" t="n"/>
      <c r="H47" s="83" t="n"/>
      <c r="I47" s="83" t="n"/>
      <c r="J47" s="83" t="n"/>
      <c r="K47" s="83" t="n"/>
      <c r="L47" s="83" t="n"/>
      <c r="M47" s="83" t="n"/>
      <c r="N47" s="83" t="n"/>
      <c r="O47" s="83" t="n"/>
      <c r="P47" s="83" t="n"/>
      <c r="Q47" s="84" t="n"/>
    </row>
    <row r="48">
      <c r="A48" s="83" t="n"/>
      <c r="B48" s="83" t="n"/>
      <c r="C48" s="83" t="n"/>
      <c r="D48" s="83" t="n"/>
      <c r="E48" s="83" t="n"/>
      <c r="F48" s="83" t="n"/>
      <c r="G48" s="83" t="n"/>
      <c r="H48" s="83" t="n"/>
      <c r="I48" s="83" t="n"/>
      <c r="J48" s="83" t="n"/>
      <c r="K48" s="83" t="n"/>
      <c r="L48" s="83" t="n"/>
      <c r="M48" s="83" t="n"/>
      <c r="N48" s="83" t="n"/>
      <c r="O48" s="83" t="n"/>
      <c r="P48" s="83" t="n"/>
      <c r="Q48" s="84" t="n"/>
    </row>
    <row r="49">
      <c r="A49" s="83" t="n"/>
      <c r="B49" s="83" t="n"/>
      <c r="C49" s="83" t="n"/>
      <c r="D49" s="83" t="n"/>
      <c r="E49" s="83" t="n"/>
      <c r="F49" s="83" t="n"/>
      <c r="G49" s="83" t="n"/>
      <c r="H49" s="83" t="n"/>
      <c r="I49" s="83" t="n"/>
      <c r="J49" s="83" t="n"/>
      <c r="K49" s="83" t="n"/>
      <c r="L49" s="83" t="n"/>
      <c r="M49" s="83" t="n"/>
      <c r="N49" s="83" t="n"/>
      <c r="O49" s="83" t="n"/>
      <c r="P49" s="83" t="n"/>
      <c r="Q49" s="84" t="n"/>
    </row>
    <row r="50">
      <c r="A50" s="83" t="n"/>
      <c r="B50" s="83" t="n"/>
      <c r="C50" s="83" t="n"/>
      <c r="D50" s="83" t="n"/>
      <c r="E50" s="83" t="n"/>
      <c r="F50" s="83" t="n"/>
      <c r="G50" s="83" t="n"/>
      <c r="H50" s="83" t="n"/>
      <c r="I50" s="83" t="n"/>
      <c r="J50" s="83" t="n"/>
      <c r="K50" s="83" t="n"/>
      <c r="L50" s="83" t="n"/>
      <c r="M50" s="83" t="n"/>
      <c r="N50" s="83" t="n"/>
      <c r="O50" s="83" t="n"/>
      <c r="P50" s="83" t="n"/>
      <c r="Q50" s="84" t="n"/>
    </row>
    <row r="51">
      <c r="A51" s="83" t="n"/>
      <c r="B51" s="83" t="n"/>
      <c r="C51" s="83" t="n"/>
      <c r="D51" s="83" t="n"/>
      <c r="E51" s="83" t="n"/>
      <c r="F51" s="83" t="n"/>
      <c r="G51" s="83" t="n"/>
      <c r="H51" s="83" t="n"/>
      <c r="I51" s="83" t="n"/>
      <c r="J51" s="83" t="n"/>
      <c r="K51" s="83" t="n"/>
      <c r="L51" s="83" t="n"/>
      <c r="M51" s="83" t="n"/>
      <c r="N51" s="83" t="n"/>
      <c r="O51" s="83" t="n"/>
      <c r="P51" s="83" t="n"/>
      <c r="Q51" s="84" t="n"/>
    </row>
    <row r="52">
      <c r="A52" s="83" t="n"/>
      <c r="B52" s="83" t="n"/>
      <c r="C52" s="83" t="n"/>
      <c r="D52" s="83" t="n"/>
      <c r="E52" s="83" t="n"/>
      <c r="F52" s="83" t="n"/>
      <c r="G52" s="83" t="n"/>
      <c r="H52" s="83" t="n"/>
      <c r="I52" s="83" t="n"/>
      <c r="J52" s="83" t="n"/>
      <c r="K52" s="83" t="n"/>
      <c r="L52" s="83" t="n"/>
      <c r="M52" s="83" t="n"/>
      <c r="N52" s="83" t="n"/>
      <c r="O52" s="83" t="n"/>
      <c r="P52" s="83" t="n"/>
      <c r="Q52" s="84" t="n"/>
    </row>
    <row r="53">
      <c r="A53" s="83" t="n"/>
      <c r="B53" s="83" t="n"/>
      <c r="C53" s="83" t="n"/>
      <c r="D53" s="83" t="n"/>
      <c r="E53" s="83" t="n"/>
      <c r="F53" s="83" t="n"/>
      <c r="G53" s="83" t="n"/>
      <c r="H53" s="83" t="n"/>
      <c r="I53" s="83" t="n"/>
      <c r="J53" s="83" t="n"/>
      <c r="K53" s="83" t="n"/>
      <c r="L53" s="83" t="n"/>
      <c r="M53" s="83" t="n"/>
      <c r="N53" s="83" t="n"/>
      <c r="O53" s="83" t="n"/>
      <c r="P53" s="83" t="n"/>
      <c r="Q53" s="84" t="n"/>
    </row>
    <row r="54">
      <c r="A54" s="83" t="n"/>
      <c r="B54" s="83" t="n"/>
      <c r="C54" s="83" t="n"/>
      <c r="D54" s="83" t="n"/>
      <c r="E54" s="83" t="n"/>
      <c r="F54" s="83" t="n"/>
      <c r="G54" s="83" t="n"/>
      <c r="H54" s="83" t="n"/>
      <c r="I54" s="83" t="n"/>
      <c r="J54" s="83" t="n"/>
      <c r="K54" s="83" t="n"/>
      <c r="L54" s="83" t="n"/>
      <c r="M54" s="83" t="n"/>
      <c r="N54" s="83" t="n"/>
      <c r="O54" s="83" t="n"/>
      <c r="P54" s="83" t="n"/>
      <c r="Q54" s="84" t="n"/>
    </row>
    <row r="55">
      <c r="A55" s="83" t="n"/>
      <c r="B55" s="83" t="n"/>
      <c r="C55" s="83" t="n"/>
      <c r="D55" s="83" t="n"/>
      <c r="E55" s="83" t="n"/>
      <c r="F55" s="83" t="n"/>
      <c r="G55" s="83" t="n"/>
      <c r="H55" s="83" t="n"/>
      <c r="I55" s="83" t="n"/>
      <c r="J55" s="83" t="n"/>
      <c r="K55" s="83" t="n"/>
      <c r="L55" s="83" t="n"/>
      <c r="M55" s="83" t="n"/>
      <c r="N55" s="83" t="n"/>
      <c r="O55" s="83" t="n"/>
      <c r="P55" s="83" t="n"/>
      <c r="Q55" s="84" t="n"/>
    </row>
    <row r="56">
      <c r="A56" s="83" t="n"/>
      <c r="B56" s="83" t="n"/>
      <c r="C56" s="83" t="n"/>
      <c r="D56" s="83" t="n"/>
      <c r="E56" s="83" t="n"/>
      <c r="F56" s="83" t="n"/>
      <c r="G56" s="83" t="n"/>
      <c r="H56" s="83" t="n"/>
      <c r="I56" s="83" t="n"/>
      <c r="J56" s="83" t="n"/>
      <c r="K56" s="83" t="n"/>
      <c r="L56" s="83" t="n"/>
      <c r="M56" s="83" t="n"/>
      <c r="N56" s="83" t="n"/>
      <c r="O56" s="83" t="n"/>
      <c r="P56" s="83" t="n"/>
      <c r="Q56" s="84" t="n"/>
    </row>
    <row r="57">
      <c r="A57" s="83" t="n"/>
      <c r="B57" s="83" t="n"/>
      <c r="C57" s="83" t="n"/>
      <c r="D57" s="83" t="n"/>
      <c r="E57" s="83" t="n"/>
      <c r="F57" s="83" t="n"/>
      <c r="G57" s="83" t="n"/>
      <c r="H57" s="83" t="n"/>
      <c r="I57" s="83" t="n"/>
      <c r="J57" s="83" t="n"/>
      <c r="K57" s="83" t="n"/>
      <c r="L57" s="83" t="n"/>
      <c r="M57" s="83" t="n"/>
      <c r="N57" s="83" t="n"/>
      <c r="O57" s="83" t="n"/>
      <c r="P57" s="83" t="n"/>
      <c r="Q57" s="84" t="n"/>
    </row>
  </sheetData>
  <autoFilter ref="A4:Q61"/>
  <mergeCells count="3">
    <mergeCell ref="A3:Q3"/>
    <mergeCell ref="A2:Q2"/>
    <mergeCell ref="A1:Q1"/>
  </mergeCells>
  <dataValidations count="2">
    <dataValidation sqref="C5:C20" showDropDown="0" showInputMessage="0" showErrorMessage="0" allowBlank="1" type="list">
      <formula1>='فهرست‌ها'!$B$9:$B$11</formula1>
    </dataValidation>
    <dataValidation sqref="L5:L20"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69" t="inlineStr">
        <is>
          <t>تست‌های آزمایشگاهی (پایه، اسیلوسکوپ و زمان‌بندی دقیق — جدا از تست عملی)</t>
        </is>
      </c>
      <c r="B1" s="54" t="n"/>
      <c r="C1" s="54" t="n"/>
      <c r="D1" s="54" t="n"/>
      <c r="E1" s="54" t="n"/>
      <c r="F1" s="54" t="n"/>
      <c r="G1" s="54" t="n"/>
      <c r="H1" s="54" t="n"/>
      <c r="I1" s="54" t="n"/>
      <c r="J1" s="54" t="n"/>
      <c r="K1" s="54" t="n"/>
      <c r="L1" s="54" t="n"/>
      <c r="M1" s="54" t="n"/>
      <c r="N1" s="54" t="n"/>
      <c r="O1" s="54" t="n"/>
      <c r="P1" s="54" t="n"/>
      <c r="Q1" s="54" t="n"/>
    </row>
    <row r="2" ht="42" customHeight="1">
      <c r="A2" s="70"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54" t="n"/>
      <c r="C2" s="54" t="n"/>
      <c r="D2" s="54" t="n"/>
      <c r="E2" s="54" t="n"/>
      <c r="F2" s="54" t="n"/>
      <c r="G2" s="54" t="n"/>
      <c r="H2" s="54" t="n"/>
      <c r="I2" s="54" t="n"/>
      <c r="J2" s="54" t="n"/>
      <c r="K2" s="54" t="n"/>
      <c r="L2" s="54" t="n"/>
      <c r="M2" s="54" t="n"/>
      <c r="N2" s="54" t="n"/>
      <c r="O2" s="54" t="n"/>
      <c r="P2" s="54" t="n"/>
      <c r="Q2" s="54" t="n"/>
    </row>
    <row r="3">
      <c r="A3" s="54" t="n"/>
      <c r="B3" s="54" t="n"/>
      <c r="C3" s="54" t="n"/>
      <c r="D3" s="54" t="n"/>
      <c r="E3" s="54" t="n"/>
      <c r="F3" s="54" t="n"/>
      <c r="G3" s="54" t="n"/>
      <c r="H3" s="54" t="n"/>
      <c r="I3" s="54" t="n"/>
      <c r="J3" s="54" t="n"/>
      <c r="K3" s="54" t="n"/>
      <c r="L3" s="54" t="n"/>
      <c r="M3" s="54" t="n"/>
      <c r="N3" s="54" t="n"/>
      <c r="O3" s="54" t="n"/>
      <c r="P3" s="54" t="n"/>
      <c r="Q3" s="54" t="n"/>
    </row>
    <row r="4" ht="30" customHeight="1">
      <c r="A4" s="51" t="inlineStr">
        <is>
          <t>شناسه</t>
        </is>
      </c>
      <c r="B4" s="51" t="inlineStr">
        <is>
          <t>دسته</t>
        </is>
      </c>
      <c r="C4" s="51" t="inlineStr">
        <is>
          <t>اولویت</t>
        </is>
      </c>
      <c r="D4" s="51" t="inlineStr">
        <is>
          <t>پیش‌شرط</t>
        </is>
      </c>
      <c r="E4" s="51" t="inlineStr">
        <is>
          <t>روش اجرای دقیق</t>
        </is>
      </c>
      <c r="F4" s="51" t="inlineStr">
        <is>
          <t>ورودی‌ها / شرایط</t>
        </is>
      </c>
      <c r="G4" s="51" t="inlineStr">
        <is>
          <t>مدت مشاهده</t>
        </is>
      </c>
      <c r="H4" s="51" t="inlineStr">
        <is>
          <t>رفتار مورد انتظار</t>
        </is>
      </c>
      <c r="I4" s="51" t="inlineStr">
        <is>
          <t>وضعیت حفظ / latch</t>
        </is>
      </c>
      <c r="J4" s="51" t="inlineStr">
        <is>
          <t>معیار قبولی</t>
        </is>
      </c>
      <c r="K4" s="51" t="inlineStr">
        <is>
          <t>نتیجهٔ واقعی / اندازه‌گیری</t>
        </is>
      </c>
      <c r="L4" s="51" t="inlineStr">
        <is>
          <t>وضعیت</t>
        </is>
      </c>
      <c r="M4" s="51" t="inlineStr">
        <is>
          <t>شرح ایراد / تفاوت</t>
        </is>
      </c>
      <c r="N4" s="51" t="inlineStr">
        <is>
          <t>مدرک تست / scope</t>
        </is>
      </c>
      <c r="O4" s="51" t="inlineStr">
        <is>
          <t>commit</t>
        </is>
      </c>
      <c r="P4" s="51" t="inlineStr">
        <is>
          <t>نام تست‌کننده</t>
        </is>
      </c>
      <c r="Q4" s="51" t="inlineStr">
        <is>
          <t>تاریخ</t>
        </is>
      </c>
    </row>
    <row r="5" ht="54" customHeight="1">
      <c r="A5" s="55" t="inlineStr">
        <is>
          <t>CH-002</t>
        </is>
      </c>
      <c r="B5" s="56" t="inlineStr">
        <is>
          <t>پیش‌فرض امن بوت</t>
        </is>
      </c>
      <c r="C5" s="57" t="inlineStr">
        <is>
          <t>بالا</t>
        </is>
      </c>
      <c r="D5" s="56" t="inlineStr">
        <is>
          <t>باتری و ورودی ۲۴V وصل، بوت تازه</t>
        </is>
      </c>
      <c r="E5" s="56" t="inlineStr">
        <is>
          <t>گام ۱: باتری و ورودی 24 ولت را وصل کن و برد را تازه بوت کن.
گام ۲: ولتاژ هر دو کانال باتری را چک کن که دست‌کم 12 ولت باشد (v_bat≥12V) و ورودی 24 ولت باشد.
گام ۳: از پنل، پالس PWM و وضعیت (state) هر دو کانال را نگاه کن و زمان را از لحظهٔ بوت بگیر.
گام ۴: تا 60 ثانیه نگاه کن: هر دو PWM باید تا پایان گیت 15 ثانیه‌ای ثبات اتصال صفر بمانند (15000±2000 میلی‌ثانیه).</t>
        </is>
      </c>
      <c r="F5" s="58" t="inlineStr">
        <is>
          <t>v_in=24V، هر دو v_bat≥12V</t>
        </is>
      </c>
      <c r="G5" s="58" t="inlineStr">
        <is>
          <t>60s</t>
        </is>
      </c>
      <c r="H5" s="56" t="inlineStr">
        <is>
          <t>هر دو PWM صفر تا پایان گیت ۱۵ ثانیهٔ ثبات اتصال</t>
        </is>
      </c>
      <c r="I5" s="56" t="inlineStr">
        <is>
          <t>حفظ تا شروع BULK</t>
        </is>
      </c>
      <c r="J5" s="56" t="inlineStr">
        <is>
          <t>PWM=0 تا 15000±2000ms</t>
        </is>
      </c>
      <c r="K5" s="56" t="n"/>
      <c r="L5" s="59" t="inlineStr">
        <is>
          <t>در انتظار</t>
        </is>
      </c>
      <c r="M5" s="56" t="n"/>
      <c r="N5" s="56" t="n"/>
      <c r="O5" s="58" t="inlineStr">
        <is>
          <t>TESTER: fill</t>
        </is>
      </c>
      <c r="P5" s="58" t="n"/>
      <c r="Q5" s="60" t="inlineStr">
        <is>
          <t>2026-09-23</t>
        </is>
      </c>
    </row>
    <row r="6" ht="54" customHeight="1">
      <c r="A6" s="55" t="inlineStr">
        <is>
          <t>CH-003</t>
        </is>
      </c>
      <c r="B6" s="61" t="inlineStr">
        <is>
          <t>شروع BULK با رمپ</t>
        </is>
      </c>
      <c r="C6" s="62" t="inlineStr">
        <is>
          <t>بالا</t>
        </is>
      </c>
      <c r="D6" s="66" t="inlineStr">
        <is>
          <t>CH-002 پاس</t>
        </is>
      </c>
      <c r="E6" s="66" t="inlineStr">
        <is>
          <t>گام ۱: اول تست CH-002 را انجام بده و همان اتصال‌ها را نگه دار.
گام ۲: اسیلوسکوپ را روی گیت یک کانال بگذار.
گام ۳: بعد از تمام شدن گیت 15 ثانیه‌ای ثبات، پله‌های duty را 20 ثانیه ضبط کن.
گام ۴: duty باید با رمپ نرم از 1 درصد (10 پرمیل) شروع شود و پله‌پله بالا برود، نه اینکه یک‌باره بپرد.</t>
        </is>
      </c>
      <c r="F6" s="71" t="inlineStr">
        <is>
          <t>همان CH-002</t>
        </is>
      </c>
      <c r="G6" s="63" t="inlineStr">
        <is>
          <t>20s</t>
        </is>
      </c>
      <c r="H6" s="61" t="inlineStr">
        <is>
          <t>ورود BULK با رمپ نرم از ۱٪ (10‰)</t>
        </is>
      </c>
      <c r="I6" s="61" t="inlineStr">
        <is>
          <t>—</t>
        </is>
      </c>
      <c r="J6" s="61" t="inlineStr">
        <is>
          <t>پله‌های duty از 10‰ صعودی</t>
        </is>
      </c>
      <c r="K6" s="61" t="n"/>
      <c r="L6" s="59" t="inlineStr">
        <is>
          <t>در انتظار</t>
        </is>
      </c>
      <c r="M6" s="61" t="n"/>
      <c r="N6" s="61" t="n"/>
      <c r="O6" s="63" t="inlineStr">
        <is>
          <t>TESTER: fill</t>
        </is>
      </c>
      <c r="P6" s="63" t="n"/>
      <c r="Q6" s="64" t="inlineStr">
        <is>
          <t>2026-09-23</t>
        </is>
      </c>
    </row>
    <row r="7" ht="54" customHeight="1">
      <c r="A7" s="55" t="inlineStr">
        <is>
          <t>CH-008</t>
        </is>
      </c>
      <c r="B7" s="56" t="inlineStr">
        <is>
          <t>خطای سخت جریان</t>
        </is>
      </c>
      <c r="C7" s="57" t="inlineStr">
        <is>
          <t>بالا</t>
        </is>
      </c>
      <c r="D7" s="56" t="inlineStr">
        <is>
          <t>در BULK</t>
        </is>
      </c>
      <c r="E7" s="56" t="inlineStr">
        <is>
          <t>گام ۱: شارژ را در حالت BULK راه بینداز.
گام ۲: بار را طوری تنظیم کن که جریان بدون فیلتر از 950 میلی‌آمپر بالاتر برود.
گام ۳: همان لحظه گیت کانال را با اسکوپ یا پنل نگاه کن (در حد 1 ثانیه).
گام ۴: PWM کانال باید فوراً صفر شود و کانال از نو شروع کند (ریست کانال).</t>
        </is>
      </c>
      <c r="F7" s="58" t="inlineStr">
        <is>
          <t>I_unfilt&gt;950mA</t>
        </is>
      </c>
      <c r="G7" s="58" t="inlineStr">
        <is>
          <t>1s</t>
        </is>
      </c>
      <c r="H7" s="56" t="inlineStr">
        <is>
          <t>ریست کانال (PWM صفر فوری و شروع دوباره)</t>
        </is>
      </c>
      <c r="I7" s="56" t="inlineStr">
        <is>
          <t>لحظه‌ای</t>
        </is>
      </c>
      <c r="J7" s="56" t="inlineStr">
        <is>
          <t>PWM=0 فوری</t>
        </is>
      </c>
      <c r="K7" s="56" t="n"/>
      <c r="L7" s="59" t="inlineStr">
        <is>
          <t>در انتظار</t>
        </is>
      </c>
      <c r="M7" s="56" t="n"/>
      <c r="N7" s="56" t="n"/>
      <c r="O7" s="58" t="inlineStr">
        <is>
          <t>TESTER: fill</t>
        </is>
      </c>
      <c r="P7" s="58" t="n"/>
      <c r="Q7" s="60" t="inlineStr">
        <is>
          <t>2026-09-23</t>
        </is>
      </c>
    </row>
    <row r="8" ht="54" customHeight="1">
      <c r="A8" s="55" t="inlineStr">
        <is>
          <t>CH-039</t>
        </is>
      </c>
      <c r="B8" s="56" t="inlineStr">
        <is>
          <t>تعلیق شارژر هنگام ذخیرهٔ فلش</t>
        </is>
      </c>
      <c r="C8" s="57" t="inlineStr">
        <is>
          <t>بالا</t>
        </is>
      </c>
      <c r="D8" s="56" t="inlineStr">
        <is>
          <t>شارژ فعال (BULK)</t>
        </is>
      </c>
      <c r="E8" s="56" t="inlineStr">
        <is>
          <t>گام ۱: شارژ را در حالت BULK فعال کن و اسیلوسکوپ را روی گیت هر دو کانال بگذار.
گام ۲: یکی از این ذخیره‌های فلش را اتفاق بینداز: ذخیرهٔ NVM یا CalLut از پنل، یا صبر کن تا ذخیرهٔ دوره‌ای Diag (حدود هر 60 ثانیه) خودش برسد.
گام ۳: لحظهٔ پاک/نوشتن فلش را روی اسکوپ ببین: هر دو گیت PWM باید متوقف و خروجی صفر باشد.
گام ۴: بلافاصله بعد از تمام شدن ذخیره، شارژ باید بدون پرش ادامه پیدا کند و رکورد/تنظیم هم سالم ذخیره شده باشد. هیچ پالس PWM حین پاک‌کردن صفحه قبول نیست.</t>
        </is>
      </c>
      <c r="F8" s="58" t="inlineStr">
        <is>
          <t>شارژ فعال + ذخیرهٔ فلش</t>
        </is>
      </c>
      <c r="G8" s="58" t="inlineStr">
        <is>
          <t>2s</t>
        </is>
      </c>
      <c r="H8" s="56" t="inlineStr">
        <is>
          <t>دور پاک/نوشتن فلش هر دو گیت PWM متوقف و خروجی صفر شود؛ بلافاصله بعد از ذخیره شارژ بدون پرش ادامه یابد</t>
        </is>
      </c>
      <c r="I8" s="56" t="inlineStr">
        <is>
          <t>—</t>
        </is>
      </c>
      <c r="J8" s="56" t="inlineStr">
        <is>
          <t>هیچ پالس PWM حین پاک‌کردن صفحه دیده نشود و رکورد/تنظیم سالم ذخیره شود</t>
        </is>
      </c>
      <c r="K8" s="56" t="inlineStr">
        <is>
          <t>هاست 2026-10-15: هر دو گیت سبز (مسیر Diag با 2da0ed1 اضافه شد، NVM/CalLut از قبل بود)؛ تست برد: در انتظار</t>
        </is>
      </c>
      <c r="L8" s="59" t="inlineStr">
        <is>
          <t>در انتظار</t>
        </is>
      </c>
      <c r="M8" s="56" t="n"/>
      <c r="N8" s="56" t="n"/>
      <c r="O8" s="58" t="inlineStr">
        <is>
          <t>2da0ed1</t>
        </is>
      </c>
      <c r="P8" s="58" t="n"/>
      <c r="Q8" s="60" t="inlineStr">
        <is>
          <t>2026-10-15</t>
        </is>
      </c>
    </row>
    <row r="9">
      <c r="A9" s="55" t="inlineStr">
        <is>
          <t>CH-009</t>
        </is>
      </c>
      <c r="B9" s="61" t="inlineStr">
        <is>
          <t>تریپ JIT اول</t>
        </is>
      </c>
      <c r="C9" s="62" t="inlineStr">
        <is>
          <t>بالا</t>
        </is>
      </c>
      <c r="D9" s="61" t="inlineStr">
        <is>
          <t>شارژ فعال</t>
        </is>
      </c>
      <c r="E9" s="61" t="inlineStr">
        <is>
          <t>گام ۱: شارژ فعال باشد و اسکوپ روی گیت کانال باشد.
گام ۲: ورودی JIT همان کانال (PB2 یا PB6) را یک لبهٔ falling بده تا آستانهٔ LM393 (اضافه‌جریان واقعی) تریپ شود.
گام ۳: 10 ثانیه رفتار را نگاه کن: PWM همان کانال باید صفر شود.
گام ۴: بعد از 3000 میلی‌ثانیه lockout، ریتری باید با نصف duty قبلی شروع شود و وضعیت 5 (state=5) دیده شود.</t>
        </is>
      </c>
      <c r="F9" s="63" t="inlineStr">
        <is>
          <t>JIT falling (PB2/PB6)</t>
        </is>
      </c>
      <c r="G9" s="63" t="inlineStr">
        <is>
          <t>10s</t>
        </is>
      </c>
      <c r="H9" s="61" t="inlineStr">
        <is>
          <t>PWM همان کانال صفر؛ بعد از lockout 3000ms ریتری با نصف duty</t>
        </is>
      </c>
      <c r="I9" s="61" t="inlineStr">
        <is>
          <t>retry خودکار</t>
        </is>
      </c>
      <c r="J9" s="61" t="inlineStr">
        <is>
          <t>state=5 → ریتری 50٪ duty قبل</t>
        </is>
      </c>
      <c r="K9" s="61" t="n"/>
      <c r="L9" s="59" t="inlineStr">
        <is>
          <t>در انتظار</t>
        </is>
      </c>
      <c r="M9" s="61" t="n"/>
      <c r="N9" s="61" t="n"/>
      <c r="O9" s="63" t="inlineStr">
        <is>
          <t>TESTER: fill</t>
        </is>
      </c>
      <c r="P9" s="63" t="n"/>
      <c r="Q9" s="64">
        <f>IF(OR(L9="",L9="در انتظار"),"",IF(Q9="",TODAY(),Q9))</f>
        <v/>
      </c>
    </row>
    <row r="10">
      <c r="A10" s="55" t="inlineStr">
        <is>
          <t>CH-010</t>
        </is>
      </c>
      <c r="B10" s="56" t="inlineStr">
        <is>
          <t>ریتری دوم</t>
        </is>
      </c>
      <c r="C10" s="58" t="inlineStr">
        <is>
          <t>متوسط</t>
        </is>
      </c>
      <c r="D10" s="56" t="inlineStr">
        <is>
          <t>تریپ دوم همان کانال</t>
        </is>
      </c>
      <c r="E10" s="65" t="inlineStr">
        <is>
          <t>گام ۱: تست CH-009 را انجام بده تا یک تریپ ثبت شده باشد و کانال در ریتری باشد.
گام ۲: در همان ریتری، JIT را دوباره تریپ کن.
گام ۳: 10 ثانیه duty را نگاه کن.
گام ۴: ریتری دوم نباید بیشتر از 10 درصد (100 پرمیل) duty داشته باشد.</t>
        </is>
      </c>
      <c r="F10" s="58" t="inlineStr">
        <is>
          <t>—</t>
        </is>
      </c>
      <c r="G10" s="58" t="inlineStr">
        <is>
          <t>10s</t>
        </is>
      </c>
      <c r="H10" s="56" t="inlineStr">
        <is>
          <t>ریتری دوم حداکثر 10٪ (100‰)</t>
        </is>
      </c>
      <c r="I10" s="56" t="inlineStr">
        <is>
          <t>—</t>
        </is>
      </c>
      <c r="J10" s="56" t="inlineStr">
        <is>
          <t>duty≤100‰</t>
        </is>
      </c>
      <c r="K10" s="56" t="n"/>
      <c r="L10" s="59" t="inlineStr">
        <is>
          <t>در انتظار</t>
        </is>
      </c>
      <c r="M10" s="56" t="n"/>
      <c r="N10" s="56" t="n"/>
      <c r="O10" s="58" t="inlineStr">
        <is>
          <t>TESTER: fill</t>
        </is>
      </c>
      <c r="P10" s="58" t="n"/>
      <c r="Q10" s="60">
        <f>IF(OR(L10="",L10="در انتظار"),"",IF(Q10="",TODAY(),Q10))</f>
        <v/>
      </c>
    </row>
    <row r="11">
      <c r="A11" s="55" t="inlineStr">
        <is>
          <t>CH-011</t>
        </is>
      </c>
      <c r="B11" s="61" t="inlineStr">
        <is>
          <t>تریپ سوم FINAL</t>
        </is>
      </c>
      <c r="C11" s="62" t="inlineStr">
        <is>
          <t>بالا</t>
        </is>
      </c>
      <c r="D11" s="61" t="inlineStr">
        <is>
          <t>دو تریپ ثبت‌شده</t>
        </is>
      </c>
      <c r="E11" s="66" t="inlineStr">
        <is>
          <t>گام ۱: دو تریپ قبلی همان کانال (CH-009 و CH-010) ثبت شده باشد.
گام ۲: JIT را برای بار سوم تریپ کن.
گام ۳: وضعیت و رله را چک کن: باید FINAL_FAULT باشد (state=7)، هر دو PWM صفر و رله باز.
گام ۴: صبر کن و دست نزن؛ بدون ریبوت نباید برگردد. فقط ریبوت برد آن را پاک می‌کند.</t>
        </is>
      </c>
      <c r="F11" s="63" t="inlineStr">
        <is>
          <t>—</t>
        </is>
      </c>
      <c r="G11" s="63" t="inlineStr">
        <is>
          <t>—</t>
        </is>
      </c>
      <c r="H11" s="61" t="inlineStr">
        <is>
          <t>FINAL_FAULT: هر دو PWM صفر + رله باز؛ فقط ریبوت پاک می‌کند</t>
        </is>
      </c>
      <c r="I11" s="61" t="inlineStr">
        <is>
          <t>latch دائمی تا ریبوت</t>
        </is>
      </c>
      <c r="J11" s="61" t="inlineStr">
        <is>
          <t>state=7؛ رله باز؛ بدون ریبوت برنمی‌گردد</t>
        </is>
      </c>
      <c r="K11" s="61" t="n"/>
      <c r="L11" s="59" t="inlineStr">
        <is>
          <t>در انتظار</t>
        </is>
      </c>
      <c r="M11" s="61" t="n"/>
      <c r="N11" s="61" t="n"/>
      <c r="O11" s="63" t="inlineStr">
        <is>
          <t>TESTER: fill</t>
        </is>
      </c>
      <c r="P11" s="63" t="n"/>
      <c r="Q11" s="64">
        <f>IF(OR(L11="",L11="در انتظار"),"",IF(Q11="",TODAY(),Q11))</f>
        <v/>
      </c>
    </row>
    <row r="12">
      <c r="A12" s="55" t="inlineStr">
        <is>
          <t>CH-015</t>
        </is>
      </c>
      <c r="B12" s="61" t="inlineStr">
        <is>
          <t>مود دستی: JIT و re-arm</t>
        </is>
      </c>
      <c r="C12" s="62" t="inlineStr">
        <is>
          <t>بالا</t>
        </is>
      </c>
      <c r="D12" s="61" t="inlineStr">
        <is>
          <t>در مود دستی</t>
        </is>
      </c>
      <c r="E12" s="66" t="inlineStr">
        <is>
          <t>گام ۱: در مود دستی (CH-013) JIT را تریپ کن تا کانال پارک شود.
گام ۲: 15 ثانیه نگاه کن: duty صفر و وضعیت 5 (state=5) می‌ماند و ریتری خودکار نباید اتفاق بیفتد.
گام ۳: از پنل همان duty را دوباره برای کانال بفرست؛ کانال باید دوباره مسلح شود و درایو برگردد.
گام ۴: این چرخه را تا تریپ سوم ادامه بده؛ تریپ سوم باید FINAL_FAULT بدهد.</t>
        </is>
      </c>
      <c r="F12" s="63" t="inlineStr">
        <is>
          <t>JIT trip در مود دستی</t>
        </is>
      </c>
      <c r="G12" s="63" t="inlineStr">
        <is>
          <t>15s</t>
        </is>
      </c>
      <c r="H12" s="61" t="inlineStr">
        <is>
          <t>پارک با duty صفر و state=5 بدون ریتری خودکار؛ ارسال مجدد duty کانال را مسلح می‌کند؛ سومین تریپ FINAL_FAULT</t>
        </is>
      </c>
      <c r="I12" s="61" t="inlineStr">
        <is>
          <t>پارک تا re-arm انسانی</t>
        </is>
      </c>
      <c r="J12" s="61" t="inlineStr">
        <is>
          <t>state=5 → بعد از ارسال duty، درایو برگردد</t>
        </is>
      </c>
      <c r="K12" s="61" t="n"/>
      <c r="L12" s="59" t="inlineStr">
        <is>
          <t>در انتظار</t>
        </is>
      </c>
      <c r="M12" s="61" t="n"/>
      <c r="N12" s="61" t="n"/>
      <c r="O12" s="63" t="inlineStr">
        <is>
          <t>TESTER: fill</t>
        </is>
      </c>
      <c r="P12" s="63" t="n"/>
      <c r="Q12" s="64">
        <f>IF(OR(L12="",L12="در انتظار"),"",IF(Q12="",TODAY(),Q12))</f>
        <v/>
      </c>
    </row>
    <row r="13">
      <c r="A13" s="54" t="n"/>
      <c r="B13" s="54" t="n"/>
      <c r="C13" s="54" t="n"/>
      <c r="D13" s="54" t="n"/>
      <c r="E13" s="54" t="n"/>
      <c r="F13" s="54" t="n"/>
      <c r="G13" s="54" t="n"/>
      <c r="H13" s="54" t="n"/>
      <c r="I13" s="54" t="n"/>
      <c r="J13" s="54" t="n"/>
      <c r="K13" s="54" t="n"/>
      <c r="L13" s="54" t="n"/>
      <c r="M13" s="54" t="n"/>
      <c r="N13" s="54" t="n"/>
      <c r="O13" s="54" t="n"/>
      <c r="P13" s="54" t="n"/>
      <c r="Q13" s="68">
        <f>IF(OR(L13="",L13="در انتظار"),"",IF(Q13="",TODAY(),Q13))</f>
        <v/>
      </c>
    </row>
    <row r="14">
      <c r="A14" s="54" t="n"/>
      <c r="B14" s="54" t="n"/>
      <c r="C14" s="54" t="n"/>
      <c r="D14" s="54" t="n"/>
      <c r="E14" s="54" t="n"/>
      <c r="F14" s="54" t="n"/>
      <c r="G14" s="54" t="n"/>
      <c r="H14" s="54" t="n"/>
      <c r="I14" s="54" t="n"/>
      <c r="J14" s="54" t="n"/>
      <c r="K14" s="54" t="n"/>
      <c r="L14" s="54" t="n"/>
      <c r="M14" s="54" t="n"/>
      <c r="N14" s="54" t="n"/>
      <c r="O14" s="54" t="n"/>
      <c r="P14" s="54" t="n"/>
      <c r="Q14" s="68">
        <f>IF(OR(L14="",L14="در انتظار"),"",IF(Q14="",TODAY(),Q14))</f>
        <v/>
      </c>
    </row>
    <row r="15">
      <c r="A15" s="54" t="n"/>
      <c r="B15" s="54" t="n"/>
      <c r="C15" s="54" t="n"/>
      <c r="D15" s="54" t="n"/>
      <c r="E15" s="54" t="n"/>
      <c r="F15" s="54" t="n"/>
      <c r="G15" s="54" t="n"/>
      <c r="H15" s="54" t="n"/>
      <c r="I15" s="54" t="n"/>
      <c r="J15" s="54" t="n"/>
      <c r="K15" s="54" t="n"/>
      <c r="L15" s="54" t="n"/>
      <c r="M15" s="54" t="n"/>
      <c r="N15" s="54" t="n"/>
      <c r="O15" s="54" t="n"/>
      <c r="P15" s="54" t="n"/>
      <c r="Q15" s="68">
        <f>IF(OR(L15="",L15="در انتظار"),"",IF(Q15="",TODAY(),Q15))</f>
        <v/>
      </c>
    </row>
    <row r="16">
      <c r="A16" s="54" t="n"/>
      <c r="B16" s="54" t="n"/>
      <c r="C16" s="54" t="n"/>
      <c r="D16" s="54" t="n"/>
      <c r="E16" s="54" t="n"/>
      <c r="F16" s="54" t="n"/>
      <c r="G16" s="54" t="n"/>
      <c r="H16" s="54" t="n"/>
      <c r="I16" s="54" t="n"/>
      <c r="J16" s="54" t="n"/>
      <c r="K16" s="54" t="n"/>
      <c r="L16" s="54" t="n"/>
      <c r="M16" s="54" t="n"/>
      <c r="N16" s="54" t="n"/>
      <c r="O16" s="54" t="n"/>
      <c r="P16" s="54" t="n"/>
      <c r="Q16" s="68">
        <f>IF(OR(L16="",L16="در انتظار"),"",IF(Q16="",TODAY(),Q16))</f>
        <v/>
      </c>
    </row>
    <row r="17">
      <c r="A17" s="54" t="n"/>
      <c r="B17" s="54" t="n"/>
      <c r="C17" s="54" t="n"/>
      <c r="D17" s="54" t="n"/>
      <c r="E17" s="54" t="n"/>
      <c r="F17" s="54" t="n"/>
      <c r="G17" s="54" t="n"/>
      <c r="H17" s="54" t="n"/>
      <c r="I17" s="54" t="n"/>
      <c r="J17" s="54" t="n"/>
      <c r="K17" s="54" t="n"/>
      <c r="L17" s="54" t="n"/>
      <c r="M17" s="54" t="n"/>
      <c r="N17" s="54" t="n"/>
      <c r="O17" s="54" t="n"/>
      <c r="P17" s="54" t="n"/>
      <c r="Q17" s="68">
        <f>IF(OR(L17="",L17="در انتظار"),"",IF(Q17="",TODAY(),Q17))</f>
        <v/>
      </c>
    </row>
    <row r="18">
      <c r="A18" s="54" t="n"/>
      <c r="B18" s="54" t="n"/>
      <c r="C18" s="54" t="n"/>
      <c r="D18" s="54" t="n"/>
      <c r="E18" s="54" t="n"/>
      <c r="F18" s="54" t="n"/>
      <c r="G18" s="54" t="n"/>
      <c r="H18" s="54" t="n"/>
      <c r="I18" s="54" t="n"/>
      <c r="J18" s="54" t="n"/>
      <c r="K18" s="54" t="n"/>
      <c r="L18" s="54" t="n"/>
      <c r="M18" s="54" t="n"/>
      <c r="N18" s="54" t="n"/>
      <c r="O18" s="54" t="n"/>
      <c r="P18" s="54" t="n"/>
      <c r="Q18" s="68">
        <f>IF(OR(L18="",L18="در انتظار"),"",IF(Q18="",TODAY(),Q18))</f>
        <v/>
      </c>
    </row>
    <row r="19">
      <c r="A19" s="54" t="n"/>
      <c r="B19" s="54" t="n"/>
      <c r="C19" s="54" t="n"/>
      <c r="D19" s="54" t="n"/>
      <c r="E19" s="54" t="n"/>
      <c r="F19" s="54" t="n"/>
      <c r="G19" s="54" t="n"/>
      <c r="H19" s="54" t="n"/>
      <c r="I19" s="54" t="n"/>
      <c r="J19" s="54" t="n"/>
      <c r="K19" s="54" t="n"/>
      <c r="L19" s="54" t="n"/>
      <c r="M19" s="54" t="n"/>
      <c r="N19" s="54" t="n"/>
      <c r="O19" s="54" t="n"/>
      <c r="P19" s="54" t="n"/>
      <c r="Q19" s="68">
        <f>IF(OR(L19="",L19="در انتظار"),"",IF(Q19="",TODAY(),Q19))</f>
        <v/>
      </c>
    </row>
    <row r="20">
      <c r="A20" s="54" t="n"/>
      <c r="B20" s="54" t="n"/>
      <c r="C20" s="54" t="n"/>
      <c r="D20" s="54" t="n"/>
      <c r="E20" s="54" t="n"/>
      <c r="F20" s="54" t="n"/>
      <c r="G20" s="54" t="n"/>
      <c r="H20" s="54" t="n"/>
      <c r="I20" s="54" t="n"/>
      <c r="J20" s="54" t="n"/>
      <c r="K20" s="54" t="n"/>
      <c r="L20" s="54" t="n"/>
      <c r="M20" s="54" t="n"/>
      <c r="N20" s="54" t="n"/>
      <c r="O20" s="54" t="n"/>
      <c r="P20" s="54" t="n"/>
      <c r="Q20" s="68">
        <f>IF(OR(L20="",L20="در انتظار"),"",IF(Q20="",TODAY(),Q20))</f>
        <v/>
      </c>
    </row>
    <row r="21">
      <c r="A21" s="54" t="n"/>
      <c r="B21" s="54" t="n"/>
      <c r="C21" s="54" t="n"/>
      <c r="D21" s="54" t="n"/>
      <c r="E21" s="54" t="n"/>
      <c r="F21" s="54" t="n"/>
      <c r="G21" s="54" t="n"/>
      <c r="H21" s="54" t="n"/>
      <c r="I21" s="54" t="n"/>
      <c r="J21" s="54" t="n"/>
      <c r="K21" s="54" t="n"/>
      <c r="L21" s="54" t="n"/>
      <c r="M21" s="54" t="n"/>
      <c r="N21" s="54" t="n"/>
      <c r="O21" s="54" t="n"/>
      <c r="P21" s="54" t="n"/>
      <c r="Q21" s="68">
        <f>IF(OR(L21="",L21="در انتظار"),"",IF(Q21="",TODAY(),Q21))</f>
        <v/>
      </c>
    </row>
    <row r="22">
      <c r="A22" s="54" t="n"/>
      <c r="B22" s="54" t="n"/>
      <c r="C22" s="54" t="n"/>
      <c r="D22" s="54" t="n"/>
      <c r="E22" s="54" t="n"/>
      <c r="F22" s="54" t="n"/>
      <c r="G22" s="54" t="n"/>
      <c r="H22" s="54" t="n"/>
      <c r="I22" s="54" t="n"/>
      <c r="J22" s="54" t="n"/>
      <c r="K22" s="54" t="n"/>
      <c r="L22" s="54" t="n"/>
      <c r="M22" s="54" t="n"/>
      <c r="N22" s="54" t="n"/>
      <c r="O22" s="54" t="n"/>
      <c r="P22" s="54" t="n"/>
      <c r="Q22" s="68">
        <f>IF(OR(L22="",L22="در انتظار"),"",IF(Q22="",TODAY(),Q22))</f>
        <v/>
      </c>
    </row>
    <row r="23">
      <c r="A23" s="54" t="n"/>
      <c r="B23" s="54" t="n"/>
      <c r="C23" s="54" t="n"/>
      <c r="D23" s="54" t="n"/>
      <c r="E23" s="54" t="n"/>
      <c r="F23" s="54" t="n"/>
      <c r="G23" s="54" t="n"/>
      <c r="H23" s="54" t="n"/>
      <c r="I23" s="54" t="n"/>
      <c r="J23" s="54" t="n"/>
      <c r="K23" s="54" t="n"/>
      <c r="L23" s="54" t="n"/>
      <c r="M23" s="54" t="n"/>
      <c r="N23" s="54" t="n"/>
      <c r="O23" s="54" t="n"/>
      <c r="P23" s="54" t="n"/>
      <c r="Q23" s="68">
        <f>IF(OR(L23="",L23="در انتظار"),"",IF(Q23="",TODAY(),Q23))</f>
        <v/>
      </c>
    </row>
    <row r="24">
      <c r="A24" s="54" t="n"/>
      <c r="B24" s="54" t="n"/>
      <c r="C24" s="54" t="n"/>
      <c r="D24" s="54" t="n"/>
      <c r="E24" s="54" t="n"/>
      <c r="F24" s="54" t="n"/>
      <c r="G24" s="54" t="n"/>
      <c r="H24" s="54" t="n"/>
      <c r="I24" s="54" t="n"/>
      <c r="J24" s="54" t="n"/>
      <c r="K24" s="54" t="n"/>
      <c r="L24" s="54" t="n"/>
      <c r="M24" s="54" t="n"/>
      <c r="N24" s="54" t="n"/>
      <c r="O24" s="54" t="n"/>
      <c r="P24" s="54" t="n"/>
      <c r="Q24" s="68">
        <f>IF(OR(L24="",L24="در انتظار"),"",IF(Q24="",TODAY(),Q24))</f>
        <v/>
      </c>
    </row>
    <row r="25">
      <c r="A25" s="54" t="n"/>
      <c r="B25" s="54" t="n"/>
      <c r="C25" s="54" t="n"/>
      <c r="D25" s="54" t="n"/>
      <c r="E25" s="54" t="n"/>
      <c r="F25" s="54" t="n"/>
      <c r="G25" s="54" t="n"/>
      <c r="H25" s="54" t="n"/>
      <c r="I25" s="54" t="n"/>
      <c r="J25" s="54" t="n"/>
      <c r="K25" s="54" t="n"/>
      <c r="L25" s="54" t="n"/>
      <c r="M25" s="54" t="n"/>
      <c r="N25" s="54" t="n"/>
      <c r="O25" s="54" t="n"/>
      <c r="P25" s="54" t="n"/>
      <c r="Q25" s="68">
        <f>IF(OR(L25="",L25="در انتظار"),"",IF(Q25="",TODAY(),Q25))</f>
        <v/>
      </c>
    </row>
    <row r="26">
      <c r="A26" s="54" t="n"/>
      <c r="B26" s="54" t="n"/>
      <c r="C26" s="54" t="n"/>
      <c r="D26" s="54" t="n"/>
      <c r="E26" s="54" t="n"/>
      <c r="F26" s="54" t="n"/>
      <c r="G26" s="54" t="n"/>
      <c r="H26" s="54" t="n"/>
      <c r="I26" s="54" t="n"/>
      <c r="J26" s="54" t="n"/>
      <c r="K26" s="54" t="n"/>
      <c r="L26" s="54" t="n"/>
      <c r="M26" s="54" t="n"/>
      <c r="N26" s="54" t="n"/>
      <c r="O26" s="54" t="n"/>
      <c r="P26" s="54" t="n"/>
      <c r="Q26" s="68">
        <f>IF(OR(L26="",L26="در انتظار"),"",IF(Q26="",TODAY(),Q26))</f>
        <v/>
      </c>
    </row>
    <row r="27">
      <c r="A27" s="54" t="n"/>
      <c r="B27" s="54" t="n"/>
      <c r="C27" s="54" t="n"/>
      <c r="D27" s="54" t="n"/>
      <c r="E27" s="54" t="n"/>
      <c r="F27" s="54" t="n"/>
      <c r="G27" s="54" t="n"/>
      <c r="H27" s="54" t="n"/>
      <c r="I27" s="54" t="n"/>
      <c r="J27" s="54" t="n"/>
      <c r="K27" s="54" t="n"/>
      <c r="L27" s="54" t="n"/>
      <c r="M27" s="54" t="n"/>
      <c r="N27" s="54" t="n"/>
      <c r="O27" s="54" t="n"/>
      <c r="P27" s="54" t="n"/>
      <c r="Q27" s="68">
        <f>IF(OR(L27="",L27="در انتظار"),"",IF(Q27="",TODAY(),Q27))</f>
        <v/>
      </c>
    </row>
    <row r="28">
      <c r="A28" s="54" t="n"/>
      <c r="B28" s="54" t="n"/>
      <c r="C28" s="54" t="n"/>
      <c r="D28" s="54" t="n"/>
      <c r="E28" s="54" t="n"/>
      <c r="F28" s="54" t="n"/>
      <c r="G28" s="54" t="n"/>
      <c r="H28" s="54" t="n"/>
      <c r="I28" s="54" t="n"/>
      <c r="J28" s="54" t="n"/>
      <c r="K28" s="54" t="n"/>
      <c r="L28" s="54" t="n"/>
      <c r="M28" s="54" t="n"/>
      <c r="N28" s="54" t="n"/>
      <c r="O28" s="54" t="n"/>
      <c r="P28" s="54" t="n"/>
      <c r="Q28" s="68">
        <f>IF(OR(L28="",L28="در انتظار"),"",IF(Q28="",TODAY(),Q28))</f>
        <v/>
      </c>
    </row>
  </sheetData>
  <autoFilter ref="A4:Q8"/>
  <dataValidations count="1">
    <dataValidation sqref="L5 L6 L7 L8 L9 L10 L11 L12 L13 L14 L15 L16 L17 L18 L19 L20 L21 L22 L23 L24 L25 L26 L27 L28" showDropDown="0" showInputMessage="0" showErrorMessage="0" allowBlank="1" type="list">
      <formula1>='فهرست‌ها'!$A$2:$A$7</formula1>
    </dataValidation>
  </dataValidations>
  <hyperlinks>
    <hyperlink ref="D6" location="'تست‌های آزمایشگاهی'!A5"/>
    <hyperlink ref="E6" location="'تست‌های آزمایشگاهی'!A5"/>
    <hyperlink ref="F6" location="'تست‌های آزمایشگاهی'!A5"/>
    <hyperlink ref="E10" location="'تست‌های آزمایشگاهی'!A9"/>
    <hyperlink ref="E11" location="'تست‌های آزمایشگاهی'!A9"/>
    <hyperlink ref="E12" location="'برنامه تست'!A9"/>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808080"/>
    <outlinePr summaryBelow="1" summaryRight="1"/>
    <pageSetUpPr fitToPage="1"/>
  </sheetPr>
  <dimension ref="A1:Q2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69" t="inlineStr">
        <is>
          <t>تست‌های برنامه‌نویسی و هاست (جدا از ولیدیشن عملی برد)</t>
        </is>
      </c>
      <c r="B1" s="54" t="n"/>
      <c r="C1" s="54" t="n"/>
      <c r="D1" s="54" t="n"/>
      <c r="E1" s="54" t="n"/>
      <c r="F1" s="54" t="n"/>
      <c r="G1" s="54" t="n"/>
      <c r="H1" s="54" t="n"/>
      <c r="I1" s="54" t="n"/>
      <c r="J1" s="54" t="n"/>
      <c r="K1" s="54" t="n"/>
      <c r="L1" s="54" t="n"/>
      <c r="M1" s="54" t="n"/>
      <c r="N1" s="54" t="n"/>
      <c r="O1" s="54" t="n"/>
      <c r="P1" s="54" t="n"/>
      <c r="Q1" s="54" t="n"/>
    </row>
    <row r="2" ht="42" customHeight="1">
      <c r="A2" s="54" t="n"/>
      <c r="B2" s="70"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4" t="n"/>
      <c r="D2" s="54" t="n"/>
      <c r="E2" s="54" t="n"/>
      <c r="F2" s="54" t="n"/>
      <c r="G2" s="54" t="n"/>
      <c r="H2" s="54" t="n"/>
      <c r="I2" s="54" t="n"/>
      <c r="J2" s="54" t="n"/>
      <c r="K2" s="54" t="n"/>
      <c r="L2" s="54" t="n"/>
      <c r="M2" s="54" t="n"/>
      <c r="N2" s="54" t="n"/>
      <c r="O2" s="54" t="n"/>
      <c r="P2" s="54" t="n"/>
      <c r="Q2" s="54" t="n"/>
    </row>
    <row r="3">
      <c r="A3" s="54" t="n"/>
      <c r="B3" s="54" t="n"/>
      <c r="C3" s="54" t="n"/>
      <c r="D3" s="54" t="n"/>
      <c r="E3" s="54" t="n"/>
      <c r="F3" s="54" t="n"/>
      <c r="G3" s="54" t="n"/>
      <c r="H3" s="54" t="n"/>
      <c r="I3" s="54" t="n"/>
      <c r="J3" s="54" t="n"/>
      <c r="K3" s="54" t="n"/>
      <c r="L3" s="54" t="n"/>
      <c r="M3" s="54" t="n"/>
      <c r="N3" s="54" t="n"/>
      <c r="O3" s="54" t="n"/>
      <c r="P3" s="54" t="n"/>
      <c r="Q3" s="54" t="n"/>
    </row>
    <row r="4" ht="30" customHeight="1">
      <c r="A4" s="51" t="inlineStr">
        <is>
          <t>شناسه</t>
        </is>
      </c>
      <c r="B4" s="51" t="inlineStr">
        <is>
          <t>دسته</t>
        </is>
      </c>
      <c r="C4" s="51" t="inlineStr">
        <is>
          <t>اولویت</t>
        </is>
      </c>
      <c r="D4" s="51" t="inlineStr">
        <is>
          <t>پیش‌شرط</t>
        </is>
      </c>
      <c r="E4" s="51" t="inlineStr">
        <is>
          <t>روش اجرای دقیق</t>
        </is>
      </c>
      <c r="F4" s="51" t="inlineStr">
        <is>
          <t>ورودی‌ها / شرایط</t>
        </is>
      </c>
      <c r="G4" s="51" t="inlineStr">
        <is>
          <t>مدت مشاهده</t>
        </is>
      </c>
      <c r="H4" s="51" t="inlineStr">
        <is>
          <t>رفتار مورد انتظار</t>
        </is>
      </c>
      <c r="I4" s="51" t="inlineStr">
        <is>
          <t>وضعیت حفظ / latch</t>
        </is>
      </c>
      <c r="J4" s="51" t="inlineStr">
        <is>
          <t>معیار قبولی</t>
        </is>
      </c>
      <c r="K4" s="51" t="inlineStr">
        <is>
          <t>نتیجهٔ واقعی / اندازه‌گیری</t>
        </is>
      </c>
      <c r="L4" s="51" t="inlineStr">
        <is>
          <t>وضعیت</t>
        </is>
      </c>
      <c r="M4" s="51" t="inlineStr">
        <is>
          <t>شرح ایراد / تفاوت</t>
        </is>
      </c>
      <c r="N4" s="51" t="inlineStr">
        <is>
          <t>مدرک تست / scope</t>
        </is>
      </c>
      <c r="O4" s="51" t="inlineStr">
        <is>
          <t>commit</t>
        </is>
      </c>
      <c r="P4" s="51" t="inlineStr">
        <is>
          <t>نام تست‌کننده</t>
        </is>
      </c>
      <c r="Q4" s="51" t="inlineStr">
        <is>
          <t>تاریخ</t>
        </is>
      </c>
    </row>
    <row r="5" ht="54" customHeight="1">
      <c r="A5" s="55" t="inlineStr">
        <is>
          <t>CH-001</t>
        </is>
      </c>
      <c r="B5" s="61" t="inlineStr">
        <is>
          <t>نگاشت سخت‌افزار</t>
        </is>
      </c>
      <c r="C5" s="62" t="inlineStr">
        <is>
          <t>بالا</t>
        </is>
      </c>
      <c r="D5" s="61" t="inlineStr">
        <is>
          <t>برد خاموش</t>
        </is>
      </c>
      <c r="E5" s="66" t="inlineStr">
        <is>
          <t>گام ۱: شماتیک برد و فایل board_pins.h را کنار کد بگذار.
گام ۲: تک‌تک این نگاشت‌ها را با کد مقایسه کن: PA0 = TIM2_CH1، PA6 = TIM3_CH1، PA1/PA7 = سنس جریان، PB2/PB6 = JIT، رله از نوع NC.
گام ۳: بررسی کن رله وقتی سیم‌پیچش خاموش است وصل باشد (NC).
گام ۴: هر اختلاف بین شماتیک و کد را یادداشت کن؛ قبولی فقط با تطابق کامل است.</t>
        </is>
      </c>
      <c r="F5" s="63" t="inlineStr">
        <is>
          <t>PA0=TIM2_CH1، PA6=TIM3_CH1، PA1/PA7 سنس، PB2/PB6 JIT، رله NC</t>
        </is>
      </c>
      <c r="G5" s="63" t="inlineStr">
        <is>
          <t>—</t>
        </is>
      </c>
      <c r="H5" s="61" t="inlineStr">
        <is>
          <t>نگاشت مطابق شماتیک؛ رله با coil خاموش وصل (NC)</t>
        </is>
      </c>
      <c r="I5" s="61" t="inlineStr">
        <is>
          <t>نگاشت ثابت</t>
        </is>
      </c>
      <c r="J5" s="61" t="inlineStr">
        <is>
          <t>PASS: تطابق کامل</t>
        </is>
      </c>
      <c r="K5" s="61" t="n"/>
      <c r="L5" s="59" t="inlineStr">
        <is>
          <t>در انتظار</t>
        </is>
      </c>
      <c r="M5" s="61" t="n"/>
      <c r="N5" s="61" t="n"/>
      <c r="O5" s="63" t="inlineStr">
        <is>
          <t>TESTER: fill</t>
        </is>
      </c>
      <c r="P5" s="63" t="n"/>
      <c r="Q5" s="64" t="inlineStr">
        <is>
          <t>2026-09-23</t>
        </is>
      </c>
    </row>
    <row r="6" ht="54" customHeight="1">
      <c r="A6" s="55" t="inlineStr">
        <is>
          <t>CH-035</t>
        </is>
      </c>
      <c r="B6" s="56" t="inlineStr">
        <is>
          <t>snapshot zeroing</t>
        </is>
      </c>
      <c r="C6" s="57" t="inlineStr">
        <is>
          <t>بالا</t>
        </is>
      </c>
      <c r="D6" s="56" t="inlineStr">
        <is>
          <t>snapshot نامعتبر</t>
        </is>
      </c>
      <c r="E6" s="56" t="inlineStr">
        <is>
          <t>گام ۱: یک snapshot نامعتبر بساز: valid=false و هر 9 فیلد صفر (همان الگوی task_control/task_protection).
گام ۲: آن را 5 ثانیه پیوسته به Charger_Evaluate بده.
گام ۳: duty هر دو کانال را نگاه کن: باید صفر بماند و شارژر safe-idle باشد.
گام ۴: نباید هیچ تصمیمی بر اساس ولتاژ/جریان زباله گرفته شود و overcurrent کاذب هم نباید بیاید.</t>
        </is>
      </c>
      <c r="F6" s="58" t="inlineStr">
        <is>
          <t>valid=false</t>
        </is>
      </c>
      <c r="G6" s="58" t="inlineStr">
        <is>
          <t>5s</t>
        </is>
      </c>
      <c r="H6" s="56" t="inlineStr">
        <is>
          <t>شارژر باید safe-idle بماند؛ duty صفر؛ بدون تصمیم بر اساس v_in/v_bat زباله؛ مانند task_protection هر 9 فیلد صفر</t>
        </is>
      </c>
      <c r="I6" s="56" t="inlineStr">
        <is>
          <t>safe-idle</t>
        </is>
      </c>
      <c r="J6" s="56" t="inlineStr">
        <is>
          <t>duty=0 بدون overcurrent کاذب</t>
        </is>
      </c>
      <c r="K6" s="56" t="n"/>
      <c r="L6" s="67" t="inlineStr">
        <is>
          <t>نیاز به تکرار</t>
        </is>
      </c>
      <c r="M6" s="56" t="n"/>
      <c r="N6" s="56" t="n"/>
      <c r="O6" s="58" t="inlineStr">
        <is>
          <t>62f3782</t>
        </is>
      </c>
      <c r="P6" s="58" t="n"/>
      <c r="Q6" s="60" t="inlineStr">
        <is>
          <t>2026-10-12</t>
        </is>
      </c>
    </row>
    <row r="7" ht="54" customHeight="1">
      <c r="A7" s="55" t="inlineStr">
        <is>
          <t>CH-038</t>
        </is>
      </c>
      <c r="B7" s="61" t="inlineStr">
        <is>
          <t>حفظ THERMAL_REST در SafeIdle</t>
        </is>
      </c>
      <c r="C7" s="63" t="inlineStr">
        <is>
          <t>متوسط</t>
        </is>
      </c>
      <c r="D7" s="61" t="inlineStr">
        <is>
          <t>کانال در استراحت حرارتی</t>
        </is>
      </c>
      <c r="E7" s="66" t="inlineStr">
        <is>
          <t>گام ۱: یک کانال را به استراحت حرارتی ببر (مثل CH-036) تا در THERMAL_REST باشد.
گام ۲: حین استراحت، snapshot نامعتبر (valid=false) بده.
گام ۳: 2 ثانیه وضعیت را نگاه کن: باید THERMAL_REST حفظ شود، نه اینکه به OFF برود.
گام ۴: قبولی وقتی است که SafeIdle قفل حرارتی را پاک نکرده باشد و بعد از معتبر شدن snapshot، استراحت سر جایش ادامه پیدا کند.</t>
        </is>
      </c>
      <c r="F7" s="63" t="inlineStr">
        <is>
          <t>valid=false حین rest</t>
        </is>
      </c>
      <c r="G7" s="63" t="inlineStr">
        <is>
          <t>2s</t>
        </is>
      </c>
      <c r="H7" s="61" t="inlineStr">
        <is>
          <t>THERMAL_REST حفظ نه OFF</t>
        </is>
      </c>
      <c r="I7" s="61" t="inlineStr">
        <is>
          <t>—</t>
        </is>
      </c>
      <c r="J7" s="61" t="inlineStr">
        <is>
          <t>PASS: SafeIdle لچ حرارتی را پاک نکند</t>
        </is>
      </c>
      <c r="K7" s="61" t="n"/>
      <c r="L7" s="72" t="inlineStr">
        <is>
          <t>قبول</t>
        </is>
      </c>
      <c r="M7" s="61" t="n"/>
      <c r="N7" s="61" t="inlineStr">
        <is>
          <t>کد بازبینی</t>
        </is>
      </c>
      <c r="O7" s="63" t="inlineStr">
        <is>
          <t>thermal</t>
        </is>
      </c>
      <c r="P7" s="63" t="n"/>
      <c r="Q7" s="64" t="inlineStr">
        <is>
          <t>2026-10-12</t>
        </is>
      </c>
    </row>
    <row r="8">
      <c r="A8" s="54" t="n"/>
      <c r="B8" s="54" t="n"/>
      <c r="C8" s="54" t="n"/>
      <c r="D8" s="54" t="n"/>
      <c r="E8" s="54" t="n"/>
      <c r="F8" s="54" t="n"/>
      <c r="G8" s="54" t="n"/>
      <c r="H8" s="54" t="n"/>
      <c r="I8" s="54" t="n"/>
      <c r="J8" s="54" t="n"/>
      <c r="K8" s="54" t="n"/>
      <c r="L8" s="54" t="n"/>
      <c r="M8" s="54" t="n"/>
      <c r="N8" s="54" t="n"/>
      <c r="O8" s="54" t="n"/>
      <c r="P8" s="54" t="n"/>
      <c r="Q8" s="68">
        <f>IF(OR(L8="",L8="در انتظار"),"",IF(Q8="",TODAY(),Q8))</f>
        <v/>
      </c>
    </row>
    <row r="9">
      <c r="A9" s="54" t="n"/>
      <c r="B9" s="54" t="n"/>
      <c r="C9" s="54" t="n"/>
      <c r="D9" s="54" t="n"/>
      <c r="E9" s="54" t="n"/>
      <c r="F9" s="54" t="n"/>
      <c r="G9" s="54" t="n"/>
      <c r="H9" s="54" t="n"/>
      <c r="I9" s="54" t="n"/>
      <c r="J9" s="54" t="n"/>
      <c r="K9" s="54" t="n"/>
      <c r="L9" s="54" t="n"/>
      <c r="M9" s="54" t="n"/>
      <c r="N9" s="54" t="n"/>
      <c r="O9" s="54" t="n"/>
      <c r="P9" s="54" t="n"/>
      <c r="Q9" s="68">
        <f>IF(OR(L9="",L9="در انتظار"),"",IF(Q9="",TODAY(),Q9))</f>
        <v/>
      </c>
    </row>
    <row r="10">
      <c r="A10" s="54" t="n"/>
      <c r="B10" s="54" t="n"/>
      <c r="C10" s="54" t="n"/>
      <c r="D10" s="54" t="n"/>
      <c r="E10" s="54" t="n"/>
      <c r="F10" s="54" t="n"/>
      <c r="G10" s="54" t="n"/>
      <c r="H10" s="54" t="n"/>
      <c r="I10" s="54" t="n"/>
      <c r="J10" s="54" t="n"/>
      <c r="K10" s="54" t="n"/>
      <c r="L10" s="54" t="n"/>
      <c r="M10" s="54" t="n"/>
      <c r="N10" s="54" t="n"/>
      <c r="O10" s="54" t="n"/>
      <c r="P10" s="54" t="n"/>
      <c r="Q10" s="68">
        <f>IF(OR(L10="",L10="در انتظار"),"",IF(Q10="",TODAY(),Q10))</f>
        <v/>
      </c>
    </row>
    <row r="11">
      <c r="A11" s="54" t="n"/>
      <c r="B11" s="54" t="n"/>
      <c r="C11" s="54" t="n"/>
      <c r="D11" s="54" t="n"/>
      <c r="E11" s="54" t="n"/>
      <c r="F11" s="54" t="n"/>
      <c r="G11" s="54" t="n"/>
      <c r="H11" s="54" t="n"/>
      <c r="I11" s="54" t="n"/>
      <c r="J11" s="54" t="n"/>
      <c r="K11" s="54" t="n"/>
      <c r="L11" s="54" t="n"/>
      <c r="M11" s="54" t="n"/>
      <c r="N11" s="54" t="n"/>
      <c r="O11" s="54" t="n"/>
      <c r="P11" s="54" t="n"/>
      <c r="Q11" s="68">
        <f>IF(OR(L11="",L11="در انتظار"),"",IF(Q11="",TODAY(),Q11))</f>
        <v/>
      </c>
    </row>
    <row r="12">
      <c r="A12" s="54" t="n"/>
      <c r="B12" s="54" t="n"/>
      <c r="C12" s="54" t="n"/>
      <c r="D12" s="54" t="n"/>
      <c r="E12" s="54" t="n"/>
      <c r="F12" s="54" t="n"/>
      <c r="G12" s="54" t="n"/>
      <c r="H12" s="54" t="n"/>
      <c r="I12" s="54" t="n"/>
      <c r="J12" s="54" t="n"/>
      <c r="K12" s="54" t="n"/>
      <c r="L12" s="54" t="n"/>
      <c r="M12" s="54" t="n"/>
      <c r="N12" s="54" t="n"/>
      <c r="O12" s="54" t="n"/>
      <c r="P12" s="54" t="n"/>
      <c r="Q12" s="68">
        <f>IF(OR(L12="",L12="در انتظار"),"",IF(Q12="",TODAY(),Q12))</f>
        <v/>
      </c>
    </row>
    <row r="13">
      <c r="A13" s="54" t="n"/>
      <c r="B13" s="54" t="n"/>
      <c r="C13" s="54" t="n"/>
      <c r="D13" s="54" t="n"/>
      <c r="E13" s="54" t="n"/>
      <c r="F13" s="54" t="n"/>
      <c r="G13" s="54" t="n"/>
      <c r="H13" s="54" t="n"/>
      <c r="I13" s="54" t="n"/>
      <c r="J13" s="54" t="n"/>
      <c r="K13" s="54" t="n"/>
      <c r="L13" s="54" t="n"/>
      <c r="M13" s="54" t="n"/>
      <c r="N13" s="54" t="n"/>
      <c r="O13" s="54" t="n"/>
      <c r="P13" s="54" t="n"/>
      <c r="Q13" s="68">
        <f>IF(OR(L13="",L13="در انتظار"),"",IF(Q13="",TODAY(),Q13))</f>
        <v/>
      </c>
    </row>
    <row r="14">
      <c r="A14" s="54" t="n"/>
      <c r="B14" s="54" t="n"/>
      <c r="C14" s="54" t="n"/>
      <c r="D14" s="54" t="n"/>
      <c r="E14" s="54" t="n"/>
      <c r="F14" s="54" t="n"/>
      <c r="G14" s="54" t="n"/>
      <c r="H14" s="54" t="n"/>
      <c r="I14" s="54" t="n"/>
      <c r="J14" s="54" t="n"/>
      <c r="K14" s="54" t="n"/>
      <c r="L14" s="54" t="n"/>
      <c r="M14" s="54" t="n"/>
      <c r="N14" s="54" t="n"/>
      <c r="O14" s="54" t="n"/>
      <c r="P14" s="54" t="n"/>
      <c r="Q14" s="68">
        <f>IF(OR(L14="",L14="در انتظار"),"",IF(Q14="",TODAY(),Q14))</f>
        <v/>
      </c>
    </row>
    <row r="15">
      <c r="A15" s="54" t="n"/>
      <c r="B15" s="54" t="n"/>
      <c r="C15" s="54" t="n"/>
      <c r="D15" s="54" t="n"/>
      <c r="E15" s="54" t="n"/>
      <c r="F15" s="54" t="n"/>
      <c r="G15" s="54" t="n"/>
      <c r="H15" s="54" t="n"/>
      <c r="I15" s="54" t="n"/>
      <c r="J15" s="54" t="n"/>
      <c r="K15" s="54" t="n"/>
      <c r="L15" s="54" t="n"/>
      <c r="M15" s="54" t="n"/>
      <c r="N15" s="54" t="n"/>
      <c r="O15" s="54" t="n"/>
      <c r="P15" s="54" t="n"/>
      <c r="Q15" s="68">
        <f>IF(OR(L15="",L15="در انتظار"),"",IF(Q15="",TODAY(),Q15))</f>
        <v/>
      </c>
    </row>
    <row r="16">
      <c r="A16" s="54" t="n"/>
      <c r="B16" s="54" t="n"/>
      <c r="C16" s="54" t="n"/>
      <c r="D16" s="54" t="n"/>
      <c r="E16" s="54" t="n"/>
      <c r="F16" s="54" t="n"/>
      <c r="G16" s="54" t="n"/>
      <c r="H16" s="54" t="n"/>
      <c r="I16" s="54" t="n"/>
      <c r="J16" s="54" t="n"/>
      <c r="K16" s="54" t="n"/>
      <c r="L16" s="54" t="n"/>
      <c r="M16" s="54" t="n"/>
      <c r="N16" s="54" t="n"/>
      <c r="O16" s="54" t="n"/>
      <c r="P16" s="54" t="n"/>
      <c r="Q16" s="68">
        <f>IF(OR(L16="",L16="در انتظار"),"",IF(Q16="",TODAY(),Q16))</f>
        <v/>
      </c>
    </row>
    <row r="17">
      <c r="A17" s="54" t="n"/>
      <c r="B17" s="54" t="n"/>
      <c r="C17" s="54" t="n"/>
      <c r="D17" s="54" t="n"/>
      <c r="E17" s="54" t="n"/>
      <c r="F17" s="54" t="n"/>
      <c r="G17" s="54" t="n"/>
      <c r="H17" s="54" t="n"/>
      <c r="I17" s="54" t="n"/>
      <c r="J17" s="54" t="n"/>
      <c r="K17" s="54" t="n"/>
      <c r="L17" s="54" t="n"/>
      <c r="M17" s="54" t="n"/>
      <c r="N17" s="54" t="n"/>
      <c r="O17" s="54" t="n"/>
      <c r="P17" s="54" t="n"/>
      <c r="Q17" s="68">
        <f>IF(OR(L17="",L17="در انتظار"),"",IF(Q17="",TODAY(),Q17))</f>
        <v/>
      </c>
    </row>
    <row r="18">
      <c r="A18" s="54" t="n"/>
      <c r="B18" s="54" t="n"/>
      <c r="C18" s="54" t="n"/>
      <c r="D18" s="54" t="n"/>
      <c r="E18" s="54" t="n"/>
      <c r="F18" s="54" t="n"/>
      <c r="G18" s="54" t="n"/>
      <c r="H18" s="54" t="n"/>
      <c r="I18" s="54" t="n"/>
      <c r="J18" s="54" t="n"/>
      <c r="K18" s="54" t="n"/>
      <c r="L18" s="54" t="n"/>
      <c r="M18" s="54" t="n"/>
      <c r="N18" s="54" t="n"/>
      <c r="O18" s="54" t="n"/>
      <c r="P18" s="54" t="n"/>
      <c r="Q18" s="68">
        <f>IF(OR(L18="",L18="در انتظار"),"",IF(Q18="",TODAY(),Q18))</f>
        <v/>
      </c>
    </row>
    <row r="19">
      <c r="A19" s="54" t="n"/>
      <c r="B19" s="54" t="n"/>
      <c r="C19" s="54" t="n"/>
      <c r="D19" s="54" t="n"/>
      <c r="E19" s="54" t="n"/>
      <c r="F19" s="54" t="n"/>
      <c r="G19" s="54" t="n"/>
      <c r="H19" s="54" t="n"/>
      <c r="I19" s="54" t="n"/>
      <c r="J19" s="54" t="n"/>
      <c r="K19" s="54" t="n"/>
      <c r="L19" s="54" t="n"/>
      <c r="M19" s="54" t="n"/>
      <c r="N19" s="54" t="n"/>
      <c r="O19" s="54" t="n"/>
      <c r="P19" s="54" t="n"/>
      <c r="Q19" s="68">
        <f>IF(OR(L19="",L19="در انتظار"),"",IF(Q19="",TODAY(),Q19))</f>
        <v/>
      </c>
    </row>
    <row r="20">
      <c r="A20" s="54" t="n"/>
      <c r="B20" s="54" t="n"/>
      <c r="C20" s="54" t="n"/>
      <c r="D20" s="54" t="n"/>
      <c r="E20" s="54" t="n"/>
      <c r="F20" s="54" t="n"/>
      <c r="G20" s="54" t="n"/>
      <c r="H20" s="54" t="n"/>
      <c r="I20" s="54" t="n"/>
      <c r="J20" s="54" t="n"/>
      <c r="K20" s="54" t="n"/>
      <c r="L20" s="54" t="n"/>
      <c r="M20" s="54" t="n"/>
      <c r="N20" s="54" t="n"/>
      <c r="O20" s="54" t="n"/>
      <c r="P20" s="54" t="n"/>
      <c r="Q20" s="68">
        <f>IF(OR(L20="",L20="در انتظار"),"",IF(Q20="",TODAY(),Q20))</f>
        <v/>
      </c>
    </row>
    <row r="21">
      <c r="A21" s="54" t="n"/>
      <c r="B21" s="54" t="n"/>
      <c r="C21" s="54" t="n"/>
      <c r="D21" s="54" t="n"/>
      <c r="E21" s="54" t="n"/>
      <c r="F21" s="54" t="n"/>
      <c r="G21" s="54" t="n"/>
      <c r="H21" s="54" t="n"/>
      <c r="I21" s="54" t="n"/>
      <c r="J21" s="54" t="n"/>
      <c r="K21" s="54" t="n"/>
      <c r="L21" s="54" t="n"/>
      <c r="M21" s="54" t="n"/>
      <c r="N21" s="54" t="n"/>
      <c r="O21" s="54" t="n"/>
      <c r="P21" s="54" t="n"/>
      <c r="Q21" s="68">
        <f>IF(OR(L21="",L21="در انتظار"),"",IF(Q21="",TODAY(),Q21))</f>
        <v/>
      </c>
    </row>
    <row r="22">
      <c r="A22" s="54" t="n"/>
      <c r="B22" s="54" t="n"/>
      <c r="C22" s="54" t="n"/>
      <c r="D22" s="54" t="n"/>
      <c r="E22" s="54" t="n"/>
      <c r="F22" s="54" t="n"/>
      <c r="G22" s="54" t="n"/>
      <c r="H22" s="54" t="n"/>
      <c r="I22" s="54" t="n"/>
      <c r="J22" s="54" t="n"/>
      <c r="K22" s="54" t="n"/>
      <c r="L22" s="54" t="n"/>
      <c r="M22" s="54" t="n"/>
      <c r="N22" s="54" t="n"/>
      <c r="O22" s="54" t="n"/>
      <c r="P22" s="54" t="n"/>
      <c r="Q22" s="68">
        <f>IF(OR(L22="",L22="در انتظار"),"",IF(Q22="",TODAY(),Q22))</f>
        <v/>
      </c>
    </row>
    <row r="23">
      <c r="A23" s="54" t="n"/>
      <c r="B23" s="54" t="n"/>
      <c r="C23" s="54" t="n"/>
      <c r="D23" s="54" t="n"/>
      <c r="E23" s="54" t="n"/>
      <c r="F23" s="54" t="n"/>
      <c r="G23" s="54" t="n"/>
      <c r="H23" s="54" t="n"/>
      <c r="I23" s="54" t="n"/>
      <c r="J23" s="54" t="n"/>
      <c r="K23" s="54" t="n"/>
      <c r="L23" s="54" t="n"/>
      <c r="M23" s="54" t="n"/>
      <c r="N23" s="54" t="n"/>
      <c r="O23" s="54" t="n"/>
      <c r="P23" s="54" t="n"/>
      <c r="Q23" s="68">
        <f>IF(OR(L23="",L23="در انتظار"),"",IF(Q23="",TODAY(),Q23))</f>
        <v/>
      </c>
    </row>
    <row r="24">
      <c r="A24" s="54" t="n"/>
      <c r="B24" s="54" t="n"/>
      <c r="C24" s="54" t="n"/>
      <c r="D24" s="54" t="n"/>
      <c r="E24" s="54" t="n"/>
      <c r="F24" s="54" t="n"/>
      <c r="G24" s="54" t="n"/>
      <c r="H24" s="54" t="n"/>
      <c r="I24" s="54" t="n"/>
      <c r="J24" s="54" t="n"/>
      <c r="K24" s="54" t="n"/>
      <c r="L24" s="54" t="n"/>
      <c r="M24" s="54" t="n"/>
      <c r="N24" s="54" t="n"/>
      <c r="O24" s="54" t="n"/>
      <c r="P24" s="54" t="n"/>
      <c r="Q24" s="68">
        <f>IF(OR(L24="",L24="در انتظار"),"",IF(Q24="",TODAY(),Q24))</f>
        <v/>
      </c>
    </row>
    <row r="25">
      <c r="A25" s="54" t="n"/>
      <c r="B25" s="54" t="n"/>
      <c r="C25" s="54" t="n"/>
      <c r="D25" s="54" t="n"/>
      <c r="E25" s="54" t="n"/>
      <c r="F25" s="54" t="n"/>
      <c r="G25" s="54" t="n"/>
      <c r="H25" s="54" t="n"/>
      <c r="I25" s="54" t="n"/>
      <c r="J25" s="54" t="n"/>
      <c r="K25" s="54" t="n"/>
      <c r="L25" s="54" t="n"/>
      <c r="M25" s="54" t="n"/>
      <c r="N25" s="54" t="n"/>
      <c r="O25" s="54" t="n"/>
      <c r="P25" s="54" t="n"/>
      <c r="Q25" s="68">
        <f>IF(OR(L25="",L25="در انتظار"),"",IF(Q25="",TODAY(),Q25))</f>
        <v/>
      </c>
    </row>
    <row r="26">
      <c r="A26" s="54" t="n"/>
      <c r="B26" s="54" t="n"/>
      <c r="C26" s="54" t="n"/>
      <c r="D26" s="54" t="n"/>
      <c r="E26" s="54" t="n"/>
      <c r="F26" s="54" t="n"/>
      <c r="G26" s="54" t="n"/>
      <c r="H26" s="54" t="n"/>
      <c r="I26" s="54" t="n"/>
      <c r="J26" s="54" t="n"/>
      <c r="K26" s="54" t="n"/>
      <c r="L26" s="54" t="n"/>
      <c r="M26" s="54" t="n"/>
      <c r="N26" s="54" t="n"/>
      <c r="O26" s="54" t="n"/>
      <c r="P26" s="54" t="n"/>
      <c r="Q26" s="68">
        <f>IF(OR(L26="",L26="در انتظار"),"",IF(Q26="",TODAY(),Q26))</f>
        <v/>
      </c>
    </row>
    <row r="27">
      <c r="A27" s="54" t="n"/>
      <c r="B27" s="54" t="n"/>
      <c r="C27" s="54" t="n"/>
      <c r="D27" s="54" t="n"/>
      <c r="E27" s="54" t="n"/>
      <c r="F27" s="54" t="n"/>
      <c r="G27" s="54" t="n"/>
      <c r="H27" s="54" t="n"/>
      <c r="I27" s="54" t="n"/>
      <c r="J27" s="54" t="n"/>
      <c r="K27" s="54" t="n"/>
      <c r="L27" s="54" t="n"/>
      <c r="M27" s="54" t="n"/>
      <c r="N27" s="54" t="n"/>
      <c r="O27" s="54" t="n"/>
      <c r="P27" s="54" t="n"/>
      <c r="Q27" s="68">
        <f>IF(OR(L27="",L27="در انتظار"),"",IF(Q27="",TODAY(),Q27))</f>
        <v/>
      </c>
    </row>
  </sheetData>
  <autoFilter ref="A4:Q7"/>
  <dataValidations count="1">
    <dataValidation sqref="L5 L6 L7 L8 L9 L10 L11 L12 L13 L14 L15 L16 L17 L18 L19 L20 L21 L22 L23 L24 L25 L26 L27" showDropDown="0" showInputMessage="0" showErrorMessage="0" allowBlank="1" type="list">
      <formula1>='فهرست‌ها'!$A$2:$A$7</formula1>
    </dataValidation>
  </dataValidations>
  <hyperlinks>
    <hyperlink ref="E7" location="'برنامه تست'!A20"/>
  </hyperlink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sheetPr>
  <dimension ref="A1:E9"/>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51" t="inlineStr">
        <is>
          <t>مرجع سریع سناریوها و ثابت‌های ماژول Charger</t>
        </is>
      </c>
      <c r="B1" s="42" t="n"/>
      <c r="C1" s="42" t="n"/>
      <c r="D1" s="42" t="n"/>
      <c r="E1" s="43" t="n"/>
    </row>
    <row r="2">
      <c r="A2" s="54" t="n"/>
      <c r="B2" s="54" t="n"/>
      <c r="C2" s="54" t="n"/>
      <c r="D2" s="54" t="n"/>
      <c r="E2" s="54" t="n"/>
    </row>
    <row r="3">
      <c r="A3" s="75" t="inlineStr">
        <is>
          <t>موضوع</t>
        </is>
      </c>
      <c r="B3" s="75" t="inlineStr">
        <is>
          <t>شرط / مقدار</t>
        </is>
      </c>
      <c r="C3" s="75" t="inlineStr">
        <is>
          <t>رفتار مورد انتظار</t>
        </is>
      </c>
      <c r="D3" s="75" t="inlineStr">
        <is>
          <t>ثابت / محل کد</t>
        </is>
      </c>
      <c r="E3" s="75" t="inlineStr">
        <is>
          <t>توضیح</t>
        </is>
      </c>
    </row>
    <row r="4">
      <c r="A4" s="76" t="inlineStr">
        <is>
          <t>گیت ثبات اتصال</t>
        </is>
      </c>
      <c r="B4" s="76" t="inlineStr">
        <is>
          <t>۱۵s دیدن ولتاژ باتری</t>
        </is>
      </c>
      <c r="C4" s="76" t="inlineStr">
        <is>
          <t>OFF→BULK فقط بعد از ثبات</t>
        </is>
      </c>
      <c r="D4" s="77" t="inlineStr">
        <is>
          <t>charger.h (2026-09-19)</t>
        </is>
      </c>
      <c r="E4" s="76" t="inlineStr">
        <is>
          <t>JIT-ریتری و reentry معاف</t>
        </is>
      </c>
    </row>
    <row r="5">
      <c r="A5" s="76" t="inlineStr">
        <is>
          <t>باند تنظیم BULK</t>
        </is>
      </c>
      <c r="B5" s="76" t="inlineStr">
        <is>
          <t>630..650mA Iest</t>
        </is>
      </c>
      <c r="C5" s="76" t="inlineStr">
        <is>
          <t>پله‌های duty برای نگه‌داشت باند</t>
        </is>
      </c>
      <c r="D5" s="76" t="inlineStr">
        <is>
          <t>CHG_REGULATE_LOW_MA / CHG_BULK_CURRENT_MAX_MA</t>
        </is>
      </c>
      <c r="E5" s="76" t="inlineStr">
        <is>
          <t>تصمیم روی جریان تخمینی خروجی</t>
        </is>
      </c>
    </row>
    <row r="6">
      <c r="A6" s="76" t="inlineStr">
        <is>
          <t>خطای سخت جریان</t>
        </is>
      </c>
      <c r="B6" s="76" t="inlineStr">
        <is>
          <t>&gt;950mA</t>
        </is>
      </c>
      <c r="C6" s="76" t="inlineStr">
        <is>
          <t>ریست کانال</t>
        </is>
      </c>
      <c r="D6" s="76" t="inlineStr">
        <is>
          <t>CHG_CURRENT_HARD_FAULT_MA</t>
        </is>
      </c>
      <c r="E6" s="76" t="inlineStr">
        <is>
          <t>حداکثر ~10ms تأخیر با فیلترها</t>
        </is>
      </c>
    </row>
    <row r="7">
      <c r="A7" s="76" t="inlineStr">
        <is>
          <t>ABSORB</t>
        </is>
      </c>
      <c r="B7" s="76" t="inlineStr">
        <is>
          <t>ورود 14.3 / نگه‌داشت 14.4 / فرار 14.6V</t>
        </is>
      </c>
      <c r="C7" s="76" t="inlineStr">
        <is>
          <t>پله 0.1٪ / نزول 0.5٪</t>
        </is>
      </c>
      <c r="D7" s="76" t="inlineStr">
        <is>
          <t>CHG_ABSORB_*</t>
        </is>
      </c>
      <c r="E7" s="76" t="inlineStr">
        <is>
          <t>شستشوی ۱۰ دقیقه کل مدت</t>
        </is>
      </c>
    </row>
    <row r="8">
      <c r="A8" s="76" t="inlineStr">
        <is>
          <t>JIT</t>
        </is>
      </c>
      <c r="B8" s="76" t="inlineStr">
        <is>
          <t>lockout 3s، ریتری ۵۰٪، دوم ≤۱۰٪، سوم FINAL</t>
        </is>
      </c>
      <c r="C8" s="76" t="inlineStr">
        <is>
          <t>ریتری تک‌تک از صف</t>
        </is>
      </c>
      <c r="D8" s="76" t="inlineStr">
        <is>
          <t>CHG_JIT_LOCKOUT_MS / CHG_DUTY_RETRY_SECOND_MAX</t>
        </is>
      </c>
      <c r="E8" s="76" t="inlineStr">
        <is>
          <t>در مود دستی: بدون ریتری، فقط re-arm</t>
        </is>
      </c>
    </row>
    <row r="9">
      <c r="A9" s="76" t="inlineStr">
        <is>
          <t>مود دستی v1.2</t>
        </is>
      </c>
      <c r="B9" s="76" t="inlineStr">
        <is>
          <t>ID19، ددمن 3s، قطع 15V، سقف، قطع کانال</t>
        </is>
      </c>
      <c r="C9" s="76" t="inlineStr">
        <is>
          <t>duty مستقیم از 16/18</t>
        </is>
      </c>
      <c r="D9" s="76" t="inlineStr">
        <is>
          <t>CHG_MANUAL_WATCHDOG_MS و §5.2 سند ESP</t>
        </is>
      </c>
      <c r="E9" s="76" t="inlineStr">
        <is>
          <t>فریز Fault_Evaluate حین مود</t>
        </is>
      </c>
    </row>
  </sheetData>
  <mergeCells count="1">
    <mergeCell ref="A1:E1"/>
  </mergeCells>
  <hyperlinks>
    <hyperlink xmlns:r="http://schemas.openxmlformats.org/officeDocument/2006/relationships" ref="D4" r:id="rId1"/>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49" t="inlineStr">
        <is>
          <t>ثبت ایرادهای مشاهده‌شده — ماژول Charger</t>
        </is>
      </c>
    </row>
    <row r="2" ht="30" customHeight="1">
      <c r="A2" s="51" t="inlineStr">
        <is>
          <t>برای هر وضعیت «رد» یا تفاوت مهم، یک ردیف با شناسهٔ یکتا ثبت و پس از اصلاح دوباره تست شود.</t>
        </is>
      </c>
      <c r="B2" s="42" t="n"/>
      <c r="C2" s="42" t="n"/>
      <c r="D2" s="42" t="n"/>
      <c r="E2" s="42" t="n"/>
      <c r="F2" s="42" t="n"/>
      <c r="G2" s="42" t="n"/>
      <c r="H2" s="42" t="n"/>
      <c r="I2" s="42" t="n"/>
      <c r="J2" s="42" t="n"/>
      <c r="K2" s="42" t="n"/>
      <c r="L2" s="42" t="n"/>
      <c r="M2" s="43" t="n"/>
    </row>
    <row r="3">
      <c r="A3" s="75" t="inlineStr">
        <is>
          <t>شماره ایراد</t>
        </is>
      </c>
      <c r="B3" s="75" t="inlineStr">
        <is>
          <t>شناسه تست</t>
        </is>
      </c>
      <c r="C3" s="75" t="inlineStr">
        <is>
          <t>تاریخ کشف</t>
        </is>
      </c>
      <c r="D3" s="75" t="inlineStr">
        <is>
          <t>شدت</t>
        </is>
      </c>
      <c r="E3" s="75" t="inlineStr">
        <is>
          <t>شرح کوتاه ایراد</t>
        </is>
      </c>
      <c r="F3" s="75" t="inlineStr">
        <is>
          <t>مراحل بازتولید</t>
        </is>
      </c>
      <c r="G3" s="75" t="inlineStr">
        <is>
          <t>انتظار</t>
        </is>
      </c>
      <c r="H3" s="75" t="inlineStr">
        <is>
          <t>واقعیت</t>
        </is>
      </c>
      <c r="I3" s="75" t="inlineStr">
        <is>
          <t>مدرک/مسیر عکس یا scope</t>
        </is>
      </c>
      <c r="J3" s="75" t="inlineStr">
        <is>
          <t>commit firmware</t>
        </is>
      </c>
      <c r="K3" s="75" t="inlineStr">
        <is>
          <t>محل احتمالی</t>
        </is>
      </c>
      <c r="L3" s="75" t="inlineStr">
        <is>
          <t>وضعیت ایراد</t>
        </is>
      </c>
      <c r="M3" s="75" t="inlineStr">
        <is>
          <t>تأیید رفع / توضیحات</t>
        </is>
      </c>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49" t="inlineStr">
        <is>
          <t>تأیید نهایی اعتبارسنجی — ماژول Charger</t>
        </is>
      </c>
    </row>
    <row r="2">
      <c r="A2" s="50" t="inlineStr">
        <is>
          <t>این صفحه فقط پس از تکمیل تست‌ها و بسته‌شدن ایرادها پر می‌شود.</t>
        </is>
      </c>
    </row>
    <row r="3">
      <c r="A3" s="50" t="inlineStr">
        <is>
          <t>مشخصات تست</t>
        </is>
      </c>
    </row>
    <row r="4">
      <c r="A4" s="50" t="inlineStr">
        <is>
          <t>پروژه</t>
        </is>
      </c>
      <c r="B4" s="50" t="inlineStr">
        <is>
          <t>ChangeOver</t>
        </is>
      </c>
      <c r="C4" s="54" t="n"/>
    </row>
    <row r="5">
      <c r="A5" s="50" t="inlineStr">
        <is>
          <t>ماژول</t>
        </is>
      </c>
      <c r="B5" s="50" t="inlineStr">
        <is>
          <t>Charger — دو کانال ۱۲V مستقل</t>
        </is>
      </c>
      <c r="C5" s="54" t="n"/>
    </row>
    <row r="6">
      <c r="A6" s="50" t="inlineStr">
        <is>
          <t>تاریخ ساخت فرم</t>
        </is>
      </c>
      <c r="B6" s="50" t="inlineStr">
        <is>
          <t>2026-09-23 (1.0 — پوشش v1.2 مود دستی)</t>
        </is>
      </c>
      <c r="C6" s="54" t="n"/>
    </row>
    <row r="7">
      <c r="A7" s="50" t="inlineStr">
        <is>
          <t>نسخه فرم</t>
        </is>
      </c>
      <c r="B7" s="50" t="inlineStr">
        <is>
          <t>1.0</t>
        </is>
      </c>
      <c r="C7" s="54" t="n"/>
    </row>
    <row r="8">
      <c r="A8" s="50" t="inlineStr">
        <is>
          <t>commit firmware</t>
        </is>
      </c>
      <c r="B8" s="50" t="inlineStr">
        <is>
          <t>TESTER: fill</t>
        </is>
      </c>
      <c r="C8" s="54" t="n"/>
    </row>
    <row r="9">
      <c r="A9" s="50" t="inlineStr">
        <is>
          <t>ابزار</t>
        </is>
      </c>
      <c r="B9" s="50" t="inlineStr">
        <is>
          <t>پنل ESP + اسکوپ + مولتی‌متر + منبع محدودشده</t>
        </is>
      </c>
      <c r="C9" s="54" t="n"/>
    </row>
    <row r="10">
      <c r="A10" s="54" t="n"/>
      <c r="B10" s="54" t="n"/>
      <c r="C10" s="54" t="n"/>
    </row>
    <row r="11">
      <c r="A11" s="78" t="inlineStr">
        <is>
          <t>خلاصهٔ خودکار وضعیت تست‌ها</t>
        </is>
      </c>
      <c r="B11" s="54" t="n"/>
      <c r="C11" s="54" t="n"/>
    </row>
    <row r="12">
      <c r="A12" s="75" t="inlineStr">
        <is>
          <t>شاخص</t>
        </is>
      </c>
      <c r="B12" s="75" t="inlineStr">
        <is>
          <t>مقدار</t>
        </is>
      </c>
      <c r="C12" s="75" t="inlineStr">
        <is>
          <t>توضیح</t>
        </is>
      </c>
    </row>
    <row r="13">
      <c r="A13" s="79" t="inlineStr">
        <is>
          <t>کل تست‌ها</t>
        </is>
      </c>
      <c r="B13" s="79" t="n">
        <v>19</v>
      </c>
      <c r="C13" s="79" t="inlineStr">
        <is>
          <t>همهٔ ردیف‌های برنامه تست</t>
        </is>
      </c>
    </row>
    <row r="14">
      <c r="A14" s="79" t="inlineStr">
        <is>
          <t>قبول</t>
        </is>
      </c>
      <c r="B14" s="79">
        <f>COUNTIF('برنامه تست'!L:L,"قبول")</f>
        <v/>
      </c>
      <c r="C14" s="79" t="inlineStr">
        <is>
          <t>COUNTIF برنامه تست</t>
        </is>
      </c>
    </row>
    <row r="15">
      <c r="A15" s="79" t="inlineStr">
        <is>
          <t>رد</t>
        </is>
      </c>
      <c r="B15" s="79">
        <f>COUNTIF('برنامه تست'!L:L,"رد")</f>
        <v/>
      </c>
      <c r="C15" s="79" t="inlineStr">
        <is>
          <t>COUNTIF رد</t>
        </is>
      </c>
    </row>
    <row r="16">
      <c r="A16" s="79" t="inlineStr">
        <is>
          <t>در انتظار</t>
        </is>
      </c>
      <c r="B16" s="79">
        <f>COUNTIF('برنامه تست'!L:L,"در انتظار")</f>
        <v/>
      </c>
      <c r="C16" s="79" t="inlineStr">
        <is>
          <t>پیش از تست برد</t>
        </is>
      </c>
    </row>
    <row r="17">
      <c r="A17" s="79" t="inlineStr">
        <is>
          <t>نرخ قبولی</t>
        </is>
      </c>
      <c r="B17" s="79">
        <f>IF(19=0,0,COUNTIF('برنامه تست'!L:L,"قبول")/19)</f>
        <v/>
      </c>
      <c r="C17" s="79" t="inlineStr">
        <is>
          <t>قبول/کل</t>
        </is>
      </c>
    </row>
    <row r="18">
      <c r="A18" s="54" t="n"/>
      <c r="B18" s="54" t="n"/>
      <c r="C18" s="54" t="n"/>
    </row>
    <row r="19">
      <c r="A19" s="78" t="inlineStr">
        <is>
          <t>امضا و تأیید: تست‌کننده ______  بازبین ______  تاریخ ______</t>
        </is>
      </c>
      <c r="B19" s="54" t="n"/>
      <c r="C19" s="54" t="n"/>
    </row>
  </sheetData>
  <mergeCells count="3">
    <mergeCell ref="A1:C1"/>
    <mergeCell ref="A3:C3"/>
    <mergeCell ref="A2:C2"/>
  </mergeCells>
  <pageMargins left="0.75" right="0.75" top="1" bottom="1" header="0.5" footer="0.5"/>
</worksheet>
</file>

<file path=xl/worksheets/sheet8.xml><?xml version="1.0" encoding="utf-8"?>
<worksheet xmlns="http://schemas.openxmlformats.org/spreadsheetml/2006/main">
  <sheetPr>
    <tabColor rgb="00808080"/>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80" t="inlineStr">
        <is>
          <t>وضعیت</t>
        </is>
      </c>
      <c r="B1" s="54" t="n"/>
    </row>
    <row r="2">
      <c r="A2" s="81" t="inlineStr">
        <is>
          <t>در انتظار</t>
        </is>
      </c>
      <c r="B2" s="54" t="n"/>
    </row>
    <row r="3">
      <c r="A3" s="81" t="inlineStr">
        <is>
          <t>انجام شد</t>
        </is>
      </c>
      <c r="B3" s="54" t="n"/>
    </row>
    <row r="4">
      <c r="A4" s="81" t="inlineStr">
        <is>
          <t>قبول</t>
        </is>
      </c>
      <c r="B4" s="54" t="n"/>
    </row>
    <row r="5">
      <c r="A5" s="81" t="inlineStr">
        <is>
          <t>رد</t>
        </is>
      </c>
      <c r="B5" s="54" t="n"/>
    </row>
    <row r="6">
      <c r="A6" s="81" t="inlineStr">
        <is>
          <t>مسدود</t>
        </is>
      </c>
      <c r="B6" s="54" t="n"/>
    </row>
    <row r="7">
      <c r="A7" s="54" t="inlineStr">
        <is>
          <t>نیاز به تکرار</t>
        </is>
      </c>
      <c r="B7" s="54" t="n"/>
    </row>
    <row r="8">
      <c r="A8" s="80" t="inlineStr">
        <is>
          <t>اولویت</t>
        </is>
      </c>
      <c r="B8" s="54" t="n"/>
    </row>
    <row r="9">
      <c r="A9" s="54" t="n"/>
      <c r="B9" s="81" t="inlineStr">
        <is>
          <t>بالا</t>
        </is>
      </c>
    </row>
    <row r="10">
      <c r="A10" s="54" t="n"/>
      <c r="B10" s="81" t="inlineStr">
        <is>
          <t>متوسط</t>
        </is>
      </c>
    </row>
    <row r="11">
      <c r="A11" s="54" t="n"/>
      <c r="B11" s="81" t="inlineStr">
        <is>
          <t>پایین</t>
        </is>
      </c>
    </row>
    <row r="12">
      <c r="A12" s="54" t="n"/>
      <c r="B12" s="54" t="n"/>
    </row>
    <row r="13">
      <c r="A13" s="80" t="inlineStr">
        <is>
          <t>شدت</t>
        </is>
      </c>
      <c r="B13" s="54" t="n"/>
    </row>
    <row r="14">
      <c r="A14" s="81" t="inlineStr">
        <is>
          <t>بحرانی</t>
        </is>
      </c>
      <c r="B14" s="54" t="n"/>
    </row>
    <row r="15">
      <c r="A15" s="81" t="inlineStr">
        <is>
          <t>بالا</t>
        </is>
      </c>
      <c r="B15" s="54" t="n"/>
    </row>
    <row r="16">
      <c r="A16" s="81" t="inlineStr">
        <is>
          <t>متوسط</t>
        </is>
      </c>
      <c r="B16" s="54" t="n"/>
    </row>
    <row r="17">
      <c r="A17" s="81" t="inlineStr">
        <is>
          <t>پایین</t>
        </is>
      </c>
      <c r="B17" s="54" t="n"/>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شارژر (Charger)</t>
        </is>
      </c>
    </row>
    <row r="2">
      <c r="A2" s="54" t="n"/>
      <c r="B2" s="54" t="n"/>
      <c r="C2" s="54" t="n"/>
    </row>
    <row r="3" ht="24" customHeight="1">
      <c r="A3" s="9" t="inlineStr">
        <is>
          <t>حالت‌ها و گذارهای همین ماژول</t>
        </is>
      </c>
      <c r="B3" s="10" t="inlineStr">
        <is>
          <t>Charger_State_Machine.xlsx</t>
        </is>
      </c>
      <c r="C3" s="54" t="n"/>
    </row>
    <row r="4" ht="24" customHeight="1">
      <c r="A4" s="9" t="inlineStr">
        <is>
          <t>ماشین حالت کل برنامه (نمای سیستمی)</t>
        </is>
      </c>
      <c r="B4" s="10" t="inlineStr">
        <is>
          <t>../../../Documentation/System_State_Machine.xlsx</t>
        </is>
      </c>
      <c r="C4" s="54" t="n"/>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c r="C5" s="54" t="n"/>
    </row>
    <row r="6" ht="24" customHeight="1">
      <c r="A6" s="9" t="inlineStr">
        <is>
          <t>بازتولید</t>
        </is>
      </c>
      <c r="B6" s="10" t="inlineStr">
        <is>
          <t>python3 tools/make_module_state_machines.py</t>
        </is>
      </c>
      <c r="C6" s="54" t="n"/>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2026-09-23T12:47:22Z</dcterms:created>
  <dcterms:modified xsi:type="dcterms:W3CDTF">2026-10-17T12:23:00Z</dcterms:modified>
</cp:coreProperties>
</file>