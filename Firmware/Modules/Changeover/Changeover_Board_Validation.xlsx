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b val="1"/>
      <color rgb="00FFFFFF"/>
      <sz val="9"/>
    </font>
    <font>
      <name val="Vazirmatn"/>
      <color theme="1"/>
      <sz val="11"/>
    </font>
    <font>
      <name val="Vazirmatn"/>
      <b val="1"/>
      <color rgb="001F3864"/>
      <sz val="13"/>
    </font>
    <font>
      <name val="Vazirmatn"/>
      <color rgb="00404040"/>
      <sz val="8"/>
    </font>
    <font>
      <name val="Vazirmatn"/>
      <color rgb="00C00000"/>
      <sz val="7"/>
    </font>
    <font>
      <name val="Vazirmatn"/>
      <b val="1"/>
      <color rgb="00C00000"/>
      <sz val="10"/>
    </font>
    <font>
      <name val="Vazirmatn"/>
      <sz val="7"/>
    </font>
    <font>
      <name val="Vazirmatn"/>
      <color rgb="000563C1"/>
      <sz val="7"/>
      <u val="single"/>
    </font>
    <font>
      <name val="Vazirmatn"/>
      <b val="1"/>
      <color rgb="00203764"/>
      <sz val="11"/>
    </font>
    <font>
      <name val="Vazirmatn"/>
      <b val="1"/>
      <color rgb="00203764"/>
      <sz val="12"/>
    </font>
    <font>
      <name val="Vazirmatn"/>
      <b val="1"/>
      <sz val="8"/>
    </font>
    <font>
      <name val="Vazirmatn"/>
      <sz val="11"/>
    </font>
    <font>
      <name val="Vazirmatn"/>
      <b val="1"/>
      <sz val="11"/>
    </font>
    <font>
      <name val="Vazirmatn"/>
      <i val="1"/>
      <color rgb="00404040"/>
      <sz val="10"/>
    </font>
  </fonts>
  <fills count="16">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xf numFmtId="0" fontId="43" fillId="2" borderId="0" applyAlignment="1" pivotButton="0" quotePrefix="0" xfId="0">
      <alignment horizontal="center" vertical="center" wrapText="1"/>
    </xf>
    <xf numFmtId="0" fontId="44" fillId="0" borderId="0" pivotButton="0" quotePrefix="0" xfId="0"/>
    <xf numFmtId="0" fontId="45" fillId="0" borderId="0" applyAlignment="1" pivotButton="0" quotePrefix="0" xfId="0">
      <alignment horizontal="center" vertical="center" wrapText="1"/>
    </xf>
    <xf numFmtId="0" fontId="46" fillId="8" borderId="1" applyAlignment="1" pivotButton="0" quotePrefix="0" xfId="0">
      <alignment horizontal="center" vertical="center" wrapText="1"/>
    </xf>
    <xf numFmtId="0" fontId="44" fillId="0" borderId="4" pivotButton="0" quotePrefix="0" xfId="0"/>
    <xf numFmtId="0" fontId="44" fillId="0" borderId="5" pivotButton="0" quotePrefix="0" xfId="0"/>
    <xf numFmtId="0" fontId="47" fillId="0" borderId="0" applyAlignment="1" pivotButton="0" quotePrefix="0" xfId="0">
      <alignment horizontal="right" vertical="center" wrapText="1" readingOrder="2"/>
    </xf>
    <xf numFmtId="0" fontId="48" fillId="3" borderId="0" applyAlignment="1" pivotButton="0" quotePrefix="0" xfId="0">
      <alignment horizontal="right" vertical="center" wrapText="1"/>
    </xf>
    <xf numFmtId="0" fontId="48" fillId="3" borderId="0" applyAlignment="1" pivotButton="0" quotePrefix="0" xfId="0">
      <alignment horizontal="center" vertical="center" wrapText="1"/>
    </xf>
    <xf numFmtId="0" fontId="49" fillId="3" borderId="1" applyAlignment="1" pivotButton="0" quotePrefix="0" xfId="0">
      <alignment horizontal="center" vertical="center" wrapText="1"/>
    </xf>
    <xf numFmtId="0" fontId="44" fillId="3" borderId="1" pivotButton="0" quotePrefix="0" xfId="0"/>
    <xf numFmtId="0" fontId="47" fillId="0" borderId="1" applyAlignment="1" pivotButton="0" quotePrefix="0" xfId="0">
      <alignment horizontal="center" vertical="center" wrapText="1"/>
    </xf>
    <xf numFmtId="0" fontId="44" fillId="0" borderId="1" pivotButton="0" quotePrefix="0" xfId="0"/>
    <xf numFmtId="0" fontId="50" fillId="0" borderId="0" pivotButton="0" quotePrefix="0" xfId="0"/>
    <xf numFmtId="0" fontId="51" fillId="2" borderId="0" applyAlignment="1" pivotButton="0" quotePrefix="0" xfId="0">
      <alignment horizontal="center" vertical="center" wrapText="1"/>
    </xf>
    <xf numFmtId="0" fontId="52" fillId="0" borderId="0" applyAlignment="1" pivotButton="0" quotePrefix="0" xfId="0">
      <alignment horizontal="center" vertical="center" wrapText="1"/>
    </xf>
    <xf numFmtId="0" fontId="53" fillId="4" borderId="0" applyAlignment="1" pivotButton="0" quotePrefix="0" xfId="0">
      <alignment horizontal="center" vertical="center" wrapText="1"/>
    </xf>
    <xf numFmtId="164" fontId="44" fillId="0" borderId="0" pivotButton="0" quotePrefix="0" xfId="0"/>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20" fillId="0" borderId="1" applyAlignment="1" pivotButton="0" quotePrefix="0" xfId="0">
      <alignment horizontal="center" vertical="center" wrapText="1"/>
    </xf>
    <xf numFmtId="0" fontId="18" fillId="12"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20" fillId="10" borderId="1" applyAlignment="1" pivotButton="0" quotePrefix="0" xfId="0">
      <alignment horizontal="center" vertical="center" wrapText="1"/>
    </xf>
    <xf numFmtId="0" fontId="19" fillId="10" borderId="1" applyAlignment="1" pivotButton="0" quotePrefix="0" xfId="0">
      <alignment horizontal="right" vertical="center" wrapText="1"/>
    </xf>
    <xf numFmtId="164" fontId="20" fillId="10" borderId="1" applyAlignment="1" pivotButton="0" quotePrefix="0" xfId="0">
      <alignment horizontal="center" vertical="center" wrapText="1"/>
    </xf>
    <xf numFmtId="0" fontId="51" fillId="0" borderId="0" pivotButton="0" quotePrefix="0" xfId="0"/>
    <xf numFmtId="0" fontId="20" fillId="0" borderId="0" applyAlignment="1" pivotButton="0" quotePrefix="0" xfId="0">
      <alignment vertical="center" wrapText="1"/>
    </xf>
    <xf numFmtId="0" fontId="54"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0" fontId="54" fillId="10" borderId="1" applyAlignment="1" pivotButton="0" quotePrefix="0" xfId="0">
      <alignment horizontal="center" vertical="center" wrapText="1"/>
    </xf>
    <xf numFmtId="0" fontId="18" fillId="10" borderId="1" applyAlignment="1" pivotButton="0" quotePrefix="0" xfId="0">
      <alignment horizontal="center"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5" fillId="0" borderId="0" applyAlignment="1" pivotButton="0" quotePrefix="0" xfId="0">
      <alignment horizontal="center" vertical="center" wrapText="1"/>
    </xf>
    <xf numFmtId="0" fontId="55" fillId="0" borderId="1" applyAlignment="1" pivotButton="0" quotePrefix="0" xfId="0">
      <alignment horizontal="center" vertical="center" wrapText="1" readingOrder="2"/>
    </xf>
    <xf numFmtId="0" fontId="56" fillId="0" borderId="1" applyAlignment="1" pivotButton="0" quotePrefix="0" xfId="0">
      <alignment horizontal="center" vertical="center" wrapText="1" readingOrder="2"/>
    </xf>
    <xf numFmtId="0" fontId="57" fillId="2" borderId="0" applyAlignment="1" pivotButton="0" quotePrefix="0" xfId="0">
      <alignment horizontal="center" vertical="center" wrapText="1"/>
    </xf>
    <xf numFmtId="0" fontId="55" fillId="5" borderId="1" applyAlignment="1" pivotButton="0" quotePrefix="0" xfId="0">
      <alignment horizontal="center" vertical="center" wrapText="1"/>
    </xf>
    <xf numFmtId="0" fontId="55" fillId="0" borderId="1" applyAlignment="1" pivotButton="0" quotePrefix="0" xfId="0">
      <alignment horizontal="center" vertical="center" wrapText="1"/>
    </xf>
    <xf numFmtId="0" fontId="58" fillId="2" borderId="0" applyAlignment="1" pivotButton="0" quotePrefix="0" xfId="0">
      <alignment horizontal="center" vertical="center" wrapText="1"/>
    </xf>
    <xf numFmtId="0" fontId="53" fillId="0" borderId="0" applyAlignment="1" pivotButton="0" quotePrefix="0" xfId="0">
      <alignment horizontal="center" vertical="center" wrapText="1"/>
    </xf>
    <xf numFmtId="0" fontId="59" fillId="7" borderId="1" applyAlignment="1" pivotButton="0" quotePrefix="0" xfId="0">
      <alignment horizontal="center" vertical="center" wrapText="1"/>
    </xf>
    <xf numFmtId="0" fontId="47" fillId="4" borderId="1" applyAlignment="1" pivotButton="0" quotePrefix="0" xfId="0">
      <alignment horizontal="center" vertical="center" wrapText="1"/>
    </xf>
    <xf numFmtId="0" fontId="59" fillId="4" borderId="1" applyAlignment="1" pivotButton="0" quotePrefix="0" xfId="0">
      <alignment horizontal="center" vertical="center" wrapText="1"/>
    </xf>
    <xf numFmtId="0" fontId="47" fillId="0" borderId="0" applyAlignment="1" pivotButton="0" quotePrefix="0" xfId="0">
      <alignment horizontal="center" vertical="center" wrapText="1"/>
    </xf>
    <xf numFmtId="0" fontId="60" fillId="0" borderId="0" pivotButton="0" quotePrefix="0" xfId="0"/>
    <xf numFmtId="0" fontId="60" fillId="0" borderId="7" pivotButton="0" quotePrefix="0" xfId="0"/>
    <xf numFmtId="164" fontId="60" fillId="0" borderId="7" pivotButton="0" quotePrefix="0" xfId="0"/>
    <xf numFmtId="0" fontId="60" fillId="0" borderId="7" applyAlignment="1" pivotButton="0" quotePrefix="0" xfId="0">
      <alignment horizontal="center" vertical="center"/>
    </xf>
    <xf numFmtId="0" fontId="60" fillId="0" borderId="7" applyAlignment="1" pivotButton="0" quotePrefix="0" xfId="0">
      <alignment horizontal="right" vertical="center" wrapText="1"/>
    </xf>
    <xf numFmtId="0" fontId="60" fillId="0" borderId="7" applyAlignment="1" pivotButton="0" quotePrefix="0" xfId="0">
      <alignment horizontal="center" vertical="center" wrapText="1"/>
    </xf>
    <xf numFmtId="164" fontId="60" fillId="0" borderId="7" applyAlignment="1" pivotButton="0" quotePrefix="0" xfId="0">
      <alignment horizontal="center" vertical="center" wrapText="1"/>
    </xf>
    <xf numFmtId="0" fontId="17" fillId="8" borderId="0" applyAlignment="1" pivotButton="0" quotePrefix="0" xfId="0">
      <alignment horizontal="center" vertical="center" wrapText="1"/>
    </xf>
    <xf numFmtId="0" fontId="46" fillId="13" borderId="1" applyAlignment="1" pivotButton="0" quotePrefix="0" xfId="0">
      <alignment horizontal="center" vertical="center" wrapText="1"/>
    </xf>
    <xf numFmtId="0" fontId="48" fillId="13" borderId="0" applyAlignment="1" pivotButton="0" quotePrefix="0" xfId="0">
      <alignment horizontal="right" vertical="center" wrapText="1"/>
    </xf>
    <xf numFmtId="0" fontId="48" fillId="13" borderId="0" applyAlignment="1" pivotButton="0" quotePrefix="0" xfId="0">
      <alignment horizontal="center" vertical="center" wrapText="1"/>
    </xf>
    <xf numFmtId="0" fontId="49" fillId="13" borderId="1" applyAlignment="1" pivotButton="0" quotePrefix="0" xfId="0">
      <alignment horizontal="center" vertical="center" wrapText="1"/>
    </xf>
    <xf numFmtId="0" fontId="46" fillId="13" borderId="1" pivotButton="0" quotePrefix="0" xfId="0"/>
    <xf numFmtId="0" fontId="20" fillId="14" borderId="1" applyAlignment="1" pivotButton="0" quotePrefix="0" xfId="0">
      <alignment horizontal="right" vertical="center" wrapText="1"/>
    </xf>
    <xf numFmtId="0" fontId="20" fillId="14" borderId="1" applyAlignment="1" pivotButton="0" quotePrefix="0" xfId="0">
      <alignment horizontal="center" vertical="center" wrapText="1"/>
    </xf>
    <xf numFmtId="0" fontId="19" fillId="14" borderId="1" applyAlignment="1" pivotButton="0" quotePrefix="0" xfId="0">
      <alignment horizontal="right" vertical="center" wrapText="1"/>
    </xf>
    <xf numFmtId="0" fontId="17" fillId="8" borderId="0" pivotButton="0" quotePrefix="0" xfId="0"/>
    <xf numFmtId="0" fontId="54" fillId="14" borderId="1" applyAlignment="1" pivotButton="0" quotePrefix="0" xfId="0">
      <alignment horizontal="center" vertical="center" wrapText="1"/>
    </xf>
    <xf numFmtId="164" fontId="20" fillId="14" borderId="1" applyAlignment="1" pivotButton="0" quotePrefix="0" xfId="0">
      <alignment horizontal="center" vertical="center" wrapText="1"/>
    </xf>
    <xf numFmtId="0" fontId="17" fillId="8" borderId="1" applyAlignment="1" pivotButton="0" quotePrefix="0" xfId="0">
      <alignment horizontal="center" vertical="center" wrapText="1"/>
    </xf>
    <xf numFmtId="0" fontId="55" fillId="10" borderId="1" applyAlignment="1" pivotButton="0" quotePrefix="0" xfId="0">
      <alignment horizontal="center" vertical="center" wrapText="1"/>
    </xf>
    <xf numFmtId="0" fontId="47" fillId="14" borderId="1" applyAlignment="1" pivotButton="0" quotePrefix="0" xfId="0">
      <alignment horizontal="center" vertical="center" wrapText="1"/>
    </xf>
    <xf numFmtId="0" fontId="47" fillId="10" borderId="1" applyAlignment="1" pivotButton="0" quotePrefix="0" xfId="0">
      <alignment horizontal="center" vertical="center" wrapText="1"/>
    </xf>
    <xf numFmtId="0" fontId="47" fillId="9" borderId="1" applyAlignment="1" pivotButton="0" quotePrefix="0" xfId="0">
      <alignment horizontal="center" vertical="center" wrapText="1"/>
    </xf>
    <xf numFmtId="0" fontId="53" fillId="9" borderId="0" applyAlignment="1" pivotButton="0" quotePrefix="0" xfId="0">
      <alignment horizontal="center" vertical="center" wrapText="1"/>
    </xf>
    <xf numFmtId="0" fontId="59" fillId="9" borderId="1" applyAlignment="1" pivotButton="0" quotePrefix="0" xfId="0">
      <alignment horizontal="center" vertical="center" wrapText="1"/>
    </xf>
    <xf numFmtId="0" fontId="46" fillId="13" borderId="1" applyAlignment="1" pivotButton="0" quotePrefix="0" xfId="0">
      <alignment horizontal="right" vertical="center" wrapText="1"/>
    </xf>
    <xf numFmtId="0" fontId="60" fillId="0" borderId="1" applyAlignment="1" pivotButton="0" quotePrefix="0" xfId="0">
      <alignment horizontal="right" vertical="center" wrapText="1"/>
    </xf>
    <xf numFmtId="0" fontId="46" fillId="8" borderId="0" applyAlignment="1" pivotButton="0" quotePrefix="0" xfId="0">
      <alignment horizontal="center" vertical="center" wrapText="1"/>
    </xf>
    <xf numFmtId="0" fontId="61" fillId="10" borderId="1" applyAlignment="1" pivotButton="0" quotePrefix="0" xfId="0">
      <alignment horizontal="right" vertical="center" wrapText="1"/>
    </xf>
    <xf numFmtId="0" fontId="61" fillId="15" borderId="1" applyAlignment="1" pivotButton="0" quotePrefix="0" xfId="0">
      <alignment horizontal="center" vertical="center"/>
    </xf>
    <xf numFmtId="0" fontId="62" fillId="0" borderId="0" applyAlignment="1" pivotButton="0" quotePrefix="0" xfId="0">
      <alignment horizontal="right" vertical="center" wrapText="1"/>
    </xf>
    <xf numFmtId="0" fontId="55" fillId="10" borderId="1" applyAlignment="1" pivotButton="0" quotePrefix="0" xfId="0">
      <alignment horizontal="right" vertical="center"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 /><Relationship Type="http://schemas.openxmlformats.org/officeDocument/2006/relationships/hyperlink" Target="../../Config/Inc/app_types.h" TargetMode="External" Id="rId2" /><Relationship Type="http://schemas.openxmlformats.org/officeDocument/2006/relationships/hyperlink" Target="../../Bsp/Inc/bsp_gpio.h" TargetMode="External" Id="rId3" /><Relationship Type="http://schemas.openxmlformats.org/officeDocument/2006/relationships/hyperlink" Target="changeover.c" TargetMode="External" Id="rId4" /><Relationship Type="http://schemas.openxmlformats.org/officeDocument/2006/relationships/hyperlink" Target="../../Config/Inc/app_types.h" TargetMode="External" Id="rId5" /></Relationships>
</file>

<file path=xl/worksheets/_rels/sheet9.xml.rels><Relationships xmlns="http://schemas.openxmlformats.org/package/2006/relationships"><Relationship Type="http://schemas.openxmlformats.org/officeDocument/2006/relationships/hyperlink" Target="Changeover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9"/>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137" t="inlineStr">
        <is>
          <t>برگه تست و اعتبارسنجی عملی ماژول Changeover — منطق قطع/وصل باتری</t>
        </is>
      </c>
    </row>
    <row r="2" ht="40" customHeight="1">
      <c r="A2" s="83" t="inlineStr">
        <is>
          <t>ChangeOver | این ماژول فقط پایهٔ PB11 را کنترل می‌کند (BSP_GPIO_PROTECT_BATTERY).
حدها: 21000 و 20800 و 21200 میلی‌ولت. زمان صبر: 3000 میلی‌ثانیه. نسخه 2.1.
پایهٔ دیگری اینجا دست نمی‌خورد؛ فقط PB11.</t>
        </is>
      </c>
    </row>
    <row r="3" ht="30" customHeight="1">
      <c r="A3" s="138" t="inlineStr">
        <is>
          <t>هدف فایل</t>
        </is>
      </c>
      <c r="B3" s="8" t="n"/>
      <c r="C3" s="8" t="n"/>
      <c r="D3" s="8" t="n"/>
      <c r="E3" s="8" t="n"/>
      <c r="F3" s="8" t="n"/>
      <c r="G3" s="8" t="n"/>
      <c r="H3" s="8" t="n"/>
      <c r="I3" s="8" t="n"/>
      <c r="J3" s="8" t="n"/>
      <c r="K3" s="8" t="n"/>
      <c r="L3" s="8" t="n"/>
      <c r="M3" s="8" t="n"/>
      <c r="N3" s="8" t="n"/>
      <c r="O3" s="8" t="n"/>
      <c r="P3" s="9" t="n"/>
    </row>
    <row r="4" ht="13" customHeight="1">
      <c r="A4" s="87" t="inlineStr">
        <is>
          <t>این فایل برای چک‌کردن منطق Changeover است.
این‌ها چک می‌شوند: معتبر بودن داده (snapshot.valid)، ماسک خطا (fault_mask)، حاضر بودن ورودی (input_present)، ولتاژ باتری (v_bat24_mv)، قفل داخلی باتری کم و تایمر 3000 میلی‌ثانیه.</t>
        </is>
      </c>
    </row>
    <row r="5" ht="13" customHeight="1">
      <c r="A5" s="87" t="inlineStr">
        <is>
          <t>در هر ردیف، روش اجرا و نتیجهٔ مورد انتظار نوشته شده است.
قبول یا رد هر تست با عدد مشخص است: ولتاژ (mV)، زمان (ms)، وضعیت و پایهٔ PB11.</t>
        </is>
      </c>
    </row>
    <row r="6" ht="13" customHeight="1">
      <c r="A6" s="87" t="inlineStr">
        <is>
          <t>قبل از تست روی برد، ستون «نتیجه واقعی» را خالی بگذار و وضعیت را «در انتظار» نگه دار.
برای تستی که انجام نشده، «قبول» ننویس.
برای Changeover فقط همین یک فایل داریم.</t>
        </is>
      </c>
    </row>
    <row r="7" ht="18" customHeight="1">
      <c r="A7" s="139" t="inlineStr">
        <is>
          <t>دامنه فقط Changeover است. دادهٔ اندازه‌گیری از Measurement می‌آید، ماسک خطا از Fault و فلگ از UI.</t>
        </is>
      </c>
    </row>
    <row r="8" ht="13" customHeight="1">
      <c r="A8" s="87" t="inlineStr">
        <is>
          <t>اول دادهٔ اندازه‌گیری چک می‌شود.
اگر داده حاضر نباشد (NULL) یا معتبر نباشد (valid=false)، هیچ تصمیمی گرفته نمی‌شود:
وضعیت همان قبلی می‌ماند. پایهٔ PB11 هم تغییر نمی‌کند. تایمر از نو شروع می‌شود.
در این حالت، خطا هم وضعیت را عوض نمی‌کند و آن زمان جزو زمان صبر حساب نمی‌شود.</t>
        </is>
      </c>
    </row>
    <row r="9" ht="13" customHeight="1">
      <c r="A9" s="87" t="inlineStr">
        <is>
          <t>فقط وقتی داده معتبر است و خطایی هست (fault!=0)، وضعیت «خطا» (FAULT) می‌شود.
در این حالت هیچ پایه‌ای تغییر نمی‌کند: نه PB11، نه PB5 و نه PB7.</t>
        </is>
      </c>
    </row>
    <row r="10" ht="13" customHeight="1">
      <c r="A10" s="87" t="inlineStr">
        <is>
          <t>قطع خروجی دو راه دارد:
راه اول: ولتاژ باتری زیر 21000 میلی‌ولت باشد و فلگ باتری کم هم فعال باشد. این وضع باید 3000 میلی‌ثانیه پشت سر هم بماند. بعد خروجی قطع می‌شود (PB11 پایین) و وضعیت «امن» (SAFE) می‌شود.
راه دوم: ولتاژ باتری زیر 20800 میلی‌ولت باشد. در این راه فلگ لازم نیست؛ همان 3000 میلی‌ثانیه صبر کافی است و بعد وضعیت «امن» می‌شود.</t>
        </is>
      </c>
    </row>
    <row r="11" ht="13" customHeight="1">
      <c r="A11" s="87" t="inlineStr">
        <is>
          <t>وصل دوباره هم شرط دارد:
ورودی حاضر باشد و ولتاژ باتری دست‌کم 21200 میلی‌ولت باشد.
این وضع باید 3000 میلی‌ثانیه پشت سر هم بماند.
بعد خروجی وصل می‌شود (PB11 بالا) و وضعیت «ورودی» (INPUT) می‌شود. وضعیت هیچ‌وقت «بیکار» (IDLE) نمی‌شود.</t>
        </is>
      </c>
    </row>
    <row r="12" ht="13" customHeight="1">
      <c r="A12" s="87" t="inlineStr">
        <is>
          <t>زمان فقط با تابع تبدیل میلی‌ثانیه به تیک حساب می‌شود (func__Rtos_MillisecondsToTicks) و ساعت سیستم خوانده می‌شود (osKernelGetTickCount).
فرض نکن هر تیک 1 میلی‌ثانیه است.
اگر مدت به تیک صفر شد (durationTicks=0)، هیچ قطع یا وصل فوری انجام نمی‌شود.</t>
        </is>
      </c>
    </row>
    <row r="13" ht="18" customHeight="1">
      <c r="A13" s="139" t="inlineStr">
        <is>
          <t>روش اجرای تست</t>
        </is>
      </c>
    </row>
    <row r="14" ht="13" customHeight="1">
      <c r="A14" s="87" t="inlineStr">
        <is>
          <t>۱) برد را با منبع آزمایشگاهی و با رعایت ایمنی روشن کن.
پایهٔ PB11 را با مولتی‌متر یا اسکوپ نسبت به زمین (GND) اندازه بگیر. این پایه فعال-پایین است: پایین یعنی قطع.
پایه‌های PB5 و PB7 را هم هم‌زمان با اسکوپ ببین. نباید هیچ تغییری بکنند.</t>
        </is>
      </c>
    </row>
    <row r="15" ht="13" customHeight="1">
      <c r="A15" s="87" t="inlineStr">
        <is>
          <t>۲) firmware موردنظر را پروگرام کن؛ commit و شناسه برد را در «تأیید نهایی» ثبت کن.</t>
        </is>
      </c>
    </row>
    <row r="16" ht="13" customHeight="1">
      <c r="A16" s="87" t="inlineStr">
        <is>
          <t>۳) دادهٔ اندازه‌گیری را تزریق کن: valid و v_bat24_mv و input_present را ست کن.
قفل باتری کم را نمی‌شود مستقیم ست کرد؛ خودش وقتی بسته می‌شود که ولتاژ زیر ۲۱۰۰۰ میلی‌ولت برود.
ماسک خطا (fault_mask) را از ماژول Fault بده.</t>
        </is>
      </c>
    </row>
    <row r="17" ht="13" customHeight="1">
      <c r="A17" s="87" t="inlineStr">
        <is>
          <t>۴) برای تست زمان 3000 میلی‌ثانیه: شرط را دست‌کم 3500 میلی‌ثانیه نگه دار. بعد PB11 و وضعیت را بخوان.
برای تست کمتر از 3000 میلی‌ثانیه: بعد از 2500 میلی‌ثانیه بخوان. هنوز نباید چیزی تغییر کرده باشد.</t>
        </is>
      </c>
    </row>
    <row r="18" ht="13" customHeight="1">
      <c r="A18" s="87" t="inlineStr">
        <is>
          <t>۵) برای دادهٔ نامعتبر: valid=false یا NULL بده.
ببین وضعیت و PB11 همان قبلی می‌مانند.
یعنی وضعیت فعلی حفظ می‌شود، نه اینکه وضعیت ثابت «بیکار» شود.</t>
        </is>
      </c>
    </row>
    <row r="19" ht="13" customHeight="1">
      <c r="A19" s="87" t="inlineStr">
        <is>
          <t>۶) نتیجه واقعی را بنویس و در صورت رد، در «ثبت ایراد» ردیف بساز.</t>
        </is>
      </c>
    </row>
    <row r="20">
      <c r="A20" s="140" t="inlineStr">
        <is>
          <t>تاریخچه نسخه</t>
        </is>
      </c>
    </row>
    <row r="21">
      <c r="A21" s="141" t="inlineStr">
        <is>
          <t>تاریخ</t>
        </is>
      </c>
      <c r="B21" s="141" t="inlineStr">
        <is>
          <t>نسخه</t>
        </is>
      </c>
      <c r="C21" s="141" t="inlineStr">
        <is>
          <t>شرح تغییر</t>
        </is>
      </c>
      <c r="D21" s="141" t="inlineStr">
        <is>
          <t>نسخهٔ برنامه</t>
        </is>
      </c>
      <c r="E21" s="142" t="n"/>
      <c r="F21" s="8" t="n"/>
      <c r="G21" s="8" t="n"/>
      <c r="H21" s="8" t="n"/>
      <c r="I21" s="8" t="n"/>
      <c r="J21" s="8" t="n"/>
      <c r="K21" s="8" t="n"/>
      <c r="L21" s="8" t="n"/>
      <c r="M21" s="8" t="n"/>
      <c r="N21" s="8" t="n"/>
      <c r="O21" s="8" t="n"/>
      <c r="P21" s="9" t="n"/>
    </row>
    <row r="22" ht="14" customHeight="1">
      <c r="A22" s="92" t="inlineStr">
        <is>
          <t>2026-09-16</t>
        </is>
      </c>
      <c r="B22" s="92" t="inlineStr">
        <is>
          <t>2.1</t>
        </is>
      </c>
      <c r="C22" s="92" t="inlineStr">
        <is>
          <t>۲۲ تست کامل شد. هر تست ۱۶ ستون دارد. برای هر تست قبول یا رد جدا نوشته می‌شود. زمان‌ها با ساعت سیستم (rtos_time) حساب می‌شوند. اگر مدت صفر شد (0)، قطع و وصل فوری نداریم.</t>
        </is>
      </c>
      <c r="D22" s="92" t="inlineStr">
        <is>
          <t>c6b084f28f2c507cfd342e5dbd0dbd8e45686772</t>
        </is>
      </c>
      <c r="E22" s="93" t="n"/>
      <c r="F22" s="8" t="n"/>
      <c r="G22" s="8" t="n"/>
      <c r="H22" s="8" t="n"/>
      <c r="I22" s="8" t="n"/>
      <c r="J22" s="8" t="n"/>
      <c r="K22" s="8" t="n"/>
      <c r="L22" s="8" t="n"/>
      <c r="M22" s="8" t="n"/>
      <c r="N22" s="8" t="n"/>
      <c r="O22" s="8" t="n"/>
      <c r="P22" s="9" t="n"/>
    </row>
    <row r="23" ht="14" customHeight="1">
      <c r="A23" s="92" t="inlineStr">
        <is>
          <t>2026-09-16</t>
        </is>
      </c>
      <c r="B23" s="92" t="inlineStr">
        <is>
          <t>2.0</t>
        </is>
      </c>
      <c r="C23" s="92" t="inlineStr">
        <is>
          <t>تصمیم فقط وقتی گرفته می‌شود که داده معتبر باشد. زمان با تبدیل میلی‌ثانیه به تیک حساب می‌شود. وضعیت‌ها: باتری، ورودی، امن و خطا. وضعیت «بیکار» (IDLE) نداریم.</t>
        </is>
      </c>
      <c r="D23" s="92" t="inlineStr">
        <is>
          <t>a4a5bf2</t>
        </is>
      </c>
      <c r="E23" s="93" t="n"/>
      <c r="F23" s="8" t="n"/>
      <c r="G23" s="8" t="n"/>
      <c r="H23" s="8" t="n"/>
      <c r="I23" s="8" t="n"/>
      <c r="J23" s="8" t="n"/>
      <c r="K23" s="8" t="n"/>
      <c r="L23" s="8" t="n"/>
      <c r="M23" s="8" t="n"/>
      <c r="N23" s="8" t="n"/>
      <c r="O23" s="8" t="n"/>
      <c r="P23" s="9" t="n"/>
    </row>
    <row r="24" ht="14" customHeight="1">
      <c r="A24" s="92" t="inlineStr">
        <is>
          <t>2026-09-16</t>
        </is>
      </c>
      <c r="B24" s="92" t="inlineStr">
        <is>
          <t>1.0</t>
        </is>
      </c>
      <c r="C24" s="92" t="inlineStr">
        <is>
          <t>در نسخهٔ اول 21 سناریو پیاده شد.</t>
        </is>
      </c>
      <c r="D24" s="92" t="inlineStr">
        <is>
          <t>d0adc6f</t>
        </is>
      </c>
      <c r="E24" s="93" t="n"/>
      <c r="F24" s="8" t="n"/>
      <c r="G24" s="8" t="n"/>
      <c r="H24" s="8" t="n"/>
      <c r="I24" s="8" t="n"/>
      <c r="J24" s="8" t="n"/>
      <c r="K24" s="8" t="n"/>
      <c r="L24" s="8" t="n"/>
      <c r="M24" s="8" t="n"/>
      <c r="N24" s="8" t="n"/>
      <c r="O24" s="8" t="n"/>
      <c r="P24" s="9" t="n"/>
    </row>
    <row r="25">
      <c r="A25" s="94" t="inlineStr">
        <is>
          <t>2026-10-12</t>
        </is>
      </c>
      <c r="B25" s="94" t="inlineStr">
        <is>
          <t>1.87</t>
        </is>
      </c>
      <c r="C25" s="94" t="inlineStr">
        <is>
          <t>دیالوگ پنل تیره و هم‌رنگ شد. صف پیام (PMQ) اضافه شد. کلیدهای Enter و Esc درست کار می‌کنند. در تسک کنترل، عکس لحظه‌ای (snapshot) اول کامل صفر می‌شود. (62f3782)</t>
        </is>
      </c>
      <c r="D25" s="94" t="inlineStr">
        <is>
          <t>62f3782</t>
        </is>
      </c>
      <c r="E25" s="82" t="n"/>
      <c r="F25" s="82" t="n"/>
      <c r="G25" s="82" t="n"/>
      <c r="H25" s="82" t="n"/>
      <c r="I25" s="82" t="n"/>
      <c r="J25" s="82" t="n"/>
      <c r="K25" s="82" t="n"/>
      <c r="L25" s="82" t="n"/>
      <c r="M25" s="82" t="n"/>
      <c r="N25" s="82" t="n"/>
      <c r="O25" s="82" t="n"/>
      <c r="P25" s="82" t="n"/>
    </row>
    <row r="27">
      <c r="A27" s="130"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9">
      <c r="A29" s="156" t="inlineStr">
        <is>
          <t>پیش‌بینی زندهٔ برنامه</t>
        </is>
      </c>
      <c r="B29" s="157"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U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7" t="inlineStr">
        <is>
          <t>برنامه تست عملی — ماژول Changeover (قطع/وصل باتری با 3000ms)</t>
        </is>
      </c>
      <c r="Q1" s="82" t="n"/>
      <c r="T1" s="158" t="inlineStr">
        <is>
          <t>ورودی‌های پیش‌بینی — خانه‌های زرد را عوض کن و ستون «پیش‌بینی زنده» را ببین</t>
        </is>
      </c>
    </row>
    <row r="2" ht="30" customHeight="1">
      <c r="A2" s="96" t="inlineStr">
        <is>
          <t>ورودی‌ها بر حسب mV؛ زمان‌ها بر حسب ms. PB11 فقط از BSP_GPIO_PROTECT_BATTERY (فعال Low) — PB5/PB7 ممنوع. ورودی‌ها: valid، v_bat، input_present، flag، fault.</t>
        </is>
      </c>
      <c r="Q2" s="82" t="n"/>
      <c r="T2" s="159" t="inlineStr">
        <is>
          <t>ولتاژ باتری (میلی‌ولت)</t>
        </is>
      </c>
      <c r="U2" s="160" t="n">
        <v>24000</v>
      </c>
    </row>
    <row r="3" ht="32" customHeight="1">
      <c r="A3" s="97" t="inlineStr">
        <is>
          <t>snapshot نامعتبر → «state فعلی حفظ شود» (نه IDLE ثابت). CO-010/012 باید INPUT باشد. معیار قبولی هر ردیف توضیح می‌دهد PASS چیست و FAIL چیست.</t>
        </is>
      </c>
      <c r="Q3" s="82" t="n"/>
      <c r="T3" s="159" t="inlineStr">
        <is>
          <t>ورودی حاضر است؟ (1/0)</t>
        </is>
      </c>
      <c r="U3" s="160" t="n">
        <v>1</v>
      </c>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چه چیزی باید ببینید تا بگویید درست است</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c r="R4" s="138" t="inlineStr">
        <is>
          <t>پیش‌بینی زندهٔ برنامه (فرمول)</t>
        </is>
      </c>
      <c r="T4" s="159" t="inlineStr">
        <is>
          <t>خطا هست؟ fault (1/0)</t>
        </is>
      </c>
      <c r="U4" s="160" t="n">
        <v>0</v>
      </c>
    </row>
    <row r="5" ht="54" customHeight="1">
      <c r="A5" s="99" t="inlineStr">
        <is>
          <t>CO-025</t>
        </is>
      </c>
      <c r="B5" s="104" t="inlineStr">
        <is>
          <t>عملکرد واقعی خروجی</t>
        </is>
      </c>
      <c r="C5" s="105" t="inlineStr">
        <is>
          <t>بالا</t>
        </is>
      </c>
      <c r="D5" s="104" t="inlineStr">
        <is>
          <t>دستگاه روشن، باتری وصل و یک بار (مثلاً لامپ) روی خروجی</t>
        </is>
      </c>
      <c r="E5" s="104" t="inlineStr">
        <is>
          <t>گام ۱: دستگاه را فقط با باتری روشن کن و مطمئن شو بار روشن است.
گام ۲: ولتاژ باتری را با منبع آزمایشگاهی آرام پایین بیاور تا زیر 21 ولت برسد.
گام ۳: چند ثانیه صبر کن و بار را نگاه کن.
گام ۴: بار باید خاموش شود (خروجی قطع شود)؛ تا وقتی باتری بالای 21 ولت است بار نباید قطع شود.</t>
        </is>
      </c>
      <c r="F5" s="104" t="inlineStr">
        <is>
          <t>باتری از 24 ولت تا زیر 21 ولت</t>
        </is>
      </c>
      <c r="G5" s="105" t="inlineStr">
        <is>
          <t>چند ثانیه</t>
        </is>
      </c>
      <c r="H5" s="104" t="inlineStr">
        <is>
          <t>با افت باتری زیر حد، خروجی بعد از چند ثانیه قطع و بار خاموش می‌شود</t>
        </is>
      </c>
      <c r="I5" s="104" t="inlineStr">
        <is>
          <t>باید ببینید:
با افت باتری زیر حد، خروجی بعد از چند ثانیه قطع می‌شود و بار خاموش می‌شود.
تا وقتی باتری بالای حد است، بار روشن می‌ماند.
اگر زود قطع کرد یا اصلاً قطع نکرد، قبول نیست.</t>
        </is>
      </c>
      <c r="J5" s="104" t="inlineStr">
        <is>
          <t>بار قطع شود؛ قطع زودهنگام وقتی باتری هنوز بالای حد است = رد</t>
        </is>
      </c>
      <c r="K5" s="100" t="n"/>
      <c r="L5" s="102" t="inlineStr">
        <is>
          <t>در انتظار</t>
        </is>
      </c>
      <c r="M5" s="100" t="n"/>
      <c r="N5" s="100" t="n"/>
      <c r="O5" s="101" t="n"/>
      <c r="P5" s="105">
        <f>IF(OR(K5="",K5="در انتظار"),"",IF(P5="",TODAY(),P5))</f>
        <v/>
      </c>
      <c r="Q5" s="103" t="n"/>
      <c r="R5"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5" s="159" t="inlineStr">
        <is>
          <t>مدت ماندن شرط (ثانیه)</t>
        </is>
      </c>
      <c r="U5" s="160" t="n">
        <v>4</v>
      </c>
    </row>
    <row r="6" ht="54" customHeight="1">
      <c r="A6" s="99" t="inlineStr">
        <is>
          <t>CO-026</t>
        </is>
      </c>
      <c r="B6" s="143" t="inlineStr">
        <is>
          <t>عملکرد واقعی خروجی</t>
        </is>
      </c>
      <c r="C6" s="144" t="inlineStr">
        <is>
          <t>بالا</t>
        </is>
      </c>
      <c r="D6" s="145" t="inlineStr">
        <is>
          <t>پایان CO-025 (خروجی قطع است)</t>
        </is>
      </c>
      <c r="E6" s="145" t="inlineStr">
        <is>
          <t>گام ۱: از پایان CO-025 شروع کن که خروجی قطع و بار خاموش است.
گام ۲: برق شهر (ورودی) را وصل کن و ولتاژ باتری را به بالای 21.2 ولت برگردان (با شارژ یا منبع).
گام ۳: چند ثانیه صبر کن.
گام ۴: بار باید دوباره روشن شود؛ اگر ولتاژ باتری هنوز پایین است نباید وصل شود.</t>
        </is>
      </c>
      <c r="F6" s="143" t="inlineStr">
        <is>
          <t>ورودی حاضر + باتری بالای 21.2 ولت</t>
        </is>
      </c>
      <c r="G6" s="144" t="inlineStr">
        <is>
          <t>چند ثانیه</t>
        </is>
      </c>
      <c r="H6" s="143" t="inlineStr">
        <is>
          <t>خروجی وصل و بار روشن می‌شود</t>
        </is>
      </c>
      <c r="I6" s="143" t="inlineStr">
        <is>
          <t>باید ببینید: با برگشت ورودی و باتریِ کافی، خروجی وصل و بار روشن می‌شود. اگر با باتری پایین وصل شد یا اصلاً وصل نشد، قبول نیست.</t>
        </is>
      </c>
      <c r="J6" s="143" t="inlineStr">
        <is>
          <t>بار دوباره روشن شود؛ وصل شدن با باتری پایین = رد</t>
        </is>
      </c>
      <c r="K6" s="104" t="n"/>
      <c r="L6" s="102" t="inlineStr">
        <is>
          <t>در انتظار</t>
        </is>
      </c>
      <c r="M6" s="104" t="n"/>
      <c r="N6" s="104" t="n"/>
      <c r="O6" s="105" t="n"/>
      <c r="P6" s="144">
        <f>IF(OR(K6="",K6="در انتظار"),"",IF(P6="",TODAY(),P6))</f>
        <v/>
      </c>
      <c r="Q6" s="107" t="n"/>
      <c r="R6"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6" s="159" t="inlineStr">
        <is>
          <t>داده معتبر است؟ (1/0)</t>
        </is>
      </c>
      <c r="U6" s="160" t="n">
        <v>1</v>
      </c>
    </row>
    <row r="7" ht="54" customHeight="1">
      <c r="A7" s="99" t="inlineStr">
        <is>
          <t>CO-027</t>
        </is>
      </c>
      <c r="B7" s="104" t="inlineStr">
        <is>
          <t>عملکرد واقعی خروجی</t>
        </is>
      </c>
      <c r="C7" s="105" t="inlineStr">
        <is>
          <t>بالا</t>
        </is>
      </c>
      <c r="D7" s="104" t="inlineStr">
        <is>
          <t>دستگاه با برق شهر و باتری وصل، بار روشن</t>
        </is>
      </c>
      <c r="E7" s="104" t="inlineStr">
        <is>
          <t>گام ۱: دستگاه را با برق شهر و باتری روشن کن و بار را روشن ببین.
گام ۲: برق شهر را بکش؛ دستگاه نباید خاموش شود و بار باید بی‌وقفه روشن بماند (کار روی باتری).
گام ۳: برق شهر را برگردان؛ دستگاه باید به حالت عادی برگردد و شارژ از سر گرفته شود.
گام ۴: در هیچ‌کدام از این دو جابه‌جایی نباید دستگاه در وضعیت خطا گیر کند.</t>
        </is>
      </c>
      <c r="F7" s="104" t="inlineStr">
        <is>
          <t>قطع و وصل برق شهر</t>
        </is>
      </c>
      <c r="G7" s="105" t="inlineStr">
        <is>
          <t>چند ثانیه</t>
        </is>
      </c>
      <c r="H7" s="104" t="inlineStr">
        <is>
          <t>ادامهٔ بی‌وقفهٔ کار بار و برگشت عادی</t>
        </is>
      </c>
      <c r="I7" s="104" t="inlineStr">
        <is>
          <t>باید ببینید: با قطع و وصل برق شهر، بار هرگز خاموش نمی‌شود و دستگاه بعد از برگشت شهر عادی کار می‌کند. اگر بار لحظه‌ای هم خاموش شد، قبول نیست.</t>
        </is>
      </c>
      <c r="J7" s="104" t="inlineStr">
        <is>
          <t>بار هرگز خاموش نشود و دستگاه بعد از برگشت شهر عادی کار کند</t>
        </is>
      </c>
      <c r="K7" s="100" t="n"/>
      <c r="L7" s="102" t="inlineStr">
        <is>
          <t>در انتظار</t>
        </is>
      </c>
      <c r="M7" s="100" t="n"/>
      <c r="N7" s="100" t="n"/>
      <c r="O7" s="101" t="n"/>
      <c r="P7" s="105">
        <f>IF(OR(K7="",K7="در انتظار"),"",IF(P7="",TODAY(),P7))</f>
        <v/>
      </c>
      <c r="Q7" s="103" t="n"/>
      <c r="R7"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7" s="161" t="inlineStr">
        <is>
          <t>پیش‌بینی برای حالت پایدار است؛ چشمک و زمان‌بندی را با چشم و کرنومتر چک کن و با برد مقایسه کن.</t>
        </is>
      </c>
    </row>
    <row r="8" ht="54" customHeight="1">
      <c r="A8" s="99" t="inlineStr">
        <is>
          <t>CO-028</t>
        </is>
      </c>
      <c r="B8" s="143" t="inlineStr">
        <is>
          <t>عملکرد واقعی خروجی</t>
        </is>
      </c>
      <c r="C8" s="144" t="inlineStr">
        <is>
          <t>متوسط</t>
        </is>
      </c>
      <c r="D8" s="143" t="inlineStr">
        <is>
          <t>دستگاه در حال کار عادی با بار روشن</t>
        </is>
      </c>
      <c r="E8" s="143" t="inlineStr">
        <is>
          <t>گام ۱: دستگاه در حال کار عادی باشد و بار روشن.
گام ۲: یک خطای شارژر بساز (حین شارژ سیم باتری را قطع کن تا آلارم قطع باتری بیاید).
گام ۳: چراغ و بوق خطا را ببین و هم‌زمان بار را نگاه کن.
گام ۴: بار نباید قطع‌ووصل یا چشمک بزند؛ خروجی باید همان وضعیت قبل از خطا را نگه دارد.</t>
        </is>
      </c>
      <c r="F8" s="143" t="inlineStr">
        <is>
          <t>خطای قطع باتری حین شارژ</t>
        </is>
      </c>
      <c r="G8" s="144" t="inlineStr">
        <is>
          <t>چند ثانیه</t>
        </is>
      </c>
      <c r="H8" s="143" t="inlineStr">
        <is>
          <t>آلارم خطا می‌آید ولی خروجی تکان نمی‌خورد</t>
        </is>
      </c>
      <c r="I8" s="143" t="inlineStr">
        <is>
          <t>باید ببینید: آلارم خطا می‌آید ولی بار بدون هیچ تکانی روشن می‌ماند. اگر خروجی تکان خورد، قبول نیست.</t>
        </is>
      </c>
      <c r="J8" s="143" t="inlineStr">
        <is>
          <t>بار بدون هیچ تکانی روشن بماند</t>
        </is>
      </c>
      <c r="K8" s="104" t="n"/>
      <c r="L8" s="102" t="inlineStr">
        <is>
          <t>در انتظار</t>
        </is>
      </c>
      <c r="M8" s="104" t="n"/>
      <c r="N8" s="104" t="n"/>
      <c r="O8" s="105" t="n"/>
      <c r="P8" s="144">
        <f>IF(OR(K8="",K8="در انتظار"),"",IF(P8="",TODAY(),P8))</f>
        <v/>
      </c>
      <c r="Q8" s="107" t="n"/>
      <c r="R8"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row>
    <row r="9">
      <c r="A9" s="99" t="inlineStr">
        <is>
          <t>CO-029</t>
        </is>
      </c>
      <c r="B9" s="143" t="inlineStr">
        <is>
          <t>عملکرد واقعی خروجی</t>
        </is>
      </c>
      <c r="C9" s="144" t="inlineStr">
        <is>
          <t>بالا</t>
        </is>
      </c>
      <c r="D9" s="143" t="inlineStr">
        <is>
          <t>پایان CO-025 (خروجی قطع است و برق شهر هم قطع است)</t>
        </is>
      </c>
      <c r="E9" s="143" t="inlineStr">
        <is>
          <t>گام ۱: از پایان CO-025 شروع کن: برق شهر قطع، خروجی قطع و بار خاموش.
گام ۲: ولتاژ باتری را به محدودهٔ سالم (بالای ۲۱٫۲ ولت) برگردان و حدود ۲۰ ثانیه صبر کن.
گام ۳: در این مدت یک بار ولتاژ را یک لحظه زیر ۲۱٫۲ ببر و برگردان (شمارش باید از صفر شروع شود).
گام ۴: خروجی و بار را نگاه کن؛ برق شهر را وصل نکن.</t>
        </is>
      </c>
      <c r="F9" s="143" t="inlineStr">
        <is>
          <t>ولتاژ سالم پیوسته، بدون برق شهر</t>
        </is>
      </c>
      <c r="G9" s="144" t="inlineStr">
        <is>
          <t>حدود ۲۰ ثانیه</t>
        </is>
      </c>
      <c r="H9" s="143" t="inlineStr">
        <is>
          <t>خروجی حدود ۱۳ ثانیه بعد از پایدار شدن ولتاژ برمی‌گردد و بار روشن می‌ماند</t>
        </is>
      </c>
      <c r="I9" s="143" t="inlineStr">
        <is>
          <t>باید ببینید: با باتری سالم و بدون برق شهر، خروجی حدود ۱۳ ثانیه بعد (۱۰ ثانیه پنجرهٔ سالم + ۳ ثانیه فیلتر) وصل می‌شود و بار روشن می‌ماند. اگر وسط این ۱۰ ثانیه ولتاژ یک لحظه افت کند، باید از صفر شمرده شود.
اگر خروجی وصل نشد = رد؛ این همان ایراد گزارش‌شدهٔ ۲۰۲۶-۱۰-۲۳ است.</t>
        </is>
      </c>
      <c r="J9" s="143" t="inlineStr">
        <is>
          <t>وصل شدن خروجی روی باتری بدون برق شهر؛ وصل نشدن یا وصلِ زودتر از ۱۰ ثانیه = رد</t>
        </is>
      </c>
      <c r="K9" s="104" t="n"/>
      <c r="L9" s="102" t="inlineStr">
        <is>
          <t>در انتظار</t>
        </is>
      </c>
      <c r="M9" s="104" t="n"/>
      <c r="N9" s="104" t="n"/>
      <c r="O9" s="105" t="n"/>
      <c r="P9" s="144">
        <f>IF(OR(K9="",K9="در انتظار"),"",IF(P9="",TODAY(),P9))</f>
        <v/>
      </c>
      <c r="Q9" s="107" t="n"/>
      <c r="R9" s="157" t="inlineStr">
        <is>
          <t>بدون فرمول: با ۱۰ ثانیه ولتاژ سالمِ پیوسته و ۳ ثانیه فیلتر، خروجی بدون ورودی وصل و وضعیت BATTERY می‌شود؛ اگر بعد از این وصل ظرف ۶۰ ثانیه دوباره قطع شود، دیگر بدون برق شهر وصل نمی‌شود (محافظ چرخه).</t>
        </is>
      </c>
    </row>
    <row r="10">
      <c r="A10" s="131" t="n"/>
      <c r="B10" s="131" t="n"/>
      <c r="C10" s="131" t="n"/>
      <c r="D10" s="131" t="n"/>
      <c r="E10" s="131" t="n"/>
      <c r="F10" s="131" t="n"/>
      <c r="G10" s="131" t="n"/>
      <c r="H10" s="131" t="n"/>
      <c r="I10" s="131" t="n"/>
      <c r="J10" s="131" t="n"/>
      <c r="K10" s="131" t="n"/>
      <c r="L10" s="131" t="n"/>
      <c r="M10" s="131" t="n"/>
      <c r="N10" s="131" t="n"/>
      <c r="O10" s="131" t="n"/>
      <c r="P10" s="131" t="n"/>
      <c r="Q10" s="132" t="n"/>
    </row>
    <row r="11">
      <c r="A11" s="131" t="n"/>
      <c r="B11" s="131" t="n"/>
      <c r="C11" s="131" t="n"/>
      <c r="D11" s="131" t="n"/>
      <c r="E11" s="131" t="n"/>
      <c r="F11" s="131" t="n"/>
      <c r="G11" s="131" t="n"/>
      <c r="H11" s="131" t="n"/>
      <c r="I11" s="131" t="n"/>
      <c r="J11" s="131" t="n"/>
      <c r="K11" s="131" t="n"/>
      <c r="L11" s="131" t="n"/>
      <c r="M11" s="131" t="n"/>
      <c r="N11" s="131" t="n"/>
      <c r="O11" s="131" t="n"/>
      <c r="P11" s="131" t="n"/>
      <c r="Q11" s="132" t="n"/>
    </row>
    <row r="12">
      <c r="A12" s="131" t="n"/>
      <c r="B12" s="131" t="n"/>
      <c r="C12" s="131" t="n"/>
      <c r="D12" s="131" t="n"/>
      <c r="E12" s="131" t="n"/>
      <c r="F12" s="131" t="n"/>
      <c r="G12" s="131" t="n"/>
      <c r="H12" s="131" t="n"/>
      <c r="I12" s="131" t="n"/>
      <c r="J12" s="131" t="n"/>
      <c r="K12" s="131" t="n"/>
      <c r="L12" s="131" t="n"/>
      <c r="M12" s="131" t="n"/>
      <c r="N12" s="131" t="n"/>
      <c r="O12" s="131" t="n"/>
      <c r="P12" s="131" t="n"/>
      <c r="Q12" s="132" t="n"/>
    </row>
    <row r="13">
      <c r="A13" s="131" t="n"/>
      <c r="B13" s="131" t="n"/>
      <c r="C13" s="131" t="n"/>
      <c r="D13" s="131" t="n"/>
      <c r="E13" s="131" t="n"/>
      <c r="F13" s="131" t="n"/>
      <c r="G13" s="131" t="n"/>
      <c r="H13" s="131" t="n"/>
      <c r="I13" s="131" t="n"/>
      <c r="J13" s="131" t="n"/>
      <c r="K13" s="131" t="n"/>
      <c r="L13" s="131" t="n"/>
      <c r="M13" s="131" t="n"/>
      <c r="N13" s="131" t="n"/>
      <c r="O13" s="131" t="n"/>
      <c r="P13" s="131" t="n"/>
      <c r="Q13" s="132" t="n"/>
    </row>
    <row r="14">
      <c r="A14" s="131" t="n"/>
      <c r="B14" s="131" t="n"/>
      <c r="C14" s="131" t="n"/>
      <c r="D14" s="131" t="n"/>
      <c r="E14" s="131" t="n"/>
      <c r="F14" s="131" t="n"/>
      <c r="G14" s="131" t="n"/>
      <c r="H14" s="131" t="n"/>
      <c r="I14" s="131" t="n"/>
      <c r="J14" s="131" t="n"/>
      <c r="K14" s="131" t="n"/>
      <c r="L14" s="131" t="n"/>
      <c r="M14" s="131" t="n"/>
      <c r="N14" s="131" t="n"/>
      <c r="O14" s="131" t="n"/>
      <c r="P14" s="131" t="n"/>
      <c r="Q14" s="132" t="n"/>
    </row>
    <row r="15">
      <c r="A15" s="131" t="n"/>
      <c r="B15" s="131" t="n"/>
      <c r="C15" s="131" t="n"/>
      <c r="D15" s="131" t="n"/>
      <c r="E15" s="131" t="n"/>
      <c r="F15" s="131" t="n"/>
      <c r="G15" s="131" t="n"/>
      <c r="H15" s="131" t="n"/>
      <c r="I15" s="131" t="n"/>
      <c r="J15" s="131" t="n"/>
      <c r="K15" s="131" t="n"/>
      <c r="L15" s="131" t="n"/>
      <c r="M15" s="131" t="n"/>
      <c r="N15" s="131" t="n"/>
      <c r="O15" s="131" t="n"/>
      <c r="P15" s="131" t="n"/>
      <c r="Q15" s="132" t="n"/>
    </row>
    <row r="16">
      <c r="A16" s="131" t="n"/>
      <c r="B16" s="131" t="n"/>
      <c r="C16" s="131" t="n"/>
      <c r="D16" s="131" t="n"/>
      <c r="E16" s="131" t="n"/>
      <c r="F16" s="131" t="n"/>
      <c r="G16" s="131" t="n"/>
      <c r="H16" s="131" t="n"/>
      <c r="I16" s="131" t="n"/>
      <c r="J16" s="131" t="n"/>
      <c r="K16" s="131" t="n"/>
      <c r="L16" s="131" t="n"/>
      <c r="M16" s="131" t="n"/>
      <c r="N16" s="131" t="n"/>
      <c r="O16" s="131" t="n"/>
      <c r="P16" s="131" t="n"/>
      <c r="Q16" s="132" t="n"/>
    </row>
    <row r="17">
      <c r="A17" s="131" t="n"/>
      <c r="B17" s="131" t="n"/>
      <c r="C17" s="131" t="n"/>
      <c r="D17" s="131" t="n"/>
      <c r="E17" s="131" t="n"/>
      <c r="F17" s="131" t="n"/>
      <c r="G17" s="131" t="n"/>
      <c r="H17" s="131" t="n"/>
      <c r="I17" s="131" t="n"/>
      <c r="J17" s="131" t="n"/>
      <c r="K17" s="131" t="n"/>
      <c r="L17" s="131" t="n"/>
      <c r="M17" s="131" t="n"/>
      <c r="N17" s="131" t="n"/>
      <c r="O17" s="131" t="n"/>
      <c r="P17" s="131" t="n"/>
      <c r="Q17" s="132" t="n"/>
    </row>
    <row r="18">
      <c r="A18" s="131" t="n"/>
      <c r="B18" s="131" t="n"/>
      <c r="C18" s="131" t="n"/>
      <c r="D18" s="131" t="n"/>
      <c r="E18" s="131" t="n"/>
      <c r="F18" s="131" t="n"/>
      <c r="G18" s="131" t="n"/>
      <c r="H18" s="131" t="n"/>
      <c r="I18" s="131" t="n"/>
      <c r="J18" s="131" t="n"/>
      <c r="K18" s="131" t="n"/>
      <c r="L18" s="131" t="n"/>
      <c r="M18" s="131" t="n"/>
      <c r="N18" s="131" t="n"/>
      <c r="O18" s="131" t="n"/>
      <c r="P18" s="131" t="n"/>
      <c r="Q18" s="132" t="n"/>
    </row>
    <row r="19">
      <c r="A19" s="131" t="n"/>
      <c r="B19" s="131" t="n"/>
      <c r="C19" s="131" t="n"/>
      <c r="D19" s="131" t="n"/>
      <c r="E19" s="131" t="n"/>
      <c r="F19" s="131" t="n"/>
      <c r="G19" s="131" t="n"/>
      <c r="H19" s="131" t="n"/>
      <c r="I19" s="131" t="n"/>
      <c r="J19" s="131" t="n"/>
      <c r="K19" s="131" t="n"/>
      <c r="L19" s="131" t="n"/>
      <c r="M19" s="131" t="n"/>
      <c r="N19" s="131" t="n"/>
      <c r="O19" s="131" t="n"/>
      <c r="P19" s="131" t="n"/>
      <c r="Q19" s="132" t="n"/>
    </row>
    <row r="20">
      <c r="A20" s="131" t="n"/>
      <c r="B20" s="131" t="n"/>
      <c r="C20" s="131" t="n"/>
      <c r="D20" s="131" t="n"/>
      <c r="E20" s="131" t="n"/>
      <c r="F20" s="131" t="n"/>
      <c r="G20" s="131" t="n"/>
      <c r="H20" s="131" t="n"/>
      <c r="I20" s="131" t="n"/>
      <c r="J20" s="131" t="n"/>
      <c r="K20" s="131" t="n"/>
      <c r="L20" s="131" t="n"/>
      <c r="M20" s="131" t="n"/>
      <c r="N20" s="131" t="n"/>
      <c r="O20" s="131" t="n"/>
      <c r="P20" s="131" t="n"/>
      <c r="Q20" s="132" t="n"/>
    </row>
    <row r="21">
      <c r="A21" s="131" t="n"/>
      <c r="B21" s="131" t="n"/>
      <c r="C21" s="131" t="n"/>
      <c r="D21" s="131" t="n"/>
      <c r="E21" s="131" t="n"/>
      <c r="F21" s="131" t="n"/>
      <c r="G21" s="131" t="n"/>
      <c r="H21" s="131" t="n"/>
      <c r="I21" s="131" t="n"/>
      <c r="J21" s="131" t="n"/>
      <c r="K21" s="131" t="n"/>
      <c r="L21" s="131" t="n"/>
      <c r="M21" s="131" t="n"/>
      <c r="N21" s="131" t="n"/>
      <c r="O21" s="131" t="n"/>
      <c r="P21" s="131" t="n"/>
      <c r="Q21" s="132" t="n"/>
    </row>
    <row r="22">
      <c r="A22" s="131" t="n"/>
      <c r="B22" s="131" t="n"/>
      <c r="C22" s="131" t="n"/>
      <c r="D22" s="131" t="n"/>
      <c r="E22" s="131" t="n"/>
      <c r="F22" s="131" t="n"/>
      <c r="G22" s="131" t="n"/>
      <c r="H22" s="131" t="n"/>
      <c r="I22" s="131" t="n"/>
      <c r="J22" s="131" t="n"/>
      <c r="K22" s="131" t="n"/>
      <c r="L22" s="131" t="n"/>
      <c r="M22" s="131" t="n"/>
      <c r="N22" s="131" t="n"/>
      <c r="O22" s="131" t="n"/>
      <c r="P22" s="131" t="n"/>
      <c r="Q22" s="132" t="n"/>
    </row>
    <row r="23">
      <c r="A23" s="131" t="n"/>
      <c r="B23" s="131" t="n"/>
      <c r="C23" s="131" t="n"/>
      <c r="D23" s="131" t="n"/>
      <c r="E23" s="131" t="n"/>
      <c r="F23" s="131" t="n"/>
      <c r="G23" s="131" t="n"/>
      <c r="H23" s="131" t="n"/>
      <c r="I23" s="131" t="n"/>
      <c r="J23" s="131" t="n"/>
      <c r="K23" s="131" t="n"/>
      <c r="L23" s="131" t="n"/>
      <c r="M23" s="131" t="n"/>
      <c r="N23" s="131" t="n"/>
      <c r="O23" s="131" t="n"/>
      <c r="P23" s="131" t="n"/>
      <c r="Q23" s="132" t="n"/>
    </row>
    <row r="24">
      <c r="A24" s="131" t="n"/>
      <c r="B24" s="131" t="n"/>
      <c r="C24" s="131" t="n"/>
      <c r="D24" s="131" t="n"/>
      <c r="E24" s="131" t="n"/>
      <c r="F24" s="131" t="n"/>
      <c r="G24" s="131" t="n"/>
      <c r="H24" s="131" t="n"/>
      <c r="I24" s="131" t="n"/>
      <c r="J24" s="131" t="n"/>
      <c r="K24" s="131" t="n"/>
      <c r="L24" s="131" t="n"/>
      <c r="M24" s="131" t="n"/>
      <c r="N24" s="131" t="n"/>
      <c r="O24" s="131" t="n"/>
      <c r="P24" s="131" t="n"/>
      <c r="Q24" s="132" t="n"/>
    </row>
    <row r="25">
      <c r="A25" s="131" t="n"/>
      <c r="B25" s="131" t="n"/>
      <c r="C25" s="131" t="n"/>
      <c r="D25" s="131" t="n"/>
      <c r="E25" s="131" t="n"/>
      <c r="F25" s="131" t="n"/>
      <c r="G25" s="131" t="n"/>
      <c r="H25" s="131" t="n"/>
      <c r="I25" s="131" t="n"/>
      <c r="J25" s="131" t="n"/>
      <c r="K25" s="131" t="n"/>
      <c r="L25" s="131" t="n"/>
      <c r="M25" s="131" t="n"/>
      <c r="N25" s="131" t="n"/>
      <c r="O25" s="131" t="n"/>
      <c r="P25" s="131" t="n"/>
      <c r="Q25" s="132" t="n"/>
    </row>
    <row r="26">
      <c r="A26" s="131" t="n"/>
      <c r="B26" s="131" t="n"/>
      <c r="C26" s="131" t="n"/>
      <c r="D26" s="131" t="n"/>
      <c r="E26" s="131" t="n"/>
      <c r="F26" s="131" t="n"/>
      <c r="G26" s="131" t="n"/>
      <c r="H26" s="131" t="n"/>
      <c r="I26" s="131" t="n"/>
      <c r="J26" s="131" t="n"/>
      <c r="K26" s="131" t="n"/>
      <c r="L26" s="131" t="n"/>
      <c r="M26" s="131" t="n"/>
      <c r="N26" s="131" t="n"/>
      <c r="O26" s="131" t="n"/>
      <c r="P26" s="131" t="n"/>
      <c r="Q26" s="132" t="n"/>
    </row>
    <row r="27">
      <c r="A27" s="131" t="n"/>
      <c r="B27" s="131" t="n"/>
      <c r="C27" s="131" t="n"/>
      <c r="D27" s="131" t="n"/>
      <c r="E27" s="131" t="n"/>
      <c r="F27" s="131" t="n"/>
      <c r="G27" s="131" t="n"/>
      <c r="H27" s="131" t="n"/>
      <c r="I27" s="131" t="n"/>
      <c r="J27" s="131" t="n"/>
      <c r="K27" s="131" t="n"/>
      <c r="L27" s="131" t="n"/>
      <c r="M27" s="131" t="n"/>
      <c r="N27" s="131" t="n"/>
      <c r="O27" s="131" t="n"/>
      <c r="P27" s="131" t="n"/>
      <c r="Q27" s="132" t="n"/>
    </row>
    <row r="28">
      <c r="A28" s="131" t="n"/>
      <c r="B28" s="131" t="n"/>
      <c r="C28" s="131" t="n"/>
      <c r="D28" s="131" t="n"/>
      <c r="E28" s="131" t="n"/>
      <c r="F28" s="131" t="n"/>
      <c r="G28" s="131" t="n"/>
      <c r="H28" s="131" t="n"/>
      <c r="I28" s="131" t="n"/>
      <c r="J28" s="131" t="n"/>
      <c r="K28" s="131" t="n"/>
      <c r="L28" s="131" t="n"/>
      <c r="M28" s="131" t="n"/>
      <c r="N28" s="131" t="n"/>
      <c r="O28" s="131" t="n"/>
      <c r="P28" s="131" t="n"/>
      <c r="Q28" s="132" t="n"/>
    </row>
    <row r="29">
      <c r="A29" s="131" t="n"/>
      <c r="B29" s="131" t="n"/>
      <c r="C29" s="131" t="n"/>
      <c r="D29" s="131" t="n"/>
      <c r="E29" s="131" t="n"/>
      <c r="F29" s="131" t="n"/>
      <c r="G29" s="131" t="n"/>
      <c r="H29" s="131" t="n"/>
      <c r="I29" s="131" t="n"/>
      <c r="J29" s="131" t="n"/>
      <c r="K29" s="131" t="n"/>
      <c r="L29" s="131" t="n"/>
      <c r="M29" s="131" t="n"/>
      <c r="N29" s="131" t="n"/>
      <c r="O29" s="131" t="n"/>
      <c r="P29" s="131" t="n"/>
      <c r="Q29" s="132" t="n"/>
    </row>
    <row r="30">
      <c r="A30" s="131" t="n"/>
      <c r="B30" s="131" t="n"/>
      <c r="C30" s="131" t="n"/>
      <c r="D30" s="131" t="n"/>
      <c r="E30" s="131" t="n"/>
      <c r="F30" s="131" t="n"/>
      <c r="G30" s="131" t="n"/>
      <c r="H30" s="131" t="n"/>
      <c r="I30" s="131" t="n"/>
      <c r="J30" s="131" t="n"/>
      <c r="K30" s="131" t="n"/>
      <c r="L30" s="131" t="n"/>
      <c r="M30" s="131" t="n"/>
      <c r="N30" s="131" t="n"/>
      <c r="O30" s="131" t="n"/>
      <c r="P30" s="131" t="n"/>
      <c r="Q30" s="132" t="n"/>
    </row>
    <row r="31">
      <c r="A31" s="131" t="n"/>
      <c r="B31" s="131" t="n"/>
      <c r="C31" s="131" t="n"/>
      <c r="D31" s="131" t="n"/>
      <c r="E31" s="131" t="n"/>
      <c r="F31" s="131" t="n"/>
      <c r="G31" s="131" t="n"/>
      <c r="H31" s="131" t="n"/>
      <c r="I31" s="131" t="n"/>
      <c r="J31" s="131" t="n"/>
      <c r="K31" s="131" t="n"/>
      <c r="L31" s="131" t="n"/>
      <c r="M31" s="131" t="n"/>
      <c r="N31" s="131" t="n"/>
      <c r="O31" s="131" t="n"/>
      <c r="P31" s="131" t="n"/>
      <c r="Q31" s="132" t="n"/>
    </row>
    <row r="32">
      <c r="A32" s="131" t="n"/>
      <c r="B32" s="131" t="n"/>
      <c r="C32" s="131" t="n"/>
      <c r="D32" s="131" t="n"/>
      <c r="E32" s="131" t="n"/>
      <c r="F32" s="131" t="n"/>
      <c r="G32" s="131" t="n"/>
      <c r="H32" s="131" t="n"/>
      <c r="I32" s="131" t="n"/>
      <c r="J32" s="131" t="n"/>
      <c r="K32" s="131" t="n"/>
      <c r="L32" s="131" t="n"/>
      <c r="M32" s="131" t="n"/>
      <c r="N32" s="131" t="n"/>
      <c r="O32" s="131" t="n"/>
      <c r="P32" s="131" t="n"/>
      <c r="Q32" s="132" t="n"/>
    </row>
    <row r="33">
      <c r="A33" s="131" t="n"/>
      <c r="B33" s="131" t="n"/>
      <c r="C33" s="131" t="n"/>
      <c r="D33" s="131" t="n"/>
      <c r="E33" s="131" t="n"/>
      <c r="F33" s="131" t="n"/>
      <c r="G33" s="131" t="n"/>
      <c r="H33" s="131" t="n"/>
      <c r="I33" s="131" t="n"/>
      <c r="J33" s="131" t="n"/>
      <c r="K33" s="131" t="n"/>
      <c r="L33" s="131" t="n"/>
      <c r="M33" s="131" t="n"/>
      <c r="N33" s="131" t="n"/>
      <c r="O33" s="131" t="n"/>
      <c r="P33" s="131" t="n"/>
      <c r="Q33" s="132" t="n"/>
    </row>
    <row r="34">
      <c r="A34" s="131" t="n"/>
      <c r="B34" s="131" t="n"/>
      <c r="C34" s="131" t="n"/>
      <c r="D34" s="131" t="n"/>
      <c r="E34" s="131" t="n"/>
      <c r="F34" s="131" t="n"/>
      <c r="G34" s="131" t="n"/>
      <c r="H34" s="131" t="n"/>
      <c r="I34" s="131" t="n"/>
      <c r="J34" s="131" t="n"/>
      <c r="K34" s="131" t="n"/>
      <c r="L34" s="131" t="n"/>
      <c r="M34" s="131" t="n"/>
      <c r="N34" s="131" t="n"/>
      <c r="O34" s="131" t="n"/>
      <c r="P34" s="131" t="n"/>
      <c r="Q34" s="132" t="n"/>
    </row>
    <row r="35">
      <c r="A35" s="131" t="n"/>
      <c r="B35" s="131" t="n"/>
      <c r="C35" s="131" t="n"/>
      <c r="D35" s="131" t="n"/>
      <c r="E35" s="131" t="n"/>
      <c r="F35" s="131" t="n"/>
      <c r="G35" s="131" t="n"/>
      <c r="H35" s="131" t="n"/>
      <c r="I35" s="131" t="n"/>
      <c r="J35" s="131" t="n"/>
      <c r="K35" s="131" t="n"/>
      <c r="L35" s="131" t="n"/>
      <c r="M35" s="131" t="n"/>
      <c r="N35" s="131" t="n"/>
      <c r="O35" s="131" t="n"/>
      <c r="P35" s="131" t="n"/>
      <c r="Q35" s="132" t="n"/>
    </row>
    <row r="36">
      <c r="A36" s="131" t="n"/>
      <c r="B36" s="131" t="n"/>
      <c r="C36" s="131" t="n"/>
      <c r="D36" s="131" t="n"/>
      <c r="E36" s="131" t="n"/>
      <c r="F36" s="131" t="n"/>
      <c r="G36" s="131" t="n"/>
      <c r="H36" s="131" t="n"/>
      <c r="I36" s="131" t="n"/>
      <c r="J36" s="131" t="n"/>
      <c r="K36" s="131" t="n"/>
      <c r="L36" s="131" t="n"/>
      <c r="M36" s="131" t="n"/>
      <c r="N36" s="131" t="n"/>
      <c r="O36" s="131" t="n"/>
      <c r="P36" s="131" t="n"/>
      <c r="Q36" s="132" t="n"/>
    </row>
    <row r="37">
      <c r="A37" s="131" t="n"/>
      <c r="B37" s="131" t="n"/>
      <c r="C37" s="131" t="n"/>
      <c r="D37" s="131" t="n"/>
      <c r="E37" s="131" t="n"/>
      <c r="F37" s="131" t="n"/>
      <c r="G37" s="131" t="n"/>
      <c r="H37" s="131" t="n"/>
      <c r="I37" s="131" t="n"/>
      <c r="J37" s="131" t="n"/>
      <c r="K37" s="131" t="n"/>
      <c r="L37" s="131" t="n"/>
      <c r="M37" s="131" t="n"/>
      <c r="N37" s="131" t="n"/>
      <c r="O37" s="131" t="n"/>
      <c r="P37" s="131" t="n"/>
      <c r="Q37" s="132" t="n"/>
    </row>
    <row r="38">
      <c r="A38" s="131" t="n"/>
      <c r="B38" s="131" t="n"/>
      <c r="C38" s="131" t="n"/>
      <c r="D38" s="131" t="n"/>
      <c r="E38" s="131" t="n"/>
      <c r="F38" s="131" t="n"/>
      <c r="G38" s="131" t="n"/>
      <c r="H38" s="131" t="n"/>
      <c r="I38" s="131" t="n"/>
      <c r="J38" s="131" t="n"/>
      <c r="K38" s="131" t="n"/>
      <c r="L38" s="131" t="n"/>
      <c r="M38" s="131" t="n"/>
      <c r="N38" s="131" t="n"/>
      <c r="O38" s="131" t="n"/>
      <c r="P38" s="131" t="n"/>
      <c r="Q38" s="132" t="n"/>
    </row>
    <row r="39">
      <c r="A39" s="131" t="n"/>
      <c r="B39" s="131" t="n"/>
      <c r="C39" s="131" t="n"/>
      <c r="D39" s="131" t="n"/>
      <c r="E39" s="131" t="n"/>
      <c r="F39" s="131" t="n"/>
      <c r="G39" s="131" t="n"/>
      <c r="H39" s="131" t="n"/>
      <c r="I39" s="131" t="n"/>
      <c r="J39" s="131" t="n"/>
      <c r="K39" s="131" t="n"/>
      <c r="L39" s="131" t="n"/>
      <c r="M39" s="131" t="n"/>
      <c r="N39" s="131" t="n"/>
      <c r="O39" s="131" t="n"/>
      <c r="P39" s="131" t="n"/>
      <c r="Q39" s="132" t="n"/>
    </row>
    <row r="40">
      <c r="A40" s="131" t="n"/>
      <c r="B40" s="131" t="n"/>
      <c r="C40" s="131" t="n"/>
      <c r="D40" s="131" t="n"/>
      <c r="E40" s="131" t="n"/>
      <c r="F40" s="131" t="n"/>
      <c r="G40" s="131" t="n"/>
      <c r="H40" s="131" t="n"/>
      <c r="I40" s="131" t="n"/>
      <c r="J40" s="131" t="n"/>
      <c r="K40" s="131" t="n"/>
      <c r="L40" s="131" t="n"/>
      <c r="M40" s="131" t="n"/>
      <c r="N40" s="131" t="n"/>
      <c r="O40" s="131" t="n"/>
      <c r="P40" s="131" t="n"/>
      <c r="Q40" s="132" t="n"/>
    </row>
    <row r="41">
      <c r="A41" s="131" t="n"/>
      <c r="B41" s="131" t="n"/>
      <c r="C41" s="131" t="n"/>
      <c r="D41" s="131" t="n"/>
      <c r="E41" s="131" t="n"/>
      <c r="F41" s="131" t="n"/>
      <c r="G41" s="131" t="n"/>
      <c r="H41" s="131" t="n"/>
      <c r="I41" s="131" t="n"/>
      <c r="J41" s="131" t="n"/>
      <c r="K41" s="131" t="n"/>
      <c r="L41" s="131" t="n"/>
      <c r="M41" s="131" t="n"/>
      <c r="N41" s="131" t="n"/>
      <c r="O41" s="131" t="n"/>
      <c r="P41" s="131" t="n"/>
      <c r="Q41" s="132" t="n"/>
    </row>
    <row r="42">
      <c r="A42" s="131" t="n"/>
      <c r="B42" s="131" t="n"/>
      <c r="C42" s="131" t="n"/>
      <c r="D42" s="131" t="n"/>
      <c r="E42" s="131" t="n"/>
      <c r="F42" s="131" t="n"/>
      <c r="G42" s="131" t="n"/>
      <c r="H42" s="131" t="n"/>
      <c r="I42" s="131" t="n"/>
      <c r="J42" s="131" t="n"/>
      <c r="K42" s="131" t="n"/>
      <c r="L42" s="131" t="n"/>
      <c r="M42" s="131" t="n"/>
      <c r="N42" s="131" t="n"/>
      <c r="O42" s="131" t="n"/>
      <c r="P42" s="131" t="n"/>
      <c r="Q42" s="132" t="n"/>
    </row>
    <row r="43">
      <c r="A43" s="131" t="n"/>
      <c r="B43" s="131" t="n"/>
      <c r="C43" s="131" t="n"/>
      <c r="D43" s="131" t="n"/>
      <c r="E43" s="131" t="n"/>
      <c r="F43" s="131" t="n"/>
      <c r="G43" s="131" t="n"/>
      <c r="H43" s="131" t="n"/>
      <c r="I43" s="131" t="n"/>
      <c r="J43" s="131" t="n"/>
      <c r="K43" s="131" t="n"/>
      <c r="L43" s="131" t="n"/>
      <c r="M43" s="131" t="n"/>
      <c r="N43" s="131" t="n"/>
      <c r="O43" s="131" t="n"/>
      <c r="P43" s="131" t="n"/>
      <c r="Q43" s="132" t="n"/>
    </row>
    <row r="44">
      <c r="A44" s="131" t="n"/>
      <c r="B44" s="131" t="n"/>
      <c r="C44" s="131" t="n"/>
      <c r="D44" s="131" t="n"/>
      <c r="E44" s="131" t="n"/>
      <c r="F44" s="131" t="n"/>
      <c r="G44" s="131" t="n"/>
      <c r="H44" s="131" t="n"/>
      <c r="I44" s="131" t="n"/>
      <c r="J44" s="131" t="n"/>
      <c r="K44" s="131" t="n"/>
      <c r="L44" s="131" t="n"/>
      <c r="M44" s="131" t="n"/>
      <c r="N44" s="131" t="n"/>
      <c r="O44" s="131" t="n"/>
      <c r="P44" s="131" t="n"/>
      <c r="Q44" s="132" t="n"/>
    </row>
    <row r="45">
      <c r="A45" s="133" t="n"/>
      <c r="B45" s="134" t="n"/>
      <c r="C45" s="135" t="n"/>
      <c r="D45" s="134" t="n"/>
      <c r="E45" s="134" t="n"/>
      <c r="F45" s="134" t="n"/>
      <c r="G45" s="135" t="n"/>
      <c r="H45" s="134" t="n"/>
      <c r="I45" s="134" t="n"/>
      <c r="J45" s="134" t="n"/>
      <c r="K45" s="134" t="n"/>
      <c r="L45" s="135" t="n"/>
      <c r="M45" s="134" t="n"/>
      <c r="N45" s="134" t="n"/>
      <c r="O45" s="135" t="n"/>
      <c r="P45" s="135" t="n"/>
      <c r="Q45" s="136" t="n"/>
    </row>
    <row r="46">
      <c r="A46" s="133" t="n"/>
      <c r="B46" s="134" t="n"/>
      <c r="C46" s="135" t="n"/>
      <c r="D46" s="134" t="n"/>
      <c r="E46" s="134" t="n"/>
      <c r="F46" s="134" t="n"/>
      <c r="G46" s="135" t="n"/>
      <c r="H46" s="134" t="n"/>
      <c r="I46" s="134" t="n"/>
      <c r="J46" s="134" t="n"/>
      <c r="K46" s="134" t="n"/>
      <c r="L46" s="135" t="n"/>
      <c r="M46" s="134" t="n"/>
      <c r="N46" s="134" t="n"/>
      <c r="O46" s="135" t="n"/>
      <c r="P46" s="135" t="n"/>
      <c r="Q46" s="136" t="n"/>
    </row>
    <row r="47">
      <c r="A47" s="133" t="n"/>
      <c r="B47" s="134" t="n"/>
      <c r="C47" s="135" t="n"/>
      <c r="D47" s="134" t="n"/>
      <c r="E47" s="134" t="n"/>
      <c r="F47" s="134" t="n"/>
      <c r="G47" s="135" t="n"/>
      <c r="H47" s="134" t="n"/>
      <c r="I47" s="134" t="n"/>
      <c r="J47" s="134" t="n"/>
      <c r="K47" s="134" t="n"/>
      <c r="L47" s="135" t="n"/>
      <c r="M47" s="134" t="n"/>
      <c r="N47" s="134" t="n"/>
      <c r="O47" s="135" t="n"/>
      <c r="P47" s="135" t="n"/>
      <c r="Q47" s="136" t="n"/>
    </row>
    <row r="48">
      <c r="A48" s="133" t="n"/>
      <c r="B48" s="134" t="n"/>
      <c r="C48" s="135" t="n"/>
      <c r="D48" s="134" t="n"/>
      <c r="E48" s="134" t="n"/>
      <c r="F48" s="134" t="n"/>
      <c r="G48" s="135" t="n"/>
      <c r="H48" s="134" t="n"/>
      <c r="I48" s="134" t="n"/>
      <c r="J48" s="134" t="n"/>
      <c r="K48" s="134" t="n"/>
      <c r="L48" s="135" t="n"/>
      <c r="M48" s="134" t="n"/>
      <c r="N48" s="134" t="n"/>
      <c r="O48" s="135" t="n"/>
      <c r="P48" s="135" t="n"/>
      <c r="Q48" s="136" t="n"/>
    </row>
  </sheetData>
  <autoFilter ref="A4:Q48"/>
  <mergeCells count="5">
    <mergeCell ref="T7:U7"/>
    <mergeCell ref="A1:P1"/>
    <mergeCell ref="T1:U1"/>
    <mergeCell ref="A3:P3"/>
    <mergeCell ref="A2:P2"/>
  </mergeCells>
  <dataValidations count="1">
    <dataValidation sqref="K5:K8" showDropDown="0" showInputMessage="0" showErrorMessage="0" allowBlank="1" type="list">
      <formula1>='فهرست‌ها'!$A$2:$A$7</formula1>
    </dataValidation>
  </dataValidations>
  <hyperlinks>
    <hyperlink ref="D6" location="'برنامه تست'!A5"/>
    <hyperlink ref="E6" location="'برنامه تست'!A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آزمایشگاهی (پایه، اسیلوسکوپ و زمان‌بندی دقیق — جدا از تست عملی)</t>
        </is>
      </c>
      <c r="B1" s="82" t="n"/>
      <c r="C1" s="82" t="n"/>
      <c r="D1" s="82" t="n"/>
      <c r="E1" s="82" t="n"/>
      <c r="F1" s="82" t="n"/>
      <c r="G1" s="82" t="n"/>
      <c r="H1" s="82" t="n"/>
      <c r="I1" s="82" t="n"/>
      <c r="J1" s="82" t="n"/>
      <c r="K1" s="82" t="n"/>
      <c r="L1" s="82" t="n"/>
      <c r="M1" s="82" t="n"/>
      <c r="N1" s="82" t="n"/>
      <c r="O1" s="82" t="n"/>
      <c r="P1" s="82" t="n"/>
      <c r="Q1" s="82" t="n"/>
    </row>
    <row r="2" ht="42" customHeight="1">
      <c r="A2" s="10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2" t="n"/>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CO-001</t>
        </is>
      </c>
      <c r="B5" s="104" t="inlineStr">
        <is>
          <t>Snapshot نامعتبر / حفظ</t>
        </is>
      </c>
      <c r="C5" s="114" t="inlineStr">
        <is>
          <t>بالا</t>
        </is>
      </c>
      <c r="D5" s="104" t="inlineStr">
        <is>
          <t>Init → BOOT, PB11 High-safe</t>
        </is>
      </c>
      <c r="E5" s="104" t="inlineStr">
        <is>
          <t>گام ۱: برد را بوت کن و بگذار به وضعیت اولیه (BOOT) برسد. PB11 باید High و امن باشد.
گام ۲: یک دادهٔ نامعتبر اعمال کن: valid=false ولی v_bat=24000 و input=false و fault=0.
گام ۳: 500 میلی‌ثانیه صبر کن. بعد وضعیت (state) و پایهٔ PB11 را بخوان.
گام ۴: وضعیت قبلی و PB11 باید بدون هیچ تغییری مانده باشند.
گام ۵: اگر وضعیت به FAULT یا IDLE رفت یا PB11 تغییر کرد، تست رد است.</t>
        </is>
      </c>
      <c r="F5" s="105" t="inlineStr">
        <is>
          <t>valid=false, v=24000, input=false, flag false, fault0</t>
        </is>
      </c>
      <c r="G5" s="105" t="inlineStr">
        <is>
          <t>500ms</t>
        </is>
      </c>
      <c r="H5" s="104" t="inlineStr">
        <is>
          <t>state حفظ شود: «state فعلی حفظ شود» (BOOT/BATTERY/INPUT/SAFE قبلی) و PB11 حفظ (High-safe). PASS: state و PB11 بدون تغییر. FAIL: هر تغییر به FAULT یا IDLE یا تغییر PB11.</t>
        </is>
      </c>
      <c r="I5" s="104" t="inlineStr">
        <is>
          <t>PASS: state فعلی حفظ. FAIL: تغییر خودبه‌خود.</t>
        </is>
      </c>
      <c r="J5" s="104" t="n"/>
      <c r="K5" s="112" t="inlineStr">
        <is>
          <t>در انتظار</t>
        </is>
      </c>
      <c r="L5" s="113" t="n"/>
      <c r="M5" s="100" t="n"/>
      <c r="N5" s="104" t="inlineStr">
        <is>
          <t>c6b084f28f2c507cfd342e5dbd0dbd8e45686772</t>
        </is>
      </c>
      <c r="O5" s="101" t="n"/>
      <c r="P5" s="101" t="n"/>
      <c r="Q5" s="107">
        <f>IF(OR(L5="",L5="در انتظار"),"",IF(Q5="",TODAY(),Q5))</f>
        <v/>
      </c>
    </row>
    <row r="6" ht="67.5" customHeight="1">
      <c r="A6" s="99" t="inlineStr">
        <is>
          <t>CO-002</t>
        </is>
      </c>
      <c r="B6" s="143" t="inlineStr">
        <is>
          <t>Snapshot نامعتبر / تایمر reset</t>
        </is>
      </c>
      <c r="C6" s="147" t="inlineStr">
        <is>
          <t>بالا</t>
        </is>
      </c>
      <c r="D6" s="143" t="inlineStr">
        <is>
          <t>BATTERY با شرط قطع نیمه‌کاره</t>
        </is>
      </c>
      <c r="E6" s="143" t="inlineStr">
        <is>
          <t>گام ۱: برد در وضعیت BATTERY باشد.
گام ۲: دو ثانیه شرط قطع را اعمال کن: دادهٔ معتبر با v=20900 و flag=true.
گام ۳: یک دادهٔ نامعتبر بده (valid=false) و 1 ثانیه نگه دار.
گام ۴: دوباره دو ثانیه شرط قطع را اعمال کن و PB11 را زیر نظر بگیر.
گام ۵: PB11 نباید قطع شود. آن یک ثانیهٔ نامعتبر، تایمر ۳ ثانیه‌ای را از نو شروع می‌کند.
گام ۶: پس در هیچ‌کدام از دو بازهٔ ۲ ثانیه‌ای نباید قطع اتفاق بیفتد. قطع زود یعنی رد تست.</t>
        </is>
      </c>
      <c r="F6" s="144" t="inlineStr">
        <is>
          <t>valid true 2s → false 1s → true 2s, v20900 flag true</t>
        </is>
      </c>
      <c r="G6" s="144" t="inlineStr">
        <is>
          <t>2+1+2s</t>
        </is>
      </c>
      <c r="H6" s="143" t="inlineStr">
        <is>
          <t>PB11 بعد از ۲ ثانیهٔ اول نباید قطع شود.
بعد از ۱ ثانیه دادهٔ نامعتبر، تایمر از نو شروع می‌شود. پس در ۲ ثانیهٔ بعدی هم نباید قطع شود؛ ۳ ثانیهٔ پیوسته لازم است.
قبول: دادهٔ نامعتبر تایمر را از نو شروع کند.
رد: قطع زود در ۲ ثانیه.</t>
        </is>
      </c>
      <c r="I6" s="143" t="inlineStr">
        <is>
          <t>PASS: reset پس از invalid. FAIL: قطع زود.</t>
        </is>
      </c>
      <c r="J6" s="104" t="n"/>
      <c r="K6" s="143" t="inlineStr">
        <is>
          <t>در انتظار</t>
        </is>
      </c>
      <c r="L6" s="115" t="n"/>
      <c r="M6" s="104" t="n"/>
      <c r="N6" s="143" t="inlineStr">
        <is>
          <t>c6b084f28f2c507cfd342e5dbd0dbd8e45686772</t>
        </is>
      </c>
      <c r="O6" s="105" t="n"/>
      <c r="P6" s="105" t="n"/>
      <c r="Q6" s="148">
        <f>IF(OR(L6="",L6="در انتظار"),"",IF(Q6="",TODAY(),Q6))</f>
        <v/>
      </c>
    </row>
    <row r="7" ht="54" customHeight="1">
      <c r="A7" s="99" t="inlineStr">
        <is>
          <t>CO-003</t>
        </is>
      </c>
      <c r="B7" s="104" t="inlineStr">
        <is>
          <t>Snapshot نامعتبر + Fault</t>
        </is>
      </c>
      <c r="C7" s="114" t="inlineStr">
        <is>
          <t>بالا</t>
        </is>
      </c>
      <c r="D7" s="104" t="inlineStr">
        <is>
          <t>BATTERY</t>
        </is>
      </c>
      <c r="E7" s="104"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105" t="inlineStr">
        <is>
          <t>valid=false, fault=1 (ADC), v25000</t>
        </is>
      </c>
      <c r="G7" s="105" t="inlineStr">
        <is>
          <t>500ms</t>
        </is>
      </c>
      <c r="H7" s="104" t="inlineStr">
        <is>
          <t>state حفظ شود (نه FAULT)، PB11 حفظ، تایمر reset. PASS: fault همراه invalid نباید FAULT شود. FAIL: FAULT شدن.</t>
        </is>
      </c>
      <c r="I7" s="104" t="inlineStr">
        <is>
          <t>PASS: حفظ state قبلی. FAIL: FAULT.</t>
        </is>
      </c>
      <c r="J7" s="104" t="n"/>
      <c r="K7" s="112" t="inlineStr">
        <is>
          <t>در انتظار</t>
        </is>
      </c>
      <c r="L7" s="113" t="n"/>
      <c r="M7" s="100" t="n"/>
      <c r="N7" s="104" t="inlineStr">
        <is>
          <t>c6b084f28f2c507cfd342e5dbd0dbd8e45686772</t>
        </is>
      </c>
      <c r="O7" s="101" t="n"/>
      <c r="P7" s="101" t="n"/>
      <c r="Q7" s="107">
        <f>IF(OR(L7="",L7="در انتظار"),"",IF(Q7="",TODAY(),Q7))</f>
        <v/>
      </c>
    </row>
    <row r="8" ht="54" customHeight="1">
      <c r="A8" s="99" t="inlineStr">
        <is>
          <t>CO-004</t>
        </is>
      </c>
      <c r="B8" s="143" t="inlineStr">
        <is>
          <t>Fault با snapshot معتبر</t>
        </is>
      </c>
      <c r="C8" s="147" t="inlineStr">
        <is>
          <t>بالا</t>
        </is>
      </c>
      <c r="D8" s="143" t="inlineStr">
        <is>
          <t>INPUT/BATTERY</t>
        </is>
      </c>
      <c r="E8" s="143"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144" t="inlineStr">
        <is>
          <t>valid=true, v24000, input true, fault 1</t>
        </is>
      </c>
      <c r="G8" s="144" t="inlineStr">
        <is>
          <t>500ms</t>
        </is>
      </c>
      <c r="H8" s="143" t="inlineStr">
        <is>
          <t>state=FAULT، PB11 حفظ (بدون تغییر High→Low)، تایمر reset. PASS: FAULT بدون تغییر PB11. FAIL: تغییر PB11 یا ماندن در INPUT.</t>
        </is>
      </c>
      <c r="I8" s="143" t="inlineStr">
        <is>
          <t>PASS: FAULT و PB11 حفظ. FAIL: تغییر PB11.</t>
        </is>
      </c>
      <c r="J8" s="104" t="n"/>
      <c r="K8" s="143" t="inlineStr">
        <is>
          <t>در انتظار</t>
        </is>
      </c>
      <c r="L8" s="115" t="n"/>
      <c r="M8" s="104" t="n"/>
      <c r="N8" s="143" t="inlineStr">
        <is>
          <t>c6b084f28f2c507cfd342e5dbd0dbd8e45686772</t>
        </is>
      </c>
      <c r="O8" s="105" t="n"/>
      <c r="P8" s="105" t="n"/>
      <c r="Q8" s="148">
        <f>IF(OR(L8="",L8="در انتظار"),"",IF(Q8="",TODAY(),Q8))</f>
        <v/>
      </c>
    </row>
    <row r="9" ht="54" customHeight="1">
      <c r="A9" s="99" t="inlineStr">
        <is>
          <t>CO-005</t>
        </is>
      </c>
      <c r="B9" s="104" t="inlineStr">
        <is>
          <t>Fault چند بیتی</t>
        </is>
      </c>
      <c r="C9" s="105" t="inlineStr">
        <is>
          <t>متوسط</t>
        </is>
      </c>
      <c r="D9" s="104" t="inlineStr">
        <is>
          <t>FAULT قبلی</t>
        </is>
      </c>
      <c r="E9" s="104"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105" t="inlineStr">
        <is>
          <t>valid true, fault ALL</t>
        </is>
      </c>
      <c r="G9" s="105" t="inlineStr">
        <is>
          <t>500ms</t>
        </is>
      </c>
      <c r="H9" s="104" t="inlineStr">
        <is>
          <t>state=FAULT، هیچ pin (PB11/PB5/PB7) تغییر نکند. PASS: همه fault‌ها → FAULT بدون pin. FAIL: هر تغییر pin.</t>
        </is>
      </c>
      <c r="I9" s="104" t="inlineStr">
        <is>
          <t>PASS: همه fault → FAULT no pin. FAIL: pin change.</t>
        </is>
      </c>
      <c r="J9" s="104" t="n"/>
      <c r="K9" s="112" t="inlineStr">
        <is>
          <t>در انتظار</t>
        </is>
      </c>
      <c r="L9" s="113" t="n"/>
      <c r="M9" s="100" t="n"/>
      <c r="N9" s="104" t="inlineStr">
        <is>
          <t>c6b084f28f2c507cfd342e5dbd0dbd8e45686772</t>
        </is>
      </c>
      <c r="O9" s="101" t="n"/>
      <c r="P9" s="101" t="n"/>
      <c r="Q9" s="107">
        <f>IF(OR(L9="",L9="در انتظار"),"",IF(Q9="",TODAY(),Q9))</f>
        <v/>
      </c>
    </row>
    <row r="10" ht="54" customHeight="1">
      <c r="A10" s="99" t="inlineStr">
        <is>
          <t>CO-006</t>
        </is>
      </c>
      <c r="B10" s="143" t="inlineStr">
        <is>
          <t>ورودی قطع → BATTERY</t>
        </is>
      </c>
      <c r="C10" s="147" t="inlineStr">
        <is>
          <t>بالا</t>
        </is>
      </c>
      <c r="D10" s="143" t="inlineStr">
        <is>
          <t>BOOT با snapshot معتبر</t>
        </is>
      </c>
      <c r="E10" s="143"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144" t="inlineStr">
        <is>
          <t>valid true, v24000, input false</t>
        </is>
      </c>
      <c r="G10" s="144" t="inlineStr">
        <is>
          <t>500ms</t>
        </is>
      </c>
      <c r="H10" s="143" t="inlineStr">
        <is>
          <t>state=BATTERY, PB11 High-safe (متصل). PASS: BATTERY. FAIL: INPUT یا SAFE یا FAULT.</t>
        </is>
      </c>
      <c r="I10" s="143" t="inlineStr">
        <is>
          <t>PASS: BATTERY. FAIL: otherwise.</t>
        </is>
      </c>
      <c r="J10" s="104" t="n"/>
      <c r="K10" s="143" t="inlineStr">
        <is>
          <t>در انتظار</t>
        </is>
      </c>
      <c r="L10" s="115" t="n"/>
      <c r="M10" s="104" t="n"/>
      <c r="N10" s="143" t="inlineStr">
        <is>
          <t>c6b084f28f2c507cfd342e5dbd0dbd8e45686772</t>
        </is>
      </c>
      <c r="O10" s="105" t="n"/>
      <c r="P10" s="105" t="n"/>
      <c r="Q10" s="148">
        <f>IF(OR(L10="",L10="در انتظار"),"",IF(Q10="",TODAY(),Q10))</f>
        <v/>
      </c>
    </row>
    <row r="11" ht="54" customHeight="1">
      <c r="A11" s="99" t="inlineStr">
        <is>
          <t>CO-007</t>
        </is>
      </c>
      <c r="B11" s="104" t="inlineStr">
        <is>
          <t>ورودی حاضر → INPUT</t>
        </is>
      </c>
      <c r="C11" s="114" t="inlineStr">
        <is>
          <t>بالا</t>
        </is>
      </c>
      <c r="D11" s="104" t="inlineStr">
        <is>
          <t>BOOT/BATTERY</t>
        </is>
      </c>
      <c r="E11" s="104"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105" t="inlineStr">
        <is>
          <t>valid true, v24000, input true</t>
        </is>
      </c>
      <c r="G11" s="105" t="inlineStr">
        <is>
          <t>500ms</t>
        </is>
      </c>
      <c r="H11" s="104" t="inlineStr">
        <is>
          <t>state=INPUT, PB11 High-safe. PASS: INPUT. FAIL: BATTERY یا SAFE.</t>
        </is>
      </c>
      <c r="I11" s="104" t="inlineStr">
        <is>
          <t>PASS: INPUT. FAIL: otherwise.</t>
        </is>
      </c>
      <c r="J11" s="104" t="n"/>
      <c r="K11" s="112" t="inlineStr">
        <is>
          <t>در انتظار</t>
        </is>
      </c>
      <c r="L11" s="113" t="n"/>
      <c r="M11" s="100" t="n"/>
      <c r="N11" s="104" t="inlineStr">
        <is>
          <t>c6b084f28f2c507cfd342e5dbd0dbd8e45686772</t>
        </is>
      </c>
      <c r="O11" s="101" t="n"/>
      <c r="P11" s="101" t="n"/>
      <c r="Q11" s="107">
        <f>IF(OR(L11="",L11="در انتظار"),"",IF(Q11="",TODAY(),Q11))</f>
        <v/>
      </c>
    </row>
    <row r="12" ht="54" customHeight="1">
      <c r="A12" s="99" t="inlineStr">
        <is>
          <t>CO-008</t>
        </is>
      </c>
      <c r="B12" s="143" t="inlineStr">
        <is>
          <t>قطع با گیت / 21000 + flag</t>
        </is>
      </c>
      <c r="C12" s="147" t="inlineStr">
        <is>
          <t>بالا</t>
        </is>
      </c>
      <c r="D12" s="143" t="inlineStr">
        <is>
          <t>BATTERY/INPUT, PB11 High</t>
        </is>
      </c>
      <c r="E12" s="143" t="inlineStr">
        <is>
          <t>گام ۱: برد در BATTERY یا INPUT و PB11 وصل (High) باشد.
گام ۲: دادهٔ معتبر بده: v=20900 (کمتر از 21000)، flag=true و input=false.
گام ۳: این شرط را 3500 میلی‌ثانیه پشت سر هم نگه دار و ساعت بگیر.
گام ۴: در 2500 میلی‌ثانیهٔ اول باید هنوز BATTERY/INPUT باشد و PB11 وصل بماند.
گام ۵: فقط بعد از 3000 میلی‌ثانیهٔ پیوسته باید PB11 قطع (Low) شود و وضعیت امن (SAFE) شود.
گام ۶: قطع زودتر یا قطع‌نشدن یعنی رد تست.</t>
        </is>
      </c>
      <c r="F12" s="144" t="inlineStr">
        <is>
          <t>v20900 (&lt;21000) flag true</t>
        </is>
      </c>
      <c r="G12" s="144" t="inlineStr">
        <is>
          <t>3500ms (≥3000)</t>
        </is>
      </c>
      <c r="H12" s="143" t="inlineStr">
        <is>
          <t>پس از 2500ms هنوز BATTERY/INPUT و PB11 High؛ پس از 3000ms PB11 Low (قطع) و state=SAFE. PASS: قطع فقط پس از 3000ms پیوسته. FAIL: قطع زود یا عدم قطع.</t>
        </is>
      </c>
      <c r="I12" s="143" t="inlineStr">
        <is>
          <t>PASS: 2500 still no cut, 3000 SAFE. FAIL: early or no cut.</t>
        </is>
      </c>
      <c r="J12" s="104" t="n"/>
      <c r="K12" s="143" t="inlineStr">
        <is>
          <t>در انتظار</t>
        </is>
      </c>
      <c r="L12" s="115" t="n"/>
      <c r="M12" s="104" t="n"/>
      <c r="N12" s="143" t="inlineStr">
        <is>
          <t>c6b084f28f2c507cfd342e5dbd0dbd8e45686772</t>
        </is>
      </c>
      <c r="O12" s="105" t="n"/>
      <c r="P12" s="105" t="n"/>
      <c r="Q12" s="148">
        <f>IF(OR(L12="",L12="در انتظار"),"",IF(Q12="",TODAY(),Q12))</f>
        <v/>
      </c>
    </row>
    <row r="13" ht="54" customHeight="1">
      <c r="A13" s="99" t="inlineStr">
        <is>
          <t>CO-009</t>
        </is>
      </c>
      <c r="B13" s="104" t="inlineStr">
        <is>
          <t>قطع مستقل / 20800</t>
        </is>
      </c>
      <c r="C13" s="114" t="inlineStr">
        <is>
          <t>بالا</t>
        </is>
      </c>
      <c r="D13" s="104" t="inlineStr">
        <is>
          <t>BATTERY, flag false</t>
        </is>
      </c>
      <c r="E13" s="104" t="inlineStr">
        <is>
          <t>گام ۱: برد در BATTERY و flag=false باشد.
گام ۲: دادهٔ معتبر بده: v=20700 (کمتر از 20800)، flag=false و input=false.
گام ۳: 3500 میلی‌ثانیه پشت سر هم نگه دار.
گام ۴: بعد از 3000 میلی‌ثانیه باید وضعیت امن (SAFE) شود و PB11 قطع شود.
گام ۵: این قطع به فلگ ربطی ندارد؛ با flag=false هم باید اتفاق بیفتد.</t>
        </is>
      </c>
      <c r="F13" s="105" t="inlineStr">
        <is>
          <t>v20700 (&lt;20800) flag false</t>
        </is>
      </c>
      <c r="G13" s="105" t="inlineStr">
        <is>
          <t>3500ms</t>
        </is>
      </c>
      <c r="H13" s="104" t="inlineStr">
        <is>
          <t>پس از 3000ms SAFE با PB11 Low مستقل از flag. PASS: مستقل cuts. FAIL: عدم قطع به علت flag false.</t>
        </is>
      </c>
      <c r="I13" s="104" t="inlineStr">
        <is>
          <t>PASS: independent cut. FAIL: no cut due flag.</t>
        </is>
      </c>
      <c r="J13" s="104" t="n"/>
      <c r="K13" s="112" t="inlineStr">
        <is>
          <t>در انتظار</t>
        </is>
      </c>
      <c r="L13" s="113" t="n"/>
      <c r="M13" s="100" t="n"/>
      <c r="N13" s="104" t="inlineStr">
        <is>
          <t>c6b084f28f2c507cfd342e5dbd0dbd8e45686772</t>
        </is>
      </c>
      <c r="O13" s="101" t="n"/>
      <c r="P13" s="101" t="n"/>
      <c r="Q13" s="107">
        <f>IF(OR(L13="",L13="در انتظار"),"",IF(Q13="",TODAY(),Q13))</f>
        <v/>
      </c>
    </row>
    <row r="14" ht="54" customHeight="1">
      <c r="A14" s="99" t="inlineStr">
        <is>
          <t>CO-010</t>
        </is>
      </c>
      <c r="B14" s="143" t="inlineStr">
        <is>
          <t>مرز دقیق 21000 نباید cut</t>
        </is>
      </c>
      <c r="C14" s="147" t="inlineStr">
        <is>
          <t>بالا</t>
        </is>
      </c>
      <c r="D14" s="143" t="inlineStr">
        <is>
          <t>BATTERY</t>
        </is>
      </c>
      <c r="E14" s="143" t="inlineStr">
        <is>
          <t>گام ۱: برد در BATTERY باشد.
گام ۲: دادهٔ معتبر بده: v دقیقاً 21000 (روی مرز)، flag=true و input=true (Vin=24 ولت).
گام ۳: 3500 میلی‌ثانیه پایدار نگه دار.
گام ۴: هیچ قطعی نباید رخ دهد. شرط قطع «کمتر از 21000» است، نه «کمتر یا مساوی».
گام ۵: وضعیت باید «ورودی» (INPUT) شده باشد، چون ورودی حاضر است. PB11 باید High و امن بماند.</t>
        </is>
      </c>
      <c r="F14" s="144" t="inlineStr">
        <is>
          <t>valid=true, v=21000 (دقیق) flag=true, input=true (Vin≥21V)</t>
        </is>
      </c>
      <c r="G14" s="144" t="inlineStr">
        <is>
          <t>3500ms</t>
        </is>
      </c>
      <c r="H14" s="143" t="inlineStr">
        <is>
          <t>هیچ قطع رخ ندهد، state=INPUT (چون input_present=true و بدون cut) و PB11 High-safe بماند. PASS: با input حاضر، بدون قطع باید INPUT باشد، نه BATTERY یا SAFE. FAIL: BATTERY/SAFE یا تغییر PB11.</t>
        </is>
      </c>
      <c r="I14" s="143" t="inlineStr">
        <is>
          <t>PASS: با v=21000 و input true، state=INPUT و PB11 High. FAIL: هر cut یا BATTERY.</t>
        </is>
      </c>
      <c r="J14" s="104" t="n"/>
      <c r="K14" s="143" t="inlineStr">
        <is>
          <t>در انتظار</t>
        </is>
      </c>
      <c r="L14" s="115" t="n"/>
      <c r="M14" s="104" t="n"/>
      <c r="N14" s="143" t="inlineStr">
        <is>
          <t>c6b084f28f2c507cfd342e5dbd0dbd8e45686772</t>
        </is>
      </c>
      <c r="O14" s="105" t="n"/>
      <c r="P14" s="105" t="n"/>
      <c r="Q14" s="148">
        <f>IF(OR(L14="",L14="در انتظار"),"",IF(Q14="",TODAY(),Q14))</f>
        <v/>
      </c>
    </row>
    <row r="15" ht="54" customHeight="1">
      <c r="A15" s="99" t="inlineStr">
        <is>
          <t>CO-011</t>
        </is>
      </c>
      <c r="B15" s="104" t="inlineStr">
        <is>
          <t>مرز دقیق 20800 نباید cut</t>
        </is>
      </c>
      <c r="C15" s="114" t="inlineStr">
        <is>
          <t>بالا</t>
        </is>
      </c>
      <c r="D15" s="104" t="inlineStr">
        <is>
          <t>BATTERY</t>
        </is>
      </c>
      <c r="E15" s="104"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105" t="inlineStr">
        <is>
          <t>v=20800 flag false</t>
        </is>
      </c>
      <c r="G15" s="105" t="inlineStr">
        <is>
          <t>3500ms</t>
        </is>
      </c>
      <c r="H15" s="104" t="inlineStr">
        <is>
          <t>هیچ قطع نشود. PASS: need &lt;20800. FAIL: cut at exact.</t>
        </is>
      </c>
      <c r="I15" s="104" t="inlineStr">
        <is>
          <t>PASS: 20800 no independent cut. FAIL: cut.</t>
        </is>
      </c>
      <c r="J15" s="104" t="n"/>
      <c r="K15" s="112" t="inlineStr">
        <is>
          <t>در انتظار</t>
        </is>
      </c>
      <c r="L15" s="113" t="n"/>
      <c r="M15" s="100" t="n"/>
      <c r="N15" s="104" t="inlineStr">
        <is>
          <t>c6b084f28f2c507cfd342e5dbd0dbd8e45686772</t>
        </is>
      </c>
      <c r="O15" s="101" t="n"/>
      <c r="P15" s="101" t="n"/>
      <c r="Q15" s="107">
        <f>IF(OR(L15="",L15="در انتظار"),"",IF(Q15="",TODAY(),Q15))</f>
        <v/>
      </c>
    </row>
    <row r="16" ht="54" customHeight="1">
      <c r="A16" s="99" t="inlineStr">
        <is>
          <t>CO-012</t>
        </is>
      </c>
      <c r="B16" s="143" t="inlineStr">
        <is>
          <t>قطع &lt;3000ms نباید</t>
        </is>
      </c>
      <c r="C16" s="147" t="inlineStr">
        <is>
          <t>بالا</t>
        </is>
      </c>
      <c r="D16" s="143" t="inlineStr">
        <is>
          <t>BATTERY</t>
        </is>
      </c>
      <c r="E16" s="143"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144" t="inlineStr">
        <is>
          <t>valid=true, v=20900 (&lt;21000) flag=true, input=true, فقط 2500ms (&lt;3000)</t>
        </is>
      </c>
      <c r="G16" s="144" t="inlineStr">
        <is>
          <t>2500ms</t>
        </is>
      </c>
      <c r="H16" s="143" t="inlineStr">
        <is>
          <t>پس از 2500ms هنوز state=INPUT (چون input true و هنوز SAFE نشده) و PB11 High. PASS: &lt;3000ms هنوز INPUT، نه SAFE. FAIL: SAFE زود یا BATTERY.</t>
        </is>
      </c>
      <c r="I16" s="143" t="inlineStr">
        <is>
          <t>PASS: 2500ms still INPUT (no cut). FAIL: early SAFE یا BATTERY.</t>
        </is>
      </c>
      <c r="J16" s="104" t="n"/>
      <c r="K16" s="143" t="inlineStr">
        <is>
          <t>در انتظار</t>
        </is>
      </c>
      <c r="L16" s="115" t="n"/>
      <c r="M16" s="104" t="n"/>
      <c r="N16" s="143" t="inlineStr">
        <is>
          <t>c6b084f28f2c507cfd342e5dbd0dbd8e45686772</t>
        </is>
      </c>
      <c r="O16" s="105" t="n"/>
      <c r="P16" s="105" t="n"/>
      <c r="Q16" s="148">
        <f>IF(OR(L16="",L16="در انتظار"),"",IF(Q16="",TODAY(),Q16))</f>
        <v/>
      </c>
    </row>
    <row r="17" ht="54" customHeight="1">
      <c r="A17" s="99" t="inlineStr">
        <is>
          <t>CO-013</t>
        </is>
      </c>
      <c r="B17" s="104" t="inlineStr">
        <is>
          <t>وصل مجدد / 21200 + input</t>
        </is>
      </c>
      <c r="C17" s="114" t="inlineStr">
        <is>
          <t>بالا</t>
        </is>
      </c>
      <c r="D17" s="104" t="inlineStr">
        <is>
          <t>SAFE, PB11 Low</t>
        </is>
      </c>
      <c r="E17" s="106"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105" t="inlineStr">
        <is>
          <t>SAFE, input true, v21300</t>
        </is>
      </c>
      <c r="G17" s="105" t="inlineStr">
        <is>
          <t>3500ms</t>
        </is>
      </c>
      <c r="H17" s="104" t="inlineStr">
        <is>
          <t>قبل از 3000ms: SAFE و PB11 Low؛ بعد از 3000ms: INPUT و PB11 High. PASS: reconnect پس از 3000ms با PB11 High. FAIL: reconnect زود یا PB11 Low ماندن.</t>
        </is>
      </c>
      <c r="I17" s="104" t="inlineStr">
        <is>
          <t>PASS: قبل 3000 SAFE Low، بعد 3000 INPUT High. FAIL: early or no reconnect.</t>
        </is>
      </c>
      <c r="J17" s="104" t="n"/>
      <c r="K17" s="112" t="inlineStr">
        <is>
          <t>در انتظار</t>
        </is>
      </c>
      <c r="L17" s="113" t="n"/>
      <c r="M17" s="100" t="n"/>
      <c r="N17" s="104" t="inlineStr">
        <is>
          <t>c6b084f28f2c507cfd342e5dbd0dbd8e45686772</t>
        </is>
      </c>
      <c r="O17" s="101" t="n"/>
      <c r="P17" s="101" t="n"/>
      <c r="Q17" s="107">
        <f>IF(OR(L17="",L17="در انتظار"),"",IF(Q17="",TODAY(),Q17))</f>
        <v/>
      </c>
    </row>
    <row r="18" ht="54" customHeight="1">
      <c r="A18" s="99" t="inlineStr">
        <is>
          <t>CO-014</t>
        </is>
      </c>
      <c r="B18" s="143" t="inlineStr">
        <is>
          <t>مرز دقیق 21200 باید reconnect</t>
        </is>
      </c>
      <c r="C18" s="147" t="inlineStr">
        <is>
          <t>بالا</t>
        </is>
      </c>
      <c r="D18" s="143" t="inlineStr">
        <is>
          <t>SAFE</t>
        </is>
      </c>
      <c r="E18" s="143" t="inlineStr">
        <is>
          <t>گام ۱: برد در وضعیت امن (SAFE) باشد.
گام ۲: input=true و v دقیقاً 21200 بده (روی خود مرز).
گام ۳: 3500 میلی‌ثانیه نگه دار.
گام ۴: بعد از 3000 میلی‌ثانیه باید وضعیت «ورودی» (INPUT) شود و PB11 وصل شده باشد.
گام ۵: شرط وصل «دست‌کم 21200» است؛ پس روی مرز هم باید وصل شود.</t>
        </is>
      </c>
      <c r="F18" s="144" t="inlineStr">
        <is>
          <t>v=21200 input true</t>
        </is>
      </c>
      <c r="G18" s="144" t="inlineStr">
        <is>
          <t>3500ms</t>
        </is>
      </c>
      <c r="H18" s="143" t="inlineStr">
        <is>
          <t>پس از 3000ms INPUT و PB11 High. PASS: ≥21200 reconnect. FAIL: no reconnect at 21200.</t>
        </is>
      </c>
      <c r="I18" s="143" t="inlineStr">
        <is>
          <t>PASS: 21200 reconnects (need ≥). FAIL: no.</t>
        </is>
      </c>
      <c r="J18" s="104" t="n"/>
      <c r="K18" s="143" t="inlineStr">
        <is>
          <t>در انتظار</t>
        </is>
      </c>
      <c r="L18" s="115" t="n"/>
      <c r="M18" s="104" t="n"/>
      <c r="N18" s="143" t="inlineStr">
        <is>
          <t>c6b084f28f2c507cfd342e5dbd0dbd8e45686772</t>
        </is>
      </c>
      <c r="O18" s="105" t="n"/>
      <c r="P18" s="105" t="n"/>
      <c r="Q18" s="148">
        <f>IF(OR(L18="",L18="در انتظار"),"",IF(Q18="",TODAY(),Q18))</f>
        <v/>
      </c>
    </row>
    <row r="19" ht="54" customHeight="1">
      <c r="A19" s="99" t="inlineStr">
        <is>
          <t>CO-015</t>
        </is>
      </c>
      <c r="B19" s="104" t="inlineStr">
        <is>
          <t>reconnect &lt;3000 نباید</t>
        </is>
      </c>
      <c r="C19" s="114" t="inlineStr">
        <is>
          <t>بالا</t>
        </is>
      </c>
      <c r="D19" s="104" t="inlineStr">
        <is>
          <t>SAFE</t>
        </is>
      </c>
      <c r="E19" s="104"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105" t="inlineStr">
        <is>
          <t>v21300 input true</t>
        </is>
      </c>
      <c r="G19" s="105" t="inlineStr">
        <is>
          <t>2500ms</t>
        </is>
      </c>
      <c r="H19" s="104" t="inlineStr">
        <is>
          <t>هنوز SAFE و PB11 Low. PASS: &lt;3s no reconnect. FAIL: زود وصل.</t>
        </is>
      </c>
      <c r="I19" s="104" t="inlineStr">
        <is>
          <t>PASS: 2500 still SAFE. FAIL: INPUT early.</t>
        </is>
      </c>
      <c r="J19" s="104" t="n"/>
      <c r="K19" s="112" t="inlineStr">
        <is>
          <t>در انتظار</t>
        </is>
      </c>
      <c r="L19" s="113" t="n"/>
      <c r="M19" s="100" t="n"/>
      <c r="N19" s="104" t="inlineStr">
        <is>
          <t>c6b084f28f2c507cfd342e5dbd0dbd8e45686772</t>
        </is>
      </c>
      <c r="O19" s="101" t="n"/>
      <c r="P19" s="101" t="n"/>
      <c r="Q19" s="107">
        <f>IF(OR(L19="",L19="در انتظار"),"",IF(Q19="",TODAY(),Q19))</f>
        <v/>
      </c>
    </row>
    <row r="20" ht="40.5" customHeight="1">
      <c r="A20" s="99" t="inlineStr">
        <is>
          <t>CO-016</t>
        </is>
      </c>
      <c r="B20" s="143" t="inlineStr">
        <is>
          <t>پس از reconnect state INPUT</t>
        </is>
      </c>
      <c r="C20" s="147" t="inlineStr">
        <is>
          <t>بالا</t>
        </is>
      </c>
      <c r="D20" s="145" t="inlineStr">
        <is>
          <t>پس از CO-013</t>
        </is>
      </c>
      <c r="E20" s="145"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144" t="inlineStr">
        <is>
          <t>post-reconnect</t>
        </is>
      </c>
      <c r="G20" s="144" t="inlineStr">
        <is>
          <t>100ms</t>
        </is>
      </c>
      <c r="H20" s="143" t="inlineStr">
        <is>
          <t>state=INPUT باشد، نه IDLE (IDLE برای معتبر ممنوع). PASS: INPUT. FAIL: IDLE.</t>
        </is>
      </c>
      <c r="I20" s="143" t="inlineStr">
        <is>
          <t>PASS: INPUT not IDLE. FAIL: IDLE.</t>
        </is>
      </c>
      <c r="J20" s="104" t="n"/>
      <c r="K20" s="143" t="inlineStr">
        <is>
          <t>در انتظار</t>
        </is>
      </c>
      <c r="L20" s="115" t="n"/>
      <c r="M20" s="104" t="n"/>
      <c r="N20" s="143" t="inlineStr">
        <is>
          <t>c6b084f28f2c507cfd342e5dbd0dbd8e45686772</t>
        </is>
      </c>
      <c r="O20" s="105" t="n"/>
      <c r="P20" s="105" t="n"/>
      <c r="Q20" s="148">
        <f>IF(OR(L20="",L20="در انتظار"),"",IF(Q20="",TODAY(),Q20))</f>
        <v/>
      </c>
    </row>
    <row r="21" ht="40.5" customHeight="1">
      <c r="A21" s="99" t="inlineStr">
        <is>
          <t>CO-017</t>
        </is>
      </c>
      <c r="B21" s="104" t="inlineStr">
        <is>
          <t>PB11 در invalid حفظ</t>
        </is>
      </c>
      <c r="C21" s="114" t="inlineStr">
        <is>
          <t>بالا</t>
        </is>
      </c>
      <c r="D21" s="104" t="inlineStr">
        <is>
          <t>INPUT با PB11 High</t>
        </is>
      </c>
      <c r="E21" s="104"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105" t="inlineStr">
        <is>
          <t>valid true→false</t>
        </is>
      </c>
      <c r="G21" s="105" t="inlineStr">
        <is>
          <t>500ms</t>
        </is>
      </c>
      <c r="H21" s="104" t="inlineStr">
        <is>
          <t>PB11 Low-High بدون تغییر بماند (High). PASS: حفظ. FAIL: تغییر.</t>
        </is>
      </c>
      <c r="I21" s="104" t="inlineStr">
        <is>
          <t>PASS: PB11 preserved in invalid. FAIL: change.</t>
        </is>
      </c>
      <c r="J21" s="104" t="n"/>
      <c r="K21" s="112" t="inlineStr">
        <is>
          <t>در انتظار</t>
        </is>
      </c>
      <c r="L21" s="113" t="n"/>
      <c r="M21" s="100" t="n"/>
      <c r="N21" s="104" t="inlineStr">
        <is>
          <t>c6b084f28f2c507cfd342e5dbd0dbd8e45686772</t>
        </is>
      </c>
      <c r="O21" s="101" t="n"/>
      <c r="P21" s="101" t="n"/>
      <c r="Q21" s="107">
        <f>IF(OR(L21="",L21="در انتظار"),"",IF(Q21="",TODAY(),Q21))</f>
        <v/>
      </c>
    </row>
    <row r="22" ht="54" customHeight="1">
      <c r="A22" s="99" t="inlineStr">
        <is>
          <t>CO-018</t>
        </is>
      </c>
      <c r="B22" s="143" t="inlineStr">
        <is>
          <t>PB11 در fault حفظ</t>
        </is>
      </c>
      <c r="C22" s="147" t="inlineStr">
        <is>
          <t>بالا</t>
        </is>
      </c>
      <c r="D22" s="143" t="inlineStr">
        <is>
          <t>INPUT</t>
        </is>
      </c>
      <c r="E22" s="143"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144" t="inlineStr">
        <is>
          <t>valid true fault1</t>
        </is>
      </c>
      <c r="G22" s="144" t="inlineStr">
        <is>
          <t>500ms</t>
        </is>
      </c>
      <c r="H22" s="143" t="inlineStr">
        <is>
          <t>PB11 حفظ (High). PASS. FAIL: Low شدن.</t>
        </is>
      </c>
      <c r="I22" s="143" t="inlineStr">
        <is>
          <t>PASS: PB11 preserved in fault. FAIL: change.</t>
        </is>
      </c>
      <c r="J22" s="104" t="n"/>
      <c r="K22" s="143" t="inlineStr">
        <is>
          <t>در انتظار</t>
        </is>
      </c>
      <c r="L22" s="115" t="n"/>
      <c r="M22" s="104" t="n"/>
      <c r="N22" s="143" t="inlineStr">
        <is>
          <t>c6b084f28f2c507cfd342e5dbd0dbd8e45686772</t>
        </is>
      </c>
      <c r="O22" s="105" t="n"/>
      <c r="P22" s="105" t="n"/>
      <c r="Q22" s="148">
        <f>IF(OR(L22="",L22="در انتظار"),"",IF(Q22="",TODAY(),Q22))</f>
        <v/>
      </c>
    </row>
    <row r="23" ht="40.5" customHeight="1">
      <c r="A23" s="99" t="inlineStr">
        <is>
          <t>CO-019</t>
        </is>
      </c>
      <c r="B23" s="104" t="inlineStr">
        <is>
          <t>PB5 و PB7 هیچ‌گاه تغییر نکنند</t>
        </is>
      </c>
      <c r="C23" s="114" t="inlineStr">
        <is>
          <t>بالا</t>
        </is>
      </c>
      <c r="D23" s="104" t="inlineStr">
        <is>
          <t>هر حالت</t>
        </is>
      </c>
      <c r="E23" s="106" t="inlineStr">
        <is>
          <t>گام ۱: در همهٔ تست‌های CO-001 تا CO-015، سه پایه را با اسکوپ یا لاگ BSP زیر نظر بگیر:
پایهٔ PB11، پایهٔ PB5 (همان BAT_SWITCH) و پایهٔ PB7 (همان RELAY).
گام ۲: این تست ردیف جدا ندارد؛ در تک‌تک تست‌های بالا انجامش بده.
گام ۳: PB5 باید همیشه High و امن بماند (فعال-پایین است) و PB7 همیشه Low بماند.
گام ۴: هر تغییری روی این دو پایه یعنی رد تست.</t>
        </is>
      </c>
      <c r="F23" s="105" t="inlineStr">
        <is>
          <t>تمام حالات</t>
        </is>
      </c>
      <c r="G23" s="105" t="inlineStr">
        <is>
          <t>هر تست</t>
        </is>
      </c>
      <c r="H23" s="104" t="inlineStr">
        <is>
          <t>PB5 و PB7 ثابت بمانند (PB5 High-safe active-low، PB7 Low). PASS: بدون تغییر. FAIL: هر toggle.</t>
        </is>
      </c>
      <c r="I23" s="104" t="inlineStr">
        <is>
          <t>PASS: PB5/PB7 never change. FAIL: any toggle.</t>
        </is>
      </c>
      <c r="J23" s="104" t="n"/>
      <c r="K23" s="112" t="inlineStr">
        <is>
          <t>در انتظار</t>
        </is>
      </c>
      <c r="L23" s="113" t="n"/>
      <c r="M23" s="100" t="n"/>
      <c r="N23" s="104" t="inlineStr">
        <is>
          <t>c6b084f28f2c507cfd342e5dbd0dbd8e45686772</t>
        </is>
      </c>
      <c r="O23" s="101" t="n"/>
      <c r="P23" s="101" t="n"/>
      <c r="Q23" s="107">
        <f>IF(OR(L23="",L23="در انتظار"),"",IF(Q23="",TODAY(),Q23))</f>
        <v/>
      </c>
    </row>
    <row r="24" ht="54" customHeight="1">
      <c r="A24" s="99" t="inlineStr">
        <is>
          <t>CO-024</t>
        </is>
      </c>
      <c r="B24" s="143" t="inlineStr">
        <is>
          <t>وصل مجدد 30s پایداری ورودی</t>
        </is>
      </c>
      <c r="C24" s="147" t="inlineStr">
        <is>
          <t>بالا</t>
        </is>
      </c>
      <c r="D24" s="143" t="inlineStr">
        <is>
          <t>برد در SAFE پس از قطع، v_bat=24V</t>
        </is>
      </c>
      <c r="E24" s="145" t="inlineStr">
        <is>
          <t>گام ۱: از تست CO-008 شروع کن تا برد در وضعیت امن و ولتاژ باتری 24 ولت باشد.
گام ۲: ورودی را وصل کن (input=true) و 30 ثانیه پشت سر هم حاضر نگه دار.
گام ۳: بعد از آن، 3 ثانیه ولتاژ را روی 21200 نگه دار. در مجموع 33 ثانیه می‌شود.
گام ۴: آن 30 ثانیه پایداری ورودی و 3 ثانیه ولتاژ کافی که تمام شد، وصل دوباره باید کامل شده باشد. وضعیت باید «ورودی» (INPUT) شود.
گام ۵: سطح PB11 را در لحظهٔ وصل با اسکوپ ثبت کن و با الگوی تست CO-013 مقایسه کن.</t>
        </is>
      </c>
      <c r="F24" s="144" t="inlineStr">
        <is>
          <t>input=true v=24000</t>
        </is>
      </c>
      <c r="G24" s="144" t="inlineStr">
        <is>
          <t>33s</t>
        </is>
      </c>
      <c r="H24" s="143" t="inlineStr">
        <is>
          <t>بعد از 30 ثانیه پایداری ورودی و 3 ثانیه ولتاژ 21200، PB11 از Low به High و وضعیت INPUT شود</t>
        </is>
      </c>
      <c r="I24" s="143" t="inlineStr">
        <is>
          <t>PASS: PB11 بعد 33s وصل، قبلش SAFE. FAIL: وصل زودتر از 30s</t>
        </is>
      </c>
      <c r="J24" s="104" t="n"/>
      <c r="K24" s="143" t="inlineStr">
        <is>
          <t>نیاز به تکرار</t>
        </is>
      </c>
      <c r="L24" s="115" t="n"/>
      <c r="M24" s="104" t="n"/>
      <c r="N24" s="143" t="inlineStr">
        <is>
          <t>thermal+30s</t>
        </is>
      </c>
      <c r="O24" s="105" t="n"/>
      <c r="P24" s="105" t="n"/>
      <c r="Q24" s="14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row r="29">
      <c r="A29" s="82" t="n"/>
      <c r="B29" s="82" t="n"/>
      <c r="C29" s="82" t="n"/>
      <c r="D29" s="82" t="n"/>
      <c r="E29" s="82" t="n"/>
      <c r="F29" s="82" t="n"/>
      <c r="G29" s="82" t="n"/>
      <c r="H29" s="82" t="n"/>
      <c r="I29" s="82" t="n"/>
      <c r="J29" s="82" t="n"/>
      <c r="K29" s="82" t="n"/>
      <c r="L29" s="82" t="n"/>
      <c r="M29" s="82" t="n"/>
      <c r="N29" s="82" t="n"/>
      <c r="O29" s="82" t="n"/>
      <c r="P29" s="82" t="n"/>
      <c r="Q29" s="98">
        <f>IF(OR(L29="",L29="در انتظار"),"",IF(Q29="",TODAY(),Q29))</f>
        <v/>
      </c>
    </row>
    <row r="30">
      <c r="A30" s="82" t="n"/>
      <c r="B30" s="82" t="n"/>
      <c r="C30" s="82" t="n"/>
      <c r="D30" s="82" t="n"/>
      <c r="E30" s="82" t="n"/>
      <c r="F30" s="82" t="n"/>
      <c r="G30" s="82" t="n"/>
      <c r="H30" s="82" t="n"/>
      <c r="I30" s="82" t="n"/>
      <c r="J30" s="82" t="n"/>
      <c r="K30" s="82" t="n"/>
      <c r="L30" s="82" t="n"/>
      <c r="M30" s="82" t="n"/>
      <c r="N30" s="82" t="n"/>
      <c r="O30" s="82" t="n"/>
      <c r="P30" s="82" t="n"/>
      <c r="Q30" s="98">
        <f>IF(OR(L30="",L30="در انتظار"),"",IF(Q30="",TODAY(),Q30))</f>
        <v/>
      </c>
    </row>
    <row r="31">
      <c r="A31" s="82" t="n"/>
      <c r="B31" s="82" t="n"/>
      <c r="C31" s="82" t="n"/>
      <c r="D31" s="82" t="n"/>
      <c r="E31" s="82" t="n"/>
      <c r="F31" s="82" t="n"/>
      <c r="G31" s="82" t="n"/>
      <c r="H31" s="82" t="n"/>
      <c r="I31" s="82" t="n"/>
      <c r="J31" s="82" t="n"/>
      <c r="K31" s="82" t="n"/>
      <c r="L31" s="82" t="n"/>
      <c r="M31" s="82" t="n"/>
      <c r="N31" s="82" t="n"/>
      <c r="O31" s="82" t="n"/>
      <c r="P31" s="82" t="n"/>
      <c r="Q31" s="98">
        <f>IF(OR(L31="",L31="در انتظار"),"",IF(Q31="",TODAY(),Q31))</f>
        <v/>
      </c>
    </row>
    <row r="32">
      <c r="A32" s="82" t="n"/>
      <c r="B32" s="82" t="n"/>
      <c r="C32" s="82" t="n"/>
      <c r="D32" s="82" t="n"/>
      <c r="E32" s="82" t="n"/>
      <c r="F32" s="82" t="n"/>
      <c r="G32" s="82" t="n"/>
      <c r="H32" s="82" t="n"/>
      <c r="I32" s="82" t="n"/>
      <c r="J32" s="82" t="n"/>
      <c r="K32" s="82" t="n"/>
      <c r="L32" s="82" t="n"/>
      <c r="M32" s="82" t="n"/>
      <c r="N32" s="82" t="n"/>
      <c r="O32" s="82" t="n"/>
      <c r="P32" s="82" t="n"/>
      <c r="Q32" s="98">
        <f>IF(OR(L32="",L32="در انتظار"),"",IF(Q32="",TODAY(),Q32))</f>
        <v/>
      </c>
    </row>
    <row r="33">
      <c r="A33" s="82" t="n"/>
      <c r="B33" s="82" t="n"/>
      <c r="C33" s="82" t="n"/>
      <c r="D33" s="82" t="n"/>
      <c r="E33" s="82" t="n"/>
      <c r="F33" s="82" t="n"/>
      <c r="G33" s="82" t="n"/>
      <c r="H33" s="82" t="n"/>
      <c r="I33" s="82" t="n"/>
      <c r="J33" s="82" t="n"/>
      <c r="K33" s="82" t="n"/>
      <c r="L33" s="82" t="n"/>
      <c r="M33" s="82" t="n"/>
      <c r="N33" s="82" t="n"/>
      <c r="O33" s="82" t="n"/>
      <c r="P33" s="82" t="n"/>
      <c r="Q33" s="98">
        <f>IF(OR(L33="",L33="در انتظار"),"",IF(Q33="",TODAY(),Q33))</f>
        <v/>
      </c>
    </row>
    <row r="34">
      <c r="A34" s="82" t="n"/>
      <c r="B34" s="82" t="n"/>
      <c r="C34" s="82" t="n"/>
      <c r="D34" s="82" t="n"/>
      <c r="E34" s="82" t="n"/>
      <c r="F34" s="82" t="n"/>
      <c r="G34" s="82" t="n"/>
      <c r="H34" s="82" t="n"/>
      <c r="I34" s="82" t="n"/>
      <c r="J34" s="82" t="n"/>
      <c r="K34" s="82" t="n"/>
      <c r="L34" s="82" t="n"/>
      <c r="M34" s="82" t="n"/>
      <c r="N34" s="82" t="n"/>
      <c r="O34" s="82" t="n"/>
      <c r="P34" s="82" t="n"/>
      <c r="Q34" s="98">
        <f>IF(OR(L34="",L34="در انتظار"),"",IF(Q34="",TODAY(),Q34))</f>
        <v/>
      </c>
    </row>
    <row r="35">
      <c r="A35" s="82" t="n"/>
      <c r="B35" s="82" t="n"/>
      <c r="C35" s="82" t="n"/>
      <c r="D35" s="82" t="n"/>
      <c r="E35" s="82" t="n"/>
      <c r="F35" s="82" t="n"/>
      <c r="G35" s="82" t="n"/>
      <c r="H35" s="82" t="n"/>
      <c r="I35" s="82" t="n"/>
      <c r="J35" s="82" t="n"/>
      <c r="K35" s="82" t="n"/>
      <c r="L35" s="82" t="n"/>
      <c r="M35" s="82" t="n"/>
      <c r="N35" s="82" t="n"/>
      <c r="O35" s="82" t="n"/>
      <c r="P35" s="82" t="n"/>
      <c r="Q35" s="98">
        <f>IF(OR(L35="",L35="در انتظار"),"",IF(Q35="",TODAY(),Q35))</f>
        <v/>
      </c>
    </row>
    <row r="36">
      <c r="A36" s="82" t="n"/>
      <c r="B36" s="82" t="n"/>
      <c r="C36" s="82" t="n"/>
      <c r="D36" s="82" t="n"/>
      <c r="E36" s="82" t="n"/>
      <c r="F36" s="82" t="n"/>
      <c r="G36" s="82" t="n"/>
      <c r="H36" s="82" t="n"/>
      <c r="I36" s="82" t="n"/>
      <c r="J36" s="82" t="n"/>
      <c r="K36" s="82" t="n"/>
      <c r="L36" s="82" t="n"/>
      <c r="M36" s="82" t="n"/>
      <c r="N36" s="82" t="n"/>
      <c r="O36" s="82" t="n"/>
      <c r="P36" s="82" t="n"/>
      <c r="Q36" s="98">
        <f>IF(OR(L36="",L36="در انتظار"),"",IF(Q36="",TODAY(),Q36))</f>
        <v/>
      </c>
    </row>
    <row r="37">
      <c r="A37" s="82" t="n"/>
      <c r="B37" s="82" t="n"/>
      <c r="C37" s="82" t="n"/>
      <c r="D37" s="82" t="n"/>
      <c r="E37" s="82" t="n"/>
      <c r="F37" s="82" t="n"/>
      <c r="G37" s="82" t="n"/>
      <c r="H37" s="82" t="n"/>
      <c r="I37" s="82" t="n"/>
      <c r="J37" s="82" t="n"/>
      <c r="K37" s="82" t="n"/>
      <c r="L37" s="82" t="n"/>
      <c r="M37" s="82" t="n"/>
      <c r="N37" s="82" t="n"/>
      <c r="O37" s="82" t="n"/>
      <c r="P37" s="82" t="n"/>
      <c r="Q37" s="98">
        <f>IF(OR(L37="",L37="در انتظار"),"",IF(Q37="",TODAY(),Q37))</f>
        <v/>
      </c>
    </row>
    <row r="38">
      <c r="A38" s="82" t="n"/>
      <c r="B38" s="82" t="n"/>
      <c r="C38" s="82" t="n"/>
      <c r="D38" s="82" t="n"/>
      <c r="E38" s="82" t="n"/>
      <c r="F38" s="82" t="n"/>
      <c r="G38" s="82" t="n"/>
      <c r="H38" s="82" t="n"/>
      <c r="I38" s="82" t="n"/>
      <c r="J38" s="82" t="n"/>
      <c r="K38" s="82" t="n"/>
      <c r="L38" s="82" t="n"/>
      <c r="M38" s="82" t="n"/>
      <c r="N38" s="82" t="n"/>
      <c r="O38" s="82" t="n"/>
      <c r="P38" s="82" t="n"/>
      <c r="Q38" s="98">
        <f>IF(OR(L38="",L38="در انتظار"),"",IF(Q38="",TODAY(),Q38))</f>
        <v/>
      </c>
    </row>
    <row r="39">
      <c r="A39" s="82" t="n"/>
      <c r="B39" s="82" t="n"/>
      <c r="C39" s="82" t="n"/>
      <c r="D39" s="82" t="n"/>
      <c r="E39" s="82" t="n"/>
      <c r="F39" s="82" t="n"/>
      <c r="G39" s="82" t="n"/>
      <c r="H39" s="82" t="n"/>
      <c r="I39" s="82" t="n"/>
      <c r="J39" s="82" t="n"/>
      <c r="K39" s="82" t="n"/>
      <c r="L39" s="82" t="n"/>
      <c r="M39" s="82" t="n"/>
      <c r="N39" s="82" t="n"/>
      <c r="O39" s="82" t="n"/>
      <c r="P39" s="82" t="n"/>
      <c r="Q39" s="98">
        <f>IF(OR(L39="",L39="در انتظار"),"",IF(Q39="",TODAY(),Q39))</f>
        <v/>
      </c>
    </row>
    <row r="40">
      <c r="A40" s="82" t="n"/>
      <c r="B40" s="82" t="n"/>
      <c r="C40" s="82" t="n"/>
      <c r="D40" s="82" t="n"/>
      <c r="E40" s="82" t="n"/>
      <c r="F40" s="82" t="n"/>
      <c r="G40" s="82" t="n"/>
      <c r="H40" s="82" t="n"/>
      <c r="I40" s="82" t="n"/>
      <c r="J40" s="82" t="n"/>
      <c r="K40" s="82" t="n"/>
      <c r="L40" s="82" t="n"/>
      <c r="M40" s="82" t="n"/>
      <c r="N40" s="82" t="n"/>
      <c r="O40" s="82" t="n"/>
      <c r="P40" s="82" t="n"/>
      <c r="Q40" s="98">
        <f>IF(OR(L40="",L40="در انتظار"),"",IF(Q40="",TODAY(),Q40))</f>
        <v/>
      </c>
    </row>
    <row r="41">
      <c r="A41" s="82" t="n"/>
      <c r="B41" s="82" t="n"/>
      <c r="C41" s="82" t="n"/>
      <c r="D41" s="82" t="n"/>
      <c r="E41" s="82" t="n"/>
      <c r="F41" s="82" t="n"/>
      <c r="G41" s="82" t="n"/>
      <c r="H41" s="82" t="n"/>
      <c r="I41" s="82" t="n"/>
      <c r="J41" s="82" t="n"/>
      <c r="K41" s="82" t="n"/>
      <c r="L41" s="82" t="n"/>
      <c r="M41" s="82" t="n"/>
      <c r="N41" s="82" t="n"/>
      <c r="O41" s="82" t="n"/>
      <c r="P41" s="82" t="n"/>
      <c r="Q41" s="98">
        <f>IF(OR(L41="",L41="در انتظار"),"",IF(Q41="",TODAY(),Q41))</f>
        <v/>
      </c>
    </row>
    <row r="42">
      <c r="A42" s="82" t="n"/>
      <c r="B42" s="82" t="n"/>
      <c r="C42" s="82" t="n"/>
      <c r="D42" s="82" t="n"/>
      <c r="E42" s="82" t="n"/>
      <c r="F42" s="82" t="n"/>
      <c r="G42" s="82" t="n"/>
      <c r="H42" s="82" t="n"/>
      <c r="I42" s="82" t="n"/>
      <c r="J42" s="82" t="n"/>
      <c r="K42" s="82" t="n"/>
      <c r="L42" s="82" t="n"/>
      <c r="M42" s="82" t="n"/>
      <c r="N42" s="82" t="n"/>
      <c r="O42" s="82" t="n"/>
      <c r="P42" s="82" t="n"/>
      <c r="Q42" s="98">
        <f>IF(OR(L42="",L42="در انتظار"),"",IF(Q42="",TODAY(),Q42))</f>
        <v/>
      </c>
    </row>
    <row r="43">
      <c r="A43" s="82" t="n"/>
      <c r="B43" s="82" t="n"/>
      <c r="C43" s="82" t="n"/>
      <c r="D43" s="82" t="n"/>
      <c r="E43" s="82" t="n"/>
      <c r="F43" s="82" t="n"/>
      <c r="G43" s="82" t="n"/>
      <c r="H43" s="82" t="n"/>
      <c r="I43" s="82" t="n"/>
      <c r="J43" s="82" t="n"/>
      <c r="K43" s="82" t="n"/>
      <c r="L43" s="82" t="n"/>
      <c r="M43" s="82" t="n"/>
      <c r="N43" s="82" t="n"/>
      <c r="O43" s="82" t="n"/>
      <c r="P43" s="82" t="n"/>
      <c r="Q43" s="98">
        <f>IF(OR(L43="",L43="در انتظار"),"",IF(Q43="",TODAY(),Q43))</f>
        <v/>
      </c>
    </row>
    <row r="44">
      <c r="A44" s="82" t="n"/>
      <c r="B44" s="82" t="n"/>
      <c r="C44" s="82" t="n"/>
      <c r="D44" s="82" t="n"/>
      <c r="E44" s="82" t="n"/>
      <c r="F44" s="82" t="n"/>
      <c r="G44" s="82" t="n"/>
      <c r="H44" s="82" t="n"/>
      <c r="I44" s="82" t="n"/>
      <c r="J44" s="82" t="n"/>
      <c r="K44" s="82" t="n"/>
      <c r="L44" s="82" t="n"/>
      <c r="M44" s="82" t="n"/>
      <c r="N44" s="82" t="n"/>
      <c r="O44" s="82" t="n"/>
      <c r="P44" s="82" t="n"/>
      <c r="Q44" s="98">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برنامه‌نویسی و هاست (جدا از ولیدیشن عملی برد)</t>
        </is>
      </c>
      <c r="B1" s="82" t="n"/>
      <c r="C1" s="82" t="n"/>
      <c r="D1" s="82" t="n"/>
      <c r="E1" s="82" t="n"/>
      <c r="F1" s="82" t="n"/>
      <c r="G1" s="82" t="n"/>
      <c r="H1" s="82" t="n"/>
      <c r="I1" s="82" t="n"/>
      <c r="J1" s="82" t="n"/>
      <c r="K1" s="82" t="n"/>
      <c r="L1" s="82" t="n"/>
      <c r="M1" s="82" t="n"/>
      <c r="N1" s="82" t="n"/>
      <c r="O1" s="82" t="n"/>
      <c r="P1" s="82" t="n"/>
      <c r="Q1" s="82" t="n"/>
    </row>
    <row r="2" ht="42" customHeight="1">
      <c r="A2" s="82" t="n"/>
      <c r="B2" s="10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CO-020</t>
        </is>
      </c>
      <c r="B5" s="104" t="inlineStr">
        <is>
          <t>فقط PROTECT_BATTERY مجاز</t>
        </is>
      </c>
      <c r="C5" s="114" t="inlineStr">
        <is>
          <t>بالا</t>
        </is>
      </c>
      <c r="D5" s="104" t="inlineStr">
        <is>
          <t>کد review + تست</t>
        </is>
      </c>
      <c r="E5" s="106"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105" t="inlineStr">
        <is>
          <t>کد + PB11</t>
        </is>
      </c>
      <c r="G5" s="105" t="inlineStr">
        <is>
          <t>—</t>
        </is>
      </c>
      <c r="H5" s="104" t="inlineStr">
        <is>
          <t>هیچ کد board_pins/HAL/PB5/PB7 نباشد، فقط PB11 تغییر کند. PASS: فقط PB11. FAIL: PB5/7.</t>
        </is>
      </c>
      <c r="I5" s="104" t="inlineStr">
        <is>
          <t>PASS: only PB11. FAIL: PB5/7 usage.</t>
        </is>
      </c>
      <c r="J5" s="104" t="n"/>
      <c r="K5" s="104" t="inlineStr">
        <is>
          <t>در انتظار</t>
        </is>
      </c>
      <c r="L5" s="115" t="n"/>
      <c r="M5" s="104" t="n"/>
      <c r="N5" s="104" t="inlineStr">
        <is>
          <t>c6b084f28f2c507cfd342e5dbd0dbd8e45686772</t>
        </is>
      </c>
      <c r="O5" s="105" t="n"/>
      <c r="P5" s="105" t="n"/>
      <c r="Q5" s="107">
        <f>IF(OR(L5="",L5="در انتظار"),"",IF(Q5="",TODAY(),Q5))</f>
        <v/>
      </c>
    </row>
    <row r="6" ht="54" customHeight="1">
      <c r="A6" s="99" t="inlineStr">
        <is>
          <t>CO-021</t>
        </is>
      </c>
      <c r="B6" s="143" t="inlineStr">
        <is>
          <t>زمان از rtos_time</t>
        </is>
      </c>
      <c r="C6" s="144" t="inlineStr">
        <is>
          <t>متوسط</t>
        </is>
      </c>
      <c r="D6" s="143" t="inlineStr">
        <is>
          <t>هر زمان</t>
        </is>
      </c>
      <c r="E6" s="143"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144" t="inlineStr">
        <is>
          <t>کد review</t>
        </is>
      </c>
      <c r="G6" s="144" t="inlineStr">
        <is>
          <t>—</t>
        </is>
      </c>
      <c r="H6" s="143" t="inlineStr">
        <is>
          <t>زمان با rtos_time قابل‌حمل باشد، 3000ms با هر فرکانس تیک درست کار کند. PASS: portable. FAIL: فرض 1ms.</t>
        </is>
      </c>
      <c r="I6" s="143" t="inlineStr">
        <is>
          <t>PASS: portable via rtos_time. FAIL: hardcoded 1ms.</t>
        </is>
      </c>
      <c r="J6" s="104" t="n"/>
      <c r="K6" s="112" t="inlineStr">
        <is>
          <t>در انتظار</t>
        </is>
      </c>
      <c r="L6" s="113" t="n"/>
      <c r="M6" s="100" t="n"/>
      <c r="N6" s="143" t="inlineStr">
        <is>
          <t>c6b084f28f2c507cfd342e5dbd0dbd8e45686772</t>
        </is>
      </c>
      <c r="O6" s="101" t="n"/>
      <c r="P6" s="101" t="n"/>
      <c r="Q6" s="148">
        <f>IF(OR(L6="",L6="در انتظار"),"",IF(Q6="",TODAY(),Q6))</f>
        <v/>
      </c>
    </row>
    <row r="7" ht="54" customHeight="1">
      <c r="A7" s="99" t="inlineStr">
        <is>
          <t>CO-022</t>
        </is>
      </c>
      <c r="B7" s="104" t="inlineStr">
        <is>
          <t>durationTicks صفر → no immediate cut</t>
        </is>
      </c>
      <c r="C7" s="114" t="inlineStr">
        <is>
          <t>بالا</t>
        </is>
      </c>
      <c r="D7" s="104" t="inlineStr">
        <is>
          <t>BATTERY با شرط قطع</t>
        </is>
      </c>
      <c r="E7" s="104"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105" t="inlineStr">
        <is>
          <t>valid true v20700 durTicks0</t>
        </is>
      </c>
      <c r="G7" s="105" t="inlineStr">
        <is>
          <t>3500ms</t>
        </is>
      </c>
      <c r="H7" s="104" t="inlineStr">
        <is>
          <t>هیچ قطع/وصل فوری انجام نشود، state و PB11 حفظ، تایمر reset. PASS: guard بدون تصمیم. FAIL: قطع فوری.</t>
        </is>
      </c>
      <c r="I7" s="104" t="inlineStr">
        <is>
          <t>PASS: guard preserves. FAIL: immediate cut.</t>
        </is>
      </c>
      <c r="J7" s="104" t="n"/>
      <c r="K7" s="104" t="inlineStr">
        <is>
          <t>در انتظار</t>
        </is>
      </c>
      <c r="L7" s="115" t="n"/>
      <c r="M7" s="104" t="n"/>
      <c r="N7" s="104" t="inlineStr">
        <is>
          <t>c6b084f28f2c507cfd342e5dbd0dbd8e45686772</t>
        </is>
      </c>
      <c r="O7" s="105" t="n"/>
      <c r="P7" s="105" t="n"/>
      <c r="Q7" s="107">
        <f>IF(OR(L7="",L7="در انتظار"),"",IF(Q7="",TODAY(),Q7))</f>
        <v/>
      </c>
    </row>
    <row r="8" ht="54" customHeight="1">
      <c r="A8" s="99" t="inlineStr">
        <is>
          <t>CO-023</t>
        </is>
      </c>
      <c r="B8" s="143" t="inlineStr">
        <is>
          <t>snapshot zeroing task_control</t>
        </is>
      </c>
      <c r="C8" s="147" t="inlineStr">
        <is>
          <t>بالا</t>
        </is>
      </c>
      <c r="D8" s="143" t="inlineStr">
        <is>
          <t>MODULE_MEASUREMENT=0 یا GetSnapshot=false</t>
        </is>
      </c>
      <c r="E8" s="143" t="inlineStr">
        <is>
          <t>گام ۱: برد را با MODULE_MEASUREMENT=0 بیلد کن. یا ADC را نگه دار تا valid=false بماند.
گام ۲: 3 ثانیه وضعیت و PB11 را نگاه کن.
گام ۳: هیچ فیلدی از داده نباید زبالهٔ پشته داشته باشد. هر چهار تسک (کنترل، ارتباط، UI و حفاظت) هر 9 فیلد را از قبل صفر می‌کنند.
گام ۴: Changeover باید فقط روی valid تصمیم بگیرد و PB11 امن بماند.
گام ۵: هیچ تصمیمی بر اساس زباله قبول نیست.</t>
        </is>
      </c>
      <c r="F8" s="144" t="inlineStr">
        <is>
          <t>valid=false</t>
        </is>
      </c>
      <c r="G8" s="144" t="inlineStr">
        <is>
          <t>3500ms</t>
        </is>
      </c>
      <c r="H8" s="143" t="inlineStr">
        <is>
          <t>هیچ فیلدی از داده نباید زبالهٔ پشته داشته باشد.
Changeover باید فقط روی valid گیت بزند و PB11 امن بماند.
تسک کنترل، مثل تسک‌های ارتباط و UI و حفاظت، هر 9 فیلد را صفر می‌کند.</t>
        </is>
      </c>
      <c r="I8" s="143" t="inlineStr">
        <is>
          <t>امن</t>
        </is>
      </c>
      <c r="J8" s="143" t="inlineStr">
        <is>
          <t>بدون تصمیم بر اساس زباله؛ PB11 حفظ</t>
        </is>
      </c>
      <c r="K8" s="100" t="n"/>
      <c r="L8" s="117" t="inlineStr">
        <is>
          <t>نیاز به تکرار</t>
        </is>
      </c>
      <c r="M8" s="100" t="n"/>
      <c r="N8" s="100" t="n"/>
      <c r="O8" s="144" t="inlineStr">
        <is>
          <t>62f3782</t>
        </is>
      </c>
      <c r="P8" s="101" t="n"/>
      <c r="Q8" s="148" t="inlineStr">
        <is>
          <t>2026-10-12</t>
        </is>
      </c>
    </row>
    <row r="9">
      <c r="A9" s="82" t="n"/>
      <c r="B9" s="82" t="n"/>
      <c r="C9" s="82" t="n"/>
      <c r="D9" s="82" t="n"/>
      <c r="E9" s="82" t="n"/>
      <c r="F9" s="82" t="n"/>
      <c r="G9" s="82" t="n"/>
      <c r="H9" s="82" t="n"/>
      <c r="I9" s="82" t="n"/>
      <c r="J9" s="82" t="n"/>
      <c r="K9" s="82" t="n"/>
      <c r="L9" s="82" t="n"/>
      <c r="M9" s="82" t="n"/>
      <c r="N9" s="82" t="n"/>
      <c r="O9" s="82" t="n"/>
      <c r="P9" s="82" t="n"/>
      <c r="Q9" s="98">
        <f>IF(OR(L9="",L9="در انتظار"),"",IF(Q9="",TODAY(),Q9))</f>
        <v/>
      </c>
    </row>
    <row r="10">
      <c r="A10" s="82" t="n"/>
      <c r="B10" s="82" t="n"/>
      <c r="C10" s="82" t="n"/>
      <c r="D10" s="82" t="n"/>
      <c r="E10" s="82" t="n"/>
      <c r="F10" s="82" t="n"/>
      <c r="G10" s="82" t="n"/>
      <c r="H10" s="82" t="n"/>
      <c r="I10" s="82" t="n"/>
      <c r="J10" s="82" t="n"/>
      <c r="K10" s="82" t="n"/>
      <c r="L10" s="82" t="n"/>
      <c r="M10" s="82" t="n"/>
      <c r="N10" s="82" t="n"/>
      <c r="O10" s="82" t="n"/>
      <c r="P10" s="82" t="n"/>
      <c r="Q10" s="98">
        <f>IF(OR(L10="",L10="در انتظار"),"",IF(Q10="",TODAY(),Q10))</f>
        <v/>
      </c>
    </row>
    <row r="11">
      <c r="A11" s="82" t="n"/>
      <c r="B11" s="82" t="n"/>
      <c r="C11" s="82" t="n"/>
      <c r="D11" s="82" t="n"/>
      <c r="E11" s="82" t="n"/>
      <c r="F11" s="82" t="n"/>
      <c r="G11" s="82" t="n"/>
      <c r="H11" s="82" t="n"/>
      <c r="I11" s="82" t="n"/>
      <c r="J11" s="82" t="n"/>
      <c r="K11" s="82" t="n"/>
      <c r="L11" s="82" t="n"/>
      <c r="M11" s="82" t="n"/>
      <c r="N11" s="82" t="n"/>
      <c r="O11" s="82" t="n"/>
      <c r="P11" s="82" t="n"/>
      <c r="Q11" s="98">
        <f>IF(OR(L11="",L11="در انتظار"),"",IF(Q11="",TODAY(),Q11))</f>
        <v/>
      </c>
    </row>
    <row r="12">
      <c r="A12" s="82" t="n"/>
      <c r="B12" s="82" t="n"/>
      <c r="C12" s="82" t="n"/>
      <c r="D12" s="82" t="n"/>
      <c r="E12" s="82" t="n"/>
      <c r="F12" s="82" t="n"/>
      <c r="G12" s="82" t="n"/>
      <c r="H12" s="82" t="n"/>
      <c r="I12" s="82" t="n"/>
      <c r="J12" s="82" t="n"/>
      <c r="K12" s="82" t="n"/>
      <c r="L12" s="82" t="n"/>
      <c r="M12" s="82" t="n"/>
      <c r="N12" s="82" t="n"/>
      <c r="O12" s="82" t="n"/>
      <c r="P12" s="82" t="n"/>
      <c r="Q12" s="98">
        <f>IF(OR(L12="",L12="در انتظار"),"",IF(Q12="",TODAY(),Q12))</f>
        <v/>
      </c>
    </row>
    <row r="13">
      <c r="A13" s="82" t="n"/>
      <c r="B13" s="82" t="n"/>
      <c r="C13" s="82" t="n"/>
      <c r="D13" s="82" t="n"/>
      <c r="E13" s="82" t="n"/>
      <c r="F13" s="82" t="n"/>
      <c r="G13" s="82" t="n"/>
      <c r="H13" s="82" t="n"/>
      <c r="I13" s="82" t="n"/>
      <c r="J13" s="82" t="n"/>
      <c r="K13" s="82" t="n"/>
      <c r="L13" s="82" t="n"/>
      <c r="M13" s="82" t="n"/>
      <c r="N13" s="82" t="n"/>
      <c r="O13" s="82" t="n"/>
      <c r="P13" s="82" t="n"/>
      <c r="Q13" s="98">
        <f>IF(OR(L13="",L13="در انتظار"),"",IF(Q13="",TODAY(),Q13))</f>
        <v/>
      </c>
    </row>
    <row r="14">
      <c r="A14" s="82" t="n"/>
      <c r="B14" s="82" t="n"/>
      <c r="C14" s="82" t="n"/>
      <c r="D14" s="82" t="n"/>
      <c r="E14" s="82" t="n"/>
      <c r="F14" s="82" t="n"/>
      <c r="G14" s="82" t="n"/>
      <c r="H14" s="82" t="n"/>
      <c r="I14" s="82" t="n"/>
      <c r="J14" s="82" t="n"/>
      <c r="K14" s="82" t="n"/>
      <c r="L14" s="82" t="n"/>
      <c r="M14" s="82" t="n"/>
      <c r="N14" s="82" t="n"/>
      <c r="O14" s="82" t="n"/>
      <c r="P14" s="82" t="n"/>
      <c r="Q14" s="98">
        <f>IF(OR(L14="",L14="در انتظار"),"",IF(Q14="",TODAY(),Q14))</f>
        <v/>
      </c>
    </row>
    <row r="15">
      <c r="A15" s="82" t="n"/>
      <c r="B15" s="82" t="n"/>
      <c r="C15" s="82" t="n"/>
      <c r="D15" s="82" t="n"/>
      <c r="E15" s="82" t="n"/>
      <c r="F15" s="82" t="n"/>
      <c r="G15" s="82" t="n"/>
      <c r="H15" s="82" t="n"/>
      <c r="I15" s="82" t="n"/>
      <c r="J15" s="82" t="n"/>
      <c r="K15" s="82" t="n"/>
      <c r="L15" s="82" t="n"/>
      <c r="M15" s="82" t="n"/>
      <c r="N15" s="82" t="n"/>
      <c r="O15" s="82" t="n"/>
      <c r="P15" s="82" t="n"/>
      <c r="Q15" s="98">
        <f>IF(OR(L15="",L15="در انتظار"),"",IF(Q15="",TODAY(),Q15))</f>
        <v/>
      </c>
    </row>
    <row r="16">
      <c r="A16" s="82" t="n"/>
      <c r="B16" s="82" t="n"/>
      <c r="C16" s="82" t="n"/>
      <c r="D16" s="82" t="n"/>
      <c r="E16" s="82" t="n"/>
      <c r="F16" s="82" t="n"/>
      <c r="G16" s="82" t="n"/>
      <c r="H16" s="82" t="n"/>
      <c r="I16" s="82" t="n"/>
      <c r="J16" s="82" t="n"/>
      <c r="K16" s="82" t="n"/>
      <c r="L16" s="82" t="n"/>
      <c r="M16" s="82" t="n"/>
      <c r="N16" s="82" t="n"/>
      <c r="O16" s="82" t="n"/>
      <c r="P16" s="82" t="n"/>
      <c r="Q16" s="98">
        <f>IF(OR(L16="",L16="در انتظار"),"",IF(Q16="",TODAY(),Q16))</f>
        <v/>
      </c>
    </row>
    <row r="17">
      <c r="A17" s="82" t="n"/>
      <c r="B17" s="82" t="n"/>
      <c r="C17" s="82" t="n"/>
      <c r="D17" s="82" t="n"/>
      <c r="E17" s="82" t="n"/>
      <c r="F17" s="82" t="n"/>
      <c r="G17" s="82" t="n"/>
      <c r="H17" s="82" t="n"/>
      <c r="I17" s="82" t="n"/>
      <c r="J17" s="82" t="n"/>
      <c r="K17" s="82" t="n"/>
      <c r="L17" s="82" t="n"/>
      <c r="M17" s="82" t="n"/>
      <c r="N17" s="82" t="n"/>
      <c r="O17" s="82" t="n"/>
      <c r="P17" s="82" t="n"/>
      <c r="Q17" s="98">
        <f>IF(OR(L17="",L17="در انتظار"),"",IF(Q17="",TODAY(),Q17))</f>
        <v/>
      </c>
    </row>
    <row r="18">
      <c r="A18" s="82" t="n"/>
      <c r="B18" s="82" t="n"/>
      <c r="C18" s="82" t="n"/>
      <c r="D18" s="82" t="n"/>
      <c r="E18" s="82" t="n"/>
      <c r="F18" s="82" t="n"/>
      <c r="G18" s="82" t="n"/>
      <c r="H18" s="82" t="n"/>
      <c r="I18" s="82" t="n"/>
      <c r="J18" s="82" t="n"/>
      <c r="K18" s="82" t="n"/>
      <c r="L18" s="82" t="n"/>
      <c r="M18" s="82" t="n"/>
      <c r="N18" s="82" t="n"/>
      <c r="O18" s="82" t="n"/>
      <c r="P18" s="82" t="n"/>
      <c r="Q18" s="98">
        <f>IF(OR(L18="",L18="در انتظار"),"",IF(Q18="",TODAY(),Q18))</f>
        <v/>
      </c>
    </row>
    <row r="19">
      <c r="A19" s="82" t="n"/>
      <c r="B19" s="82" t="n"/>
      <c r="C19" s="82" t="n"/>
      <c r="D19" s="82" t="n"/>
      <c r="E19" s="82" t="n"/>
      <c r="F19" s="82" t="n"/>
      <c r="G19" s="82" t="n"/>
      <c r="H19" s="82" t="n"/>
      <c r="I19" s="82" t="n"/>
      <c r="J19" s="82" t="n"/>
      <c r="K19" s="82" t="n"/>
      <c r="L19" s="82" t="n"/>
      <c r="M19" s="82" t="n"/>
      <c r="N19" s="82" t="n"/>
      <c r="O19" s="82" t="n"/>
      <c r="P19" s="82" t="n"/>
      <c r="Q19" s="98">
        <f>IF(OR(L19="",L19="در انتظار"),"",IF(Q19="",TODAY(),Q19))</f>
        <v/>
      </c>
    </row>
    <row r="20">
      <c r="A20" s="82" t="n"/>
      <c r="B20" s="82" t="n"/>
      <c r="C20" s="82" t="n"/>
      <c r="D20" s="82" t="n"/>
      <c r="E20" s="82" t="n"/>
      <c r="F20" s="82" t="n"/>
      <c r="G20" s="82" t="n"/>
      <c r="H20" s="82" t="n"/>
      <c r="I20" s="82" t="n"/>
      <c r="J20" s="82" t="n"/>
      <c r="K20" s="82" t="n"/>
      <c r="L20" s="82" t="n"/>
      <c r="M20" s="82" t="n"/>
      <c r="N20" s="82" t="n"/>
      <c r="O20" s="82" t="n"/>
      <c r="P20" s="82" t="n"/>
      <c r="Q20" s="98">
        <f>IF(OR(L20="",L20="در انتظار"),"",IF(Q20="",TODAY(),Q20))</f>
        <v/>
      </c>
    </row>
    <row r="21">
      <c r="A21" s="82" t="n"/>
      <c r="B21" s="82" t="n"/>
      <c r="C21" s="82" t="n"/>
      <c r="D21" s="82" t="n"/>
      <c r="E21" s="82" t="n"/>
      <c r="F21" s="82" t="n"/>
      <c r="G21" s="82" t="n"/>
      <c r="H21" s="82" t="n"/>
      <c r="I21" s="82" t="n"/>
      <c r="J21" s="82" t="n"/>
      <c r="K21" s="82" t="n"/>
      <c r="L21" s="82" t="n"/>
      <c r="M21" s="82" t="n"/>
      <c r="N21" s="82" t="n"/>
      <c r="O21" s="82" t="n"/>
      <c r="P21" s="82" t="n"/>
      <c r="Q21" s="98">
        <f>IF(OR(L21="",L21="در انتظار"),"",IF(Q21="",TODAY(),Q21))</f>
        <v/>
      </c>
    </row>
    <row r="22">
      <c r="A22" s="82" t="n"/>
      <c r="B22" s="82" t="n"/>
      <c r="C22" s="82" t="n"/>
      <c r="D22" s="82" t="n"/>
      <c r="E22" s="82" t="n"/>
      <c r="F22" s="82" t="n"/>
      <c r="G22" s="82" t="n"/>
      <c r="H22" s="82" t="n"/>
      <c r="I22" s="82" t="n"/>
      <c r="J22" s="82" t="n"/>
      <c r="K22" s="82" t="n"/>
      <c r="L22" s="82" t="n"/>
      <c r="M22" s="82" t="n"/>
      <c r="N22" s="82" t="n"/>
      <c r="O22" s="82" t="n"/>
      <c r="P22" s="82" t="n"/>
      <c r="Q22" s="98">
        <f>IF(OR(L22="",L22="در انتظار"),"",IF(Q22="",TODAY(),Q22))</f>
        <v/>
      </c>
    </row>
    <row r="23">
      <c r="A23" s="82" t="n"/>
      <c r="B23" s="82" t="n"/>
      <c r="C23" s="82" t="n"/>
      <c r="D23" s="82" t="n"/>
      <c r="E23" s="82" t="n"/>
      <c r="F23" s="82" t="n"/>
      <c r="G23" s="82" t="n"/>
      <c r="H23" s="82" t="n"/>
      <c r="I23" s="82" t="n"/>
      <c r="J23" s="82" t="n"/>
      <c r="K23" s="82" t="n"/>
      <c r="L23" s="82" t="n"/>
      <c r="M23" s="82" t="n"/>
      <c r="N23" s="82" t="n"/>
      <c r="O23" s="82" t="n"/>
      <c r="P23" s="82" t="n"/>
      <c r="Q23" s="98">
        <f>IF(OR(L23="",L23="در انتظار"),"",IF(Q23="",TODAY(),Q23))</f>
        <v/>
      </c>
    </row>
    <row r="24">
      <c r="A24" s="82" t="n"/>
      <c r="B24" s="82" t="n"/>
      <c r="C24" s="82" t="n"/>
      <c r="D24" s="82" t="n"/>
      <c r="E24" s="82" t="n"/>
      <c r="F24" s="82" t="n"/>
      <c r="G24" s="82" t="n"/>
      <c r="H24" s="82" t="n"/>
      <c r="I24" s="82" t="n"/>
      <c r="J24" s="82" t="n"/>
      <c r="K24" s="82" t="n"/>
      <c r="L24" s="82" t="n"/>
      <c r="M24" s="82" t="n"/>
      <c r="N24" s="82" t="n"/>
      <c r="O24" s="82" t="n"/>
      <c r="P24" s="82" t="n"/>
      <c r="Q24" s="9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149" t="inlineStr">
        <is>
          <t>مرجع سریع سناریوهای Changeover</t>
        </is>
      </c>
      <c r="B1" s="8" t="n"/>
      <c r="C1" s="8" t="n"/>
      <c r="D1" s="8" t="n"/>
      <c r="E1" s="8" t="n"/>
      <c r="F1" s="9" t="n"/>
    </row>
    <row r="2" ht="18" customHeight="1">
      <c r="A2" s="118" t="inlineStr">
        <is>
          <t>این صفحه مرجع انتظار است؛ نتیجه واقعی فقط در «برنامه تست» ثبت شود. مقادیر از کد واقعی استخراج شده؛ مقدار حدسی وجود ندارد.</t>
        </is>
      </c>
    </row>
    <row r="3" ht="18" customHeight="1">
      <c r="A3" s="141" t="inlineStr">
        <is>
          <t>موضوع</t>
        </is>
      </c>
      <c r="B3" s="141" t="inlineStr">
        <is>
          <t>شرط / مقدار (از کد)</t>
        </is>
      </c>
      <c r="C3" s="141" t="inlineStr">
        <is>
          <t>رفتار مورد انتظار</t>
        </is>
      </c>
      <c r="D3" s="141" t="inlineStr">
        <is>
          <t>ثابت / محل کد</t>
        </is>
      </c>
      <c r="E3" s="141" t="inlineStr">
        <is>
          <t>توضیح تکمیلی</t>
        </is>
      </c>
      <c r="F3" s="141" t="inlineStr">
        <is>
          <t>وابستگی</t>
        </is>
      </c>
    </row>
    <row r="4" ht="14" customHeight="1">
      <c r="A4" s="119" t="inlineStr">
        <is>
          <t>Snapshot نامعتبر</t>
        </is>
      </c>
      <c r="B4" s="119" t="inlineStr">
        <is>
          <t>valid==false یا NULL</t>
        </is>
      </c>
      <c r="C4" s="119" t="inlineStr">
        <is>
          <t>state حفظ، PB11 حفظ، تایمر reset</t>
        </is>
      </c>
      <c r="D4" s="120" t="inlineStr">
        <is>
          <t>changeover.c:valid check</t>
        </is>
      </c>
      <c r="E4" s="119" t="inlineStr">
        <is>
          <t>زمان نامعتبر شمرده نشود</t>
        </is>
      </c>
      <c r="F4" s="120" t="inlineStr">
        <is>
          <t>CO-001,002,017</t>
        </is>
      </c>
    </row>
    <row r="5" ht="14" customHeight="1">
      <c r="A5" s="119" t="inlineStr">
        <is>
          <t>Fault</t>
        </is>
      </c>
      <c r="B5" s="119" t="inlineStr">
        <is>
          <t>fault_mask !=0</t>
        </is>
      </c>
      <c r="C5" s="119" t="inlineStr">
        <is>
          <t>state=FAULT، هیچ pin تغییر نکند</t>
        </is>
      </c>
      <c r="D5" s="119" t="inlineStr">
        <is>
          <t>FAULT_NONE</t>
        </is>
      </c>
      <c r="E5" s="119" t="inlineStr">
        <is>
          <t>بالاترین اولویت پس از valid</t>
        </is>
      </c>
      <c r="F5" s="120" t="inlineStr">
        <is>
          <t>CO-004,005,018</t>
        </is>
      </c>
    </row>
    <row r="6" ht="14" customHeight="1">
      <c r="A6" s="119" t="inlineStr">
        <is>
          <t>قطع با آلارم</t>
        </is>
      </c>
      <c r="B6" s="119" t="inlineStr">
        <is>
          <t>v&lt;21000 و فلگ true</t>
        </is>
      </c>
      <c r="C6" s="119" t="inlineStr">
        <is>
          <t>پس از 3000ms PB11 Low (قطع) → SAFE</t>
        </is>
      </c>
      <c r="D6" s="119" t="inlineStr">
        <is>
          <t>CHANGEOVER_BAT_LOW_ALARM_CUT_MV=21000</t>
        </is>
      </c>
      <c r="E6" s="119" t="inlineStr">
        <is>
          <t>پیوسته</t>
        </is>
      </c>
      <c r="F6" s="120" t="inlineStr">
        <is>
          <t>CO-008,010,012</t>
        </is>
      </c>
    </row>
    <row r="7" ht="14" customHeight="1">
      <c r="A7" s="119" t="inlineStr">
        <is>
          <t>قطع مستقل</t>
        </is>
      </c>
      <c r="B7" s="119" t="inlineStr">
        <is>
          <t>v&lt;20800 (بدون فلگ)</t>
        </is>
      </c>
      <c r="C7" s="119" t="inlineStr">
        <is>
          <t>پس از 3000ms PB11 Low</t>
        </is>
      </c>
      <c r="D7" s="119" t="inlineStr">
        <is>
          <t>CHANGEOVER_BAT_CRITICAL_CUT_MV=20800</t>
        </is>
      </c>
      <c r="E7" s="119" t="inlineStr">
        <is>
          <t>مستقل</t>
        </is>
      </c>
      <c r="F7" s="120" t="inlineStr">
        <is>
          <t>CO-009,011</t>
        </is>
      </c>
    </row>
    <row r="8" ht="14" customHeight="1">
      <c r="A8" s="119" t="inlineStr">
        <is>
          <t>فیلتر زمان</t>
        </is>
      </c>
      <c r="B8" s="119" t="inlineStr">
        <is>
          <t>هر شرط &lt;3000ms</t>
        </is>
      </c>
      <c r="C8" s="119" t="inlineStr">
        <is>
          <t>عدم قطع/وصل</t>
        </is>
      </c>
      <c r="D8" s="119" t="inlineStr">
        <is>
          <t>CHANGEOVER_DURATION_MS=3000</t>
        </is>
      </c>
      <c r="E8" s="119" t="inlineStr">
        <is>
          <t>از rtos_time</t>
        </is>
      </c>
      <c r="F8" s="120" t="inlineStr">
        <is>
          <t>CO-012,015</t>
        </is>
      </c>
    </row>
    <row r="9" ht="14" customHeight="1">
      <c r="A9" s="119" t="inlineStr">
        <is>
          <t>وصل مجدد</t>
        </is>
      </c>
      <c r="B9" s="119" t="inlineStr">
        <is>
          <t>input==true و v≥21200</t>
        </is>
      </c>
      <c r="C9" s="119" t="inlineStr">
        <is>
          <t>پس از 3000ms PB11 High → INPUT</t>
        </is>
      </c>
      <c r="D9" s="119" t="inlineStr">
        <is>
          <t>CHANGEOVER_BAT_RECONNECT_MV=21200</t>
        </is>
      </c>
      <c r="E9" s="119" t="inlineStr">
        <is>
          <t>هر دو پیوسته</t>
        </is>
      </c>
      <c r="F9" s="120" t="inlineStr">
        <is>
          <t>CO-013,014,016</t>
        </is>
      </c>
    </row>
    <row r="10" ht="14" customHeight="1">
      <c r="A10" s="119" t="inlineStr">
        <is>
          <t>پس از reconnect</t>
        </is>
      </c>
      <c r="B10" s="119" t="inlineStr">
        <is>
          <t>state=INPUT</t>
        </is>
      </c>
      <c r="C10" s="119" t="inlineStr">
        <is>
          <t>نه IDLE</t>
        </is>
      </c>
      <c r="D10" s="120" t="inlineStr">
        <is>
          <t>app_types.h</t>
        </is>
      </c>
      <c r="E10" s="119" t="inlineStr">
        <is>
          <t>IDLE ممنوع برای valid</t>
        </is>
      </c>
      <c r="F10" s="120" t="inlineStr">
        <is>
          <t>CO-016</t>
        </is>
      </c>
    </row>
    <row r="11" ht="14" customHeight="1">
      <c r="A11" s="119" t="inlineStr">
        <is>
          <t>PB11 حفظ</t>
        </is>
      </c>
      <c r="B11" s="119" t="inlineStr">
        <is>
          <t>invalid/fault</t>
        </is>
      </c>
      <c r="C11" s="119" t="inlineStr">
        <is>
          <t>بدون تغییر</t>
        </is>
      </c>
      <c r="D11" s="119" t="inlineStr">
        <is>
          <t>—</t>
        </is>
      </c>
      <c r="E11" s="119" t="inlineStr">
        <is>
          <t>snapshot-first</t>
        </is>
      </c>
      <c r="F11" s="120" t="inlineStr">
        <is>
          <t>CO-017,018</t>
        </is>
      </c>
    </row>
    <row r="12" ht="14" customHeight="1">
      <c r="A12" s="119" t="inlineStr">
        <is>
          <t>PB5/PB7</t>
        </is>
      </c>
      <c r="B12" s="119" t="inlineStr">
        <is>
          <t>هیچ‌گاه</t>
        </is>
      </c>
      <c r="C12" s="119" t="inlineStr">
        <is>
          <t>بدون تغییر</t>
        </is>
      </c>
      <c r="D12" s="120" t="inlineStr">
        <is>
          <t>bsp_gpio.h:Forbidden</t>
        </is>
      </c>
      <c r="E12" s="119" t="inlineStr">
        <is>
          <t>فقط PROTECT_BATTERY</t>
        </is>
      </c>
      <c r="F12" s="120" t="inlineStr">
        <is>
          <t>CO-019,020</t>
        </is>
      </c>
    </row>
    <row r="13" ht="14" customHeight="1">
      <c r="A13" s="119" t="inlineStr">
        <is>
          <t>زمان</t>
        </is>
      </c>
      <c r="B13" s="119" t="inlineStr">
        <is>
          <t>ticks→ms via rtos_time</t>
        </is>
      </c>
      <c r="C13" s="119" t="inlineStr">
        <is>
          <t>بدون فرض 1ms</t>
        </is>
      </c>
      <c r="D13" s="119" t="inlineStr">
        <is>
          <t>func__Rtos_MillisecondsToTicks</t>
        </is>
      </c>
      <c r="E13" s="119" t="inlineStr">
        <is>
          <t>قابل‌حمل</t>
        </is>
      </c>
      <c r="F13" s="120" t="inlineStr">
        <is>
          <t>CO-021</t>
        </is>
      </c>
    </row>
    <row r="14" ht="14" customHeight="1">
      <c r="A14" s="119" t="inlineStr">
        <is>
          <t>duration0</t>
        </is>
      </c>
      <c r="B14" s="119" t="inlineStr">
        <is>
          <t>Ticks==0</t>
        </is>
      </c>
      <c r="C14" s="119" t="inlineStr">
        <is>
          <t>بدون تصمیم، حفظ state/PB11</t>
        </is>
      </c>
      <c r="D14" s="120" t="inlineStr">
        <is>
          <t>changeover.c guard</t>
        </is>
      </c>
      <c r="E14" s="119" t="inlineStr">
        <is>
          <t>frequency 0</t>
        </is>
      </c>
      <c r="F14" s="120" t="inlineStr">
        <is>
          <t>CO-022</t>
        </is>
      </c>
    </row>
    <row r="15" ht="14" customHeight="1">
      <c r="A15" s="119" t="inlineStr">
        <is>
          <t>منبع داده</t>
        </is>
      </c>
      <c r="B15" s="119" t="inlineStr">
        <is>
          <t>فقط 5 ورودی مجاز</t>
        </is>
      </c>
      <c r="C15" s="119" t="inlineStr">
        <is>
          <t>عدم استفاده از v_in/v_bat12 و ...</t>
        </is>
      </c>
      <c r="D15" s="120" t="inlineStr">
        <is>
          <t>app_types.h</t>
        </is>
      </c>
      <c r="E15" s="119" t="inlineStr">
        <is>
          <t>محدودیت</t>
        </is>
      </c>
      <c r="F15" s="120"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37" t="inlineStr">
        <is>
          <t>ثبت ایرادهای مشاهده‌شده روی برد</t>
        </is>
      </c>
    </row>
    <row r="2" ht="30" customHeight="1">
      <c r="A2" s="138"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141" t="inlineStr">
        <is>
          <t>شماره ایراد</t>
        </is>
      </c>
      <c r="B3" s="141" t="inlineStr">
        <is>
          <t>شناسه تست</t>
        </is>
      </c>
      <c r="C3" s="141" t="inlineStr">
        <is>
          <t>تاریخ کشف</t>
        </is>
      </c>
      <c r="D3" s="141" t="inlineStr">
        <is>
          <t>شدت</t>
        </is>
      </c>
      <c r="E3" s="141" t="inlineStr">
        <is>
          <t>شرح کوتاه ایراد</t>
        </is>
      </c>
      <c r="F3" s="141" t="inlineStr">
        <is>
          <t>مراحل بازتولید</t>
        </is>
      </c>
      <c r="G3" s="141" t="inlineStr">
        <is>
          <t>انتظار</t>
        </is>
      </c>
      <c r="H3" s="141" t="inlineStr">
        <is>
          <t>واقعیت</t>
        </is>
      </c>
      <c r="I3" s="141" t="inlineStr">
        <is>
          <t>مدرک / مسیر عکس یا scope</t>
        </is>
      </c>
      <c r="J3" s="141" t="inlineStr">
        <is>
          <t>نسخهٔ برنامه</t>
        </is>
      </c>
      <c r="K3" s="141" t="inlineStr">
        <is>
          <t>محل احتمالی</t>
        </is>
      </c>
      <c r="L3" s="141" t="inlineStr">
        <is>
          <t>وضعیت ایراد</t>
        </is>
      </c>
      <c r="M3" s="141" t="inlineStr">
        <is>
          <t>تأیید رفع / توضیحات</t>
        </is>
      </c>
    </row>
    <row r="4" ht="90" customHeight="1">
      <c r="A4" s="162" t="inlineStr">
        <is>
          <t>IR-001</t>
        </is>
      </c>
      <c r="B4" s="162" t="inlineStr">
        <is>
          <t>CO-027</t>
        </is>
      </c>
      <c r="C4" s="162" t="inlineStr">
        <is>
          <t>2026-10-22</t>
        </is>
      </c>
      <c r="D4" s="162" t="inlineStr">
        <is>
          <t>بالا</t>
        </is>
      </c>
      <c r="E4" s="162" t="inlineStr">
        <is>
          <t>قطبیت PB11 برعکس بود: با قطع ورودی، باتری به خروجی نمی‌رسید</t>
        </is>
      </c>
      <c r="F4" s="162" t="inlineStr">
        <is>
          <t>گام ۱: ورودی ۲۴ ولت را جدا کن. گام ۲: باتری سالم (بالای ۲۴ ولت) وصل باشد. گام ۳: خروجی و پایهٔ ۲۲ میکرو را اندازه بگیر.</t>
        </is>
      </c>
      <c r="G4" s="162" t="inlineStr">
        <is>
          <t>باتری روی خروجی بیاید و خروجی ۲۴ ولت شود</t>
        </is>
      </c>
      <c r="H4" s="162" t="inlineStr">
        <is>
          <t>خروجی مرده ماند و پایهٔ ۲۲ حدود ۳٫۳ ولت (سطح بالا) بود</t>
        </is>
      </c>
      <c r="I4" s="162" t="inlineStr">
        <is>
          <t>شماتیک Circuit/ChangeOver(24V_DC).pdf صفحهٔ ChangeOver: PB11 → R45 → بیس Q17</t>
        </is>
      </c>
      <c r="J4" s="162" t="inlineStr">
        <is>
          <t>v2 (بیلد جاری)</t>
        </is>
      </c>
      <c r="K4" s="162" t="inlineStr">
        <is>
          <t>Firmware/Config/Inc/board_pins.h</t>
        </is>
      </c>
      <c r="L4" s="162" t="inlineStr">
        <is>
          <t>رفع شد</t>
        </is>
      </c>
      <c r="M4" s="162" t="inlineStr">
        <is>
          <t>قطبیت PROTECT_BATT به active-high اصلاح شد؛ Init یک‌بار مسیر باتری را وصل می‌کند؛ تست هاست BSP همین قطبیت را می‌سنجد</t>
        </is>
      </c>
    </row>
    <row r="5" ht="14" customHeight="1">
      <c r="A5" s="123" t="inlineStr"/>
      <c r="B5" s="123" t="inlineStr"/>
      <c r="C5" s="123" t="inlineStr"/>
      <c r="D5" s="123" t="inlineStr"/>
      <c r="E5" s="123" t="inlineStr"/>
      <c r="F5" s="123" t="inlineStr"/>
      <c r="G5" s="123" t="inlineStr"/>
      <c r="H5" s="123" t="inlineStr"/>
      <c r="I5" s="123" t="inlineStr"/>
      <c r="J5" s="123" t="inlineStr"/>
      <c r="K5" s="123" t="inlineStr"/>
      <c r="L5" s="123" t="inlineStr"/>
      <c r="M5" s="123" t="inlineStr"/>
    </row>
    <row r="6" ht="14" customHeight="1">
      <c r="A6" s="150" t="inlineStr"/>
      <c r="B6" s="150" t="inlineStr"/>
      <c r="C6" s="150" t="inlineStr"/>
      <c r="D6" s="150" t="inlineStr"/>
      <c r="E6" s="150" t="inlineStr"/>
      <c r="F6" s="150" t="inlineStr"/>
      <c r="G6" s="150" t="inlineStr"/>
      <c r="H6" s="150" t="inlineStr"/>
      <c r="I6" s="150" t="inlineStr"/>
      <c r="J6" s="150" t="inlineStr"/>
      <c r="K6" s="150" t="inlineStr"/>
      <c r="L6" s="150" t="inlineStr"/>
      <c r="M6" s="150" t="inlineStr"/>
    </row>
    <row r="7" ht="14" customHeight="1">
      <c r="A7" s="123" t="inlineStr"/>
      <c r="B7" s="123" t="inlineStr"/>
      <c r="C7" s="123" t="inlineStr"/>
      <c r="D7" s="123" t="inlineStr"/>
      <c r="E7" s="123" t="inlineStr"/>
      <c r="F7" s="123" t="inlineStr"/>
      <c r="G7" s="123" t="inlineStr"/>
      <c r="H7" s="123" t="inlineStr"/>
      <c r="I7" s="123" t="inlineStr"/>
      <c r="J7" s="123" t="inlineStr"/>
      <c r="K7" s="123" t="inlineStr"/>
      <c r="L7" s="123" t="inlineStr"/>
      <c r="M7" s="123" t="inlineStr"/>
    </row>
    <row r="8" ht="14" customHeight="1">
      <c r="A8" s="150" t="inlineStr"/>
      <c r="B8" s="150" t="inlineStr"/>
      <c r="C8" s="150" t="inlineStr"/>
      <c r="D8" s="150" t="inlineStr"/>
      <c r="E8" s="150" t="inlineStr"/>
      <c r="F8" s="150" t="inlineStr"/>
      <c r="G8" s="150" t="inlineStr"/>
      <c r="H8" s="150" t="inlineStr"/>
      <c r="I8" s="150" t="inlineStr"/>
      <c r="J8" s="150" t="inlineStr"/>
      <c r="K8" s="150" t="inlineStr"/>
      <c r="L8" s="150" t="inlineStr"/>
      <c r="M8" s="150" t="inlineStr"/>
    </row>
    <row r="9" ht="14" customHeight="1">
      <c r="A9" s="123" t="inlineStr"/>
      <c r="B9" s="123" t="inlineStr"/>
      <c r="C9" s="123" t="inlineStr"/>
      <c r="D9" s="123" t="inlineStr"/>
      <c r="E9" s="123" t="inlineStr"/>
      <c r="F9" s="123" t="inlineStr"/>
      <c r="G9" s="123" t="inlineStr"/>
      <c r="H9" s="123" t="inlineStr"/>
      <c r="I9" s="123" t="inlineStr"/>
      <c r="J9" s="123" t="inlineStr"/>
      <c r="K9" s="123" t="inlineStr"/>
      <c r="L9" s="123" t="inlineStr"/>
      <c r="M9" s="123" t="inlineStr"/>
    </row>
    <row r="10" ht="14" customHeight="1">
      <c r="A10" s="150" t="inlineStr"/>
      <c r="B10" s="150" t="inlineStr"/>
      <c r="C10" s="150" t="inlineStr"/>
      <c r="D10" s="150" t="inlineStr"/>
      <c r="E10" s="150" t="inlineStr"/>
      <c r="F10" s="150" t="inlineStr"/>
      <c r="G10" s="150" t="inlineStr"/>
      <c r="H10" s="150" t="inlineStr"/>
      <c r="I10" s="150" t="inlineStr"/>
      <c r="J10" s="150" t="inlineStr"/>
      <c r="K10" s="150" t="inlineStr"/>
      <c r="L10" s="150" t="inlineStr"/>
      <c r="M10" s="150" t="inlineStr"/>
    </row>
    <row r="11" ht="14" customHeight="1">
      <c r="A11" s="123" t="inlineStr"/>
      <c r="B11" s="123" t="inlineStr"/>
      <c r="C11" s="123" t="inlineStr"/>
      <c r="D11" s="123" t="inlineStr"/>
      <c r="E11" s="123" t="inlineStr"/>
      <c r="F11" s="123" t="inlineStr"/>
      <c r="G11" s="123" t="inlineStr"/>
      <c r="H11" s="123" t="inlineStr"/>
      <c r="I11" s="123" t="inlineStr"/>
      <c r="J11" s="123" t="inlineStr"/>
      <c r="K11" s="123" t="inlineStr"/>
      <c r="L11" s="123" t="inlineStr"/>
      <c r="M11" s="123" t="inlineStr"/>
    </row>
    <row r="12" ht="14" customHeight="1">
      <c r="A12" s="150" t="inlineStr"/>
      <c r="B12" s="150" t="inlineStr"/>
      <c r="C12" s="150" t="inlineStr"/>
      <c r="D12" s="150" t="inlineStr"/>
      <c r="E12" s="150" t="inlineStr"/>
      <c r="F12" s="150" t="inlineStr"/>
      <c r="G12" s="150" t="inlineStr"/>
      <c r="H12" s="150" t="inlineStr"/>
      <c r="I12" s="150" t="inlineStr"/>
      <c r="J12" s="150" t="inlineStr"/>
      <c r="K12" s="150" t="inlineStr"/>
      <c r="L12" s="150" t="inlineStr"/>
      <c r="M12" s="150" t="inlineStr"/>
    </row>
    <row r="13" ht="14" customHeight="1">
      <c r="A13" s="123" t="inlineStr"/>
      <c r="B13" s="123" t="inlineStr"/>
      <c r="C13" s="123" t="inlineStr"/>
      <c r="D13" s="123" t="inlineStr"/>
      <c r="E13" s="123" t="inlineStr"/>
      <c r="F13" s="123" t="inlineStr"/>
      <c r="G13" s="123" t="inlineStr"/>
      <c r="H13" s="123" t="inlineStr"/>
      <c r="I13" s="123" t="inlineStr"/>
      <c r="J13" s="123" t="inlineStr"/>
      <c r="K13" s="123" t="inlineStr"/>
      <c r="L13" s="123" t="inlineStr"/>
      <c r="M13" s="123"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37" t="inlineStr">
        <is>
          <t>تأیید نهایی اعتبارسنجی روی برد — Changeover — PB11</t>
        </is>
      </c>
    </row>
    <row r="2" ht="18" customHeight="1">
      <c r="A2" s="125" t="inlineStr">
        <is>
          <t>این صفحه فقط پس از تکمیل تست‌ها و بستن ایرادهای باز امضا شود. بدون تکمیل این صفحه، اعتبارسنجی ناقص است.</t>
        </is>
      </c>
    </row>
    <row r="3">
      <c r="A3" s="140" t="inlineStr">
        <is>
          <t>مشخصات تست</t>
        </is>
      </c>
    </row>
    <row r="4" ht="14" customHeight="1">
      <c r="A4" s="155" t="inlineStr">
        <is>
          <t>پروژه</t>
        </is>
      </c>
      <c r="B4" s="92" t="inlineStr">
        <is>
          <t>ChangeOver</t>
        </is>
      </c>
      <c r="C4" s="155" t="inlineStr">
        <is>
          <t>ماژول</t>
        </is>
      </c>
      <c r="D4" s="92" t="inlineStr">
        <is>
          <t>Changeover — PB11</t>
        </is>
      </c>
      <c r="E4" s="93" t="n"/>
      <c r="F4" s="9" t="n"/>
    </row>
    <row r="5" ht="14" customHeight="1">
      <c r="A5" s="155" t="inlineStr">
        <is>
          <t>تاریخ ساخت فرم</t>
        </is>
      </c>
      <c r="B5" s="92" t="inlineStr">
        <is>
          <t>2026-09-16 (2.1 — فیلتر 3000ms)</t>
        </is>
      </c>
      <c r="C5" s="155" t="inlineStr">
        <is>
          <t>نسخه فرم</t>
        </is>
      </c>
      <c r="D5" s="92" t="inlineStr">
        <is>
          <t>2.1 — فیلتر 3000ms</t>
        </is>
      </c>
      <c r="E5" s="93" t="n"/>
      <c r="F5" s="9" t="n"/>
    </row>
    <row r="6" ht="14" customHeight="1">
      <c r="A6" s="155" t="inlineStr">
        <is>
          <t>نسخهٔ برنامه</t>
        </is>
      </c>
      <c r="B6" s="92" t="inlineStr">
        <is>
          <t>نسخهٔ برنامهٔ فلش‌شده (تست‌کننده پر کند)</t>
        </is>
      </c>
      <c r="C6" s="155" t="inlineStr">
        <is>
          <t>شناسه برد</t>
        </is>
      </c>
      <c r="D6" s="127" t="inlineStr"/>
      <c r="E6" s="93" t="n"/>
      <c r="F6" s="9" t="n"/>
    </row>
    <row r="7" ht="14" customHeight="1">
      <c r="A7" s="155" t="inlineStr">
        <is>
          <t>تست‌کننده اصلی</t>
        </is>
      </c>
      <c r="B7" s="127" t="inlineStr"/>
      <c r="C7" s="155" t="inlineStr">
        <is>
          <t>تاریخ شروع</t>
        </is>
      </c>
      <c r="D7" s="127" t="inlineStr"/>
      <c r="E7" s="93" t="n"/>
      <c r="F7" s="9" t="n"/>
    </row>
    <row r="8" ht="14" customHeight="1">
      <c r="A8" s="155" t="inlineStr">
        <is>
          <t>تاریخ پایان</t>
        </is>
      </c>
      <c r="B8" s="127" t="inlineStr"/>
      <c r="C8" s="155" t="inlineStr">
        <is>
          <t>ابزار اندازه‌گیری</t>
        </is>
      </c>
      <c r="D8" s="151" t="inlineStr">
        <is>
          <t>منبع آزمایشگاهی + DMM + اسیلوسکوپ + تایمر RTOS</t>
        </is>
      </c>
      <c r="E8" s="93" t="n"/>
      <c r="F8" s="9" t="n"/>
    </row>
    <row r="9" ht="14" customHeight="1">
      <c r="A9" s="155" t="inlineStr">
        <is>
          <t>فرکانس تیک</t>
        </is>
      </c>
      <c r="B9" s="152" t="inlineStr">
        <is>
          <t>از osKernelGetTickFreq (قابل‌حمل)</t>
        </is>
      </c>
      <c r="C9" s="155" t="inlineStr"/>
      <c r="D9" s="127" t="inlineStr"/>
      <c r="E9" s="93" t="n"/>
      <c r="F9" s="9" t="n"/>
    </row>
    <row r="10" ht="14" customHeight="1">
      <c r="A10" s="155" t="inlineStr">
        <is>
          <t>فرکانس تیک</t>
        </is>
      </c>
      <c r="B10" s="151" t="inlineStr">
        <is>
          <t>از osKernelGetTickFreq (قابل‌حمل)</t>
        </is>
      </c>
      <c r="C10" s="155" t="inlineStr"/>
      <c r="D10" s="127" t="inlineStr"/>
      <c r="E10" s="93" t="n"/>
      <c r="F10" s="93" t="n"/>
    </row>
    <row r="11" ht="14" customHeight="1">
      <c r="A11" s="155" t="inlineStr">
        <is>
          <t>آستانه‌ها</t>
        </is>
      </c>
      <c r="B11" s="152" t="inlineStr">
        <is>
          <t>21000/20800/21200</t>
        </is>
      </c>
      <c r="C11" s="155" t="inlineStr"/>
      <c r="D11" s="127" t="inlineStr"/>
      <c r="E11" s="93" t="n"/>
      <c r="F11" s="93" t="n"/>
    </row>
    <row r="12" ht="14" customHeight="1">
      <c r="A12" s="155" t="inlineStr">
        <is>
          <t>فیلتر</t>
        </is>
      </c>
      <c r="B12" s="151" t="inlineStr">
        <is>
          <t>3000ms</t>
        </is>
      </c>
      <c r="C12" s="155" t="inlineStr"/>
      <c r="D12" s="127" t="inlineStr"/>
      <c r="E12" s="93" t="n"/>
      <c r="F12" s="93" t="n"/>
    </row>
    <row r="13" ht="14" customHeight="1">
      <c r="A13" s="155" t="inlineStr">
        <is>
          <t>مجاز pin</t>
        </is>
      </c>
      <c r="B13" s="152" t="inlineStr">
        <is>
          <t>فقط BSP_GPIO_PROTECT_BATTERY</t>
        </is>
      </c>
      <c r="C13" s="155" t="inlineStr"/>
      <c r="D13" s="127" t="inlineStr"/>
      <c r="E13" s="93" t="n"/>
      <c r="F13" s="93" t="n"/>
    </row>
    <row r="14" ht="14" customHeight="1">
      <c r="A14" s="155" t="inlineStr">
        <is>
          <t>ممنوع</t>
        </is>
      </c>
      <c r="B14" s="151" t="inlineStr">
        <is>
          <t>PB5/PB7/HAL/board_pins</t>
        </is>
      </c>
      <c r="C14" s="155" t="inlineStr"/>
      <c r="D14" s="127" t="inlineStr"/>
      <c r="E14" s="93" t="n"/>
      <c r="F14" s="93" t="n"/>
    </row>
    <row r="15">
      <c r="A15" s="140" t="inlineStr">
        <is>
          <t>خلاصه خودکار وضعیت تست‌ها (پس از تست برد پر شود)</t>
        </is>
      </c>
    </row>
    <row r="16">
      <c r="A16" s="141" t="inlineStr">
        <is>
          <t>شاخص</t>
        </is>
      </c>
      <c r="B16" s="141" t="inlineStr">
        <is>
          <t>مقدار</t>
        </is>
      </c>
      <c r="C16" s="141" t="inlineStr">
        <is>
          <t>توضیح</t>
        </is>
      </c>
      <c r="D16" s="141" t="inlineStr">
        <is>
          <t>فرمول پیشنهادی</t>
        </is>
      </c>
      <c r="E16" s="8" t="n"/>
      <c r="F16" s="9" t="n"/>
    </row>
    <row r="17" ht="13" customHeight="1">
      <c r="A17" s="153" t="inlineStr">
        <is>
          <t>تعداد کل تست‌ها</t>
        </is>
      </c>
      <c r="B17" s="128">
        <f>COUNTA('برنامه تست'!A5:A200)</f>
        <v/>
      </c>
      <c r="C17" s="152" t="inlineStr">
        <is>
          <t>کل ردیف‌های برنامه تست</t>
        </is>
      </c>
      <c r="D17" s="92" t="inlineStr"/>
      <c r="E17" s="8" t="n"/>
      <c r="F17" s="9" t="n"/>
    </row>
    <row r="18" ht="13" customHeight="1">
      <c r="A18" s="153" t="inlineStr">
        <is>
          <t>تعداد قبول (PASS)</t>
        </is>
      </c>
      <c r="B18" s="128">
        <f>COUNTIF('برنامه تست'!K5:K200,"قبول")</f>
        <v/>
      </c>
      <c r="C18" s="151" t="inlineStr">
        <is>
          <t>تعداد ردیف با وضعیت = قبول</t>
        </is>
      </c>
      <c r="D18" s="151" t="inlineStr">
        <is>
          <t>COUNTIF('برنامه تست'!K5:K200,"قبول")</t>
        </is>
      </c>
      <c r="E18" s="8" t="n"/>
      <c r="F18" s="9" t="n"/>
    </row>
    <row r="19" ht="13" customHeight="1">
      <c r="A19" s="153" t="inlineStr">
        <is>
          <t>تعداد رد (FAIL)</t>
        </is>
      </c>
      <c r="B19" s="128">
        <f>COUNTIF('برنامه تست'!K5:K200,"رد")</f>
        <v/>
      </c>
      <c r="C19" s="152" t="inlineStr">
        <is>
          <t>تعداد ردیف با وضعیت = رد</t>
        </is>
      </c>
      <c r="D19" s="152" t="inlineStr">
        <is>
          <t>COUNTIF('برنامه تست'!K5:K200,"رد")</t>
        </is>
      </c>
      <c r="E19" s="8" t="n"/>
      <c r="F19" s="9" t="n"/>
    </row>
    <row r="20" ht="13" customHeight="1">
      <c r="A20" s="153" t="inlineStr">
        <is>
          <t>تعداد در انتظار</t>
        </is>
      </c>
      <c r="B20" s="128">
        <f>COUNTIF('برنامه تست'!K5:K200,"در انتظار")</f>
        <v/>
      </c>
      <c r="C20" s="151" t="inlineStr">
        <is>
          <t>تعداد ردیف با وضعیت = در انتظار</t>
        </is>
      </c>
      <c r="D20" s="151" t="inlineStr">
        <is>
          <t>COUNTIF('برنامه تست'!K5:K200,"در انتظار")</t>
        </is>
      </c>
      <c r="E20" s="8" t="n"/>
      <c r="F20" s="9" t="n"/>
    </row>
    <row r="21" ht="13" customHeight="1">
      <c r="A21" s="153" t="inlineStr">
        <is>
          <t>تعداد مسدود</t>
        </is>
      </c>
      <c r="B21" s="128">
        <f>COUNTIF('برنامه تست'!K5:K200,"مسدود")</f>
        <v/>
      </c>
      <c r="C21" s="152" t="inlineStr">
        <is>
          <t>تعداد ردیف با وضعیت = مسدود</t>
        </is>
      </c>
      <c r="D21" s="92" t="inlineStr"/>
      <c r="E21" s="8" t="n"/>
      <c r="F21" s="9" t="n"/>
    </row>
    <row r="22" ht="13" customHeight="1">
      <c r="A22" s="153" t="inlineStr">
        <is>
          <t>نرخ قبولی</t>
        </is>
      </c>
      <c r="B22" s="128">
        <f>IF(B17=0,"",TEXT(B18/B17,"0%"))</f>
        <v/>
      </c>
      <c r="C22" s="151" t="inlineStr">
        <is>
          <t>PASS / TOTAL</t>
        </is>
      </c>
      <c r="D22" s="92" t="inlineStr"/>
      <c r="E22" s="8" t="n"/>
      <c r="F22" s="9" t="n"/>
    </row>
    <row r="23">
      <c r="A23" s="140" t="inlineStr">
        <is>
          <t>امضاها</t>
        </is>
      </c>
    </row>
    <row r="24" ht="18" customHeight="1">
      <c r="A24" s="141" t="inlineStr">
        <is>
          <t>نقش</t>
        </is>
      </c>
      <c r="B24" s="141" t="inlineStr">
        <is>
          <t>نام و نام خانوادگی</t>
        </is>
      </c>
      <c r="C24" s="141" t="inlineStr">
        <is>
          <t>تاریخ</t>
        </is>
      </c>
      <c r="D24" s="141" t="inlineStr">
        <is>
          <t>امضا</t>
        </is>
      </c>
      <c r="E24" s="141" t="inlineStr">
        <is>
          <t>توضیحات</t>
        </is>
      </c>
      <c r="F24" s="9" t="n"/>
    </row>
    <row r="25" ht="22" customHeight="1">
      <c r="A25" s="153" t="inlineStr">
        <is>
          <t>تست‌کننده</t>
        </is>
      </c>
      <c r="B25" s="92" t="inlineStr"/>
      <c r="C25" s="92" t="inlineStr"/>
      <c r="D25" s="92" t="inlineStr"/>
      <c r="E25" s="92" t="inlineStr"/>
      <c r="F25" s="9" t="n"/>
    </row>
    <row r="26" ht="22" customHeight="1">
      <c r="A26" s="153" t="inlineStr">
        <is>
          <t>بازبین فنی</t>
        </is>
      </c>
      <c r="B26" s="92" t="inlineStr"/>
      <c r="C26" s="92" t="inlineStr"/>
      <c r="D26" s="92" t="inlineStr"/>
      <c r="E26" s="92" t="inlineStr"/>
      <c r="F26" s="9" t="n"/>
    </row>
    <row r="27" ht="22" customHeight="1">
      <c r="A27" s="153" t="inlineStr">
        <is>
          <t>تأیید نهایی</t>
        </is>
      </c>
      <c r="B27" s="92" t="inlineStr"/>
      <c r="C27" s="92" t="inlineStr"/>
      <c r="D27" s="92" t="inlineStr"/>
      <c r="E27" s="92" t="inlineStr"/>
      <c r="F27" s="9" t="n"/>
    </row>
    <row r="28">
      <c r="A28" s="154"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A6A6A6"/>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140" t="inlineStr">
        <is>
          <t>وضعیت</t>
        </is>
      </c>
    </row>
    <row r="2">
      <c r="A2" s="129" t="inlineStr">
        <is>
          <t>در انتظار</t>
        </is>
      </c>
    </row>
    <row r="3">
      <c r="A3" s="129" t="inlineStr">
        <is>
          <t>انجام شد</t>
        </is>
      </c>
    </row>
    <row r="4">
      <c r="A4" s="129" t="inlineStr">
        <is>
          <t>قبول</t>
        </is>
      </c>
    </row>
    <row r="5">
      <c r="A5" s="129" t="inlineStr">
        <is>
          <t>رد</t>
        </is>
      </c>
    </row>
    <row r="6">
      <c r="A6" s="129" t="inlineStr">
        <is>
          <t>مسدود</t>
        </is>
      </c>
    </row>
    <row r="7">
      <c r="A7" s="82" t="inlineStr">
        <is>
          <t>نیاز به تکرار</t>
        </is>
      </c>
    </row>
    <row r="8" ht="14" customHeight="1">
      <c r="A8" s="140" t="inlineStr">
        <is>
          <t>اولویت</t>
        </is>
      </c>
    </row>
    <row r="9">
      <c r="A9" s="129" t="inlineStr">
        <is>
          <t>بالا</t>
        </is>
      </c>
    </row>
    <row r="10">
      <c r="A10" s="129" t="inlineStr">
        <is>
          <t>متوسط</t>
        </is>
      </c>
    </row>
    <row r="11">
      <c r="A11" s="129" t="inlineStr">
        <is>
          <t>پایین</t>
        </is>
      </c>
    </row>
    <row r="12">
      <c r="A12" s="129" t="inlineStr">
        <is>
          <t>بحرانی</t>
        </is>
      </c>
    </row>
    <row r="13">
      <c r="A13" s="82" t="n"/>
    </row>
    <row r="14" ht="14" customHeight="1">
      <c r="A14" s="140" t="inlineStr">
        <is>
          <t>دسته</t>
        </is>
      </c>
    </row>
    <row r="15">
      <c r="A15" s="129" t="inlineStr">
        <is>
          <t>BoardTest</t>
        </is>
      </c>
    </row>
    <row r="16">
      <c r="A16" s="129" t="inlineStr">
        <is>
          <t>InputOk</t>
        </is>
      </c>
    </row>
    <row r="17">
      <c r="A17" s="129" t="inlineStr">
        <is>
          <t>Charging</t>
        </is>
      </c>
    </row>
    <row r="18">
      <c r="A18" s="129" t="inlineStr">
        <is>
          <t>BatteryRun</t>
        </is>
      </c>
    </row>
    <row r="19">
      <c r="A19" s="129" t="inlineStr">
        <is>
          <t>هیسترزیس</t>
        </is>
      </c>
    </row>
    <row r="20">
      <c r="A20" s="129" t="inlineStr">
        <is>
          <t>InputOverVoltage</t>
        </is>
      </c>
    </row>
    <row r="21">
      <c r="A21" s="129" t="inlineStr">
        <is>
          <t>Snapshot</t>
        </is>
      </c>
    </row>
    <row r="22">
      <c r="A22" s="129" t="inlineStr">
        <is>
          <t>Buzzer</t>
        </is>
      </c>
    </row>
    <row r="23">
      <c r="A23" s="129" t="inlineStr">
        <is>
          <t>Measurement</t>
        </is>
      </c>
    </row>
    <row r="24">
      <c r="A24" s="129" t="inlineStr">
        <is>
          <t>Changeover</t>
        </is>
      </c>
    </row>
    <row r="25">
      <c r="A25" s="82" t="n"/>
    </row>
    <row r="26" ht="14" customHeight="1">
      <c r="A26" s="140" t="inlineStr">
        <is>
          <t>نتیجه ایراد</t>
        </is>
      </c>
    </row>
    <row r="27">
      <c r="A27" s="129" t="inlineStr">
        <is>
          <t>باز</t>
        </is>
      </c>
    </row>
    <row r="28">
      <c r="A28" s="129" t="inlineStr">
        <is>
          <t>در حال بررسی</t>
        </is>
      </c>
    </row>
    <row r="29">
      <c r="A29" s="129" t="inlineStr">
        <is>
          <t>رفع شد</t>
        </is>
      </c>
    </row>
    <row r="30">
      <c r="A30" s="129"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تغییر مسیر (Changeover)</t>
        </is>
      </c>
    </row>
    <row r="3" ht="24" customHeight="1">
      <c r="A3" s="32" t="inlineStr">
        <is>
          <t>حالت‌ها و گذارهای همین ماژول</t>
        </is>
      </c>
      <c r="B3" s="33" t="inlineStr">
        <is>
          <t>Changeover_State_Machine.xlsx</t>
        </is>
      </c>
    </row>
    <row r="4" ht="24" customHeight="1">
      <c r="A4" s="32" t="inlineStr">
        <is>
          <t>ماشین حالت کل برنامه (نمای سیستمی)</t>
        </is>
      </c>
      <c r="B4" s="33" t="inlineStr">
        <is>
          <t>../../../Documentation/System_State_Machine.xlsx</t>
        </is>
      </c>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row>
    <row r="6" ht="24" customHeight="1">
      <c r="A6" s="32" t="inlineStr">
        <is>
          <t>بازتولید</t>
        </is>
      </c>
      <c r="B6" s="3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2026-09-16T16:35:39Z</dcterms:created>
  <dcterms:modified xsi:type="dcterms:W3CDTF">2026-10-23T05:45:34Z</dcterms:modified>
</cp:coreProperties>
</file>