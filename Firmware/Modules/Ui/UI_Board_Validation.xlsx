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آزمایشگاهی" sheetId="3" state="visible" r:id="rId3"/>
    <sheet name="تست‌های برنامه‌نویسی" sheetId="4" state="visible" r:id="rId4"/>
    <sheet name="مراجع سناریو" sheetId="5" state="visible" r:id="rId5"/>
    <sheet name="ثبت ایراد" sheetId="6" state="visible" r:id="rId6"/>
    <sheet name="تأیید نهایی" sheetId="7" state="visible" r:id="rId7"/>
    <sheet name="فهرست‌ها" sheetId="8" state="visible" r:id="rId8"/>
    <sheet name="ماشین حالت" sheetId="9" state="visible" r:id="rId9"/>
  </sheets>
  <definedNames>
    <definedName name="_xlnm._FilterDatabase" localSheetId="1" hidden="1">'برنامه تست'!$A$4:$Q$67</definedName>
    <definedName name="_xlnm.Print_Titles" localSheetId="1">'برنامه تست'!$4:$4</definedName>
    <definedName name="_xlnm._FilterDatabase" localSheetId="2" hidden="1">'تست‌های آزمایشگاهی'!$A$4:$Q$9</definedName>
    <definedName name="_xlnm.Print_Titles" localSheetId="2">'تست‌های آزمایشگاهی'!$4:$4</definedName>
    <definedName name="_xlnm._FilterDatabase" localSheetId="3" hidden="1">'تست‌های برنامه‌نویسی'!$A$4:$Q$7</definedName>
    <definedName name="_xlnm.Print_Titles" localSheetId="3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64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1F4E78"/>
      <sz val="9"/>
    </font>
    <font>
      <name val="Calibri"/>
      <b val="1"/>
      <color rgb="00000000"/>
      <sz val="9"/>
    </font>
    <font>
      <name val="Calibri"/>
      <color rgb="00262626"/>
      <sz val="8"/>
    </font>
    <font>
      <sz val="8"/>
    </font>
    <font>
      <name val="Calibri"/>
      <b val="1"/>
      <color rgb="001F4E78"/>
      <sz val="8"/>
    </font>
    <font>
      <name val="Calibri"/>
      <i val="1"/>
      <color rgb="00404040"/>
      <sz val="7"/>
    </font>
    <font>
      <name val="Calibri"/>
      <b val="1"/>
      <color rgb="00FFFFFF"/>
      <sz val="9"/>
    </font>
    <font>
      <name val="Calibri"/>
      <color rgb="00262626"/>
      <sz val="7"/>
    </font>
    <font>
      <b val="1"/>
      <color rgb="009C0006"/>
      <sz val="7"/>
    </font>
    <font>
      <i val="1"/>
      <sz val="8"/>
    </font>
    <font>
      <b val="1"/>
      <sz val="8"/>
    </font>
    <font>
      <b val="1"/>
      <color rgb="00FFFFFF"/>
      <sz val="9"/>
    </font>
    <font>
      <sz val="9"/>
    </font>
    <font>
      <color rgb="00006100"/>
    </font>
    <font>
      <color rgb="009C0006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color rgb="00FFFFFF"/>
      <sz val="13"/>
    </font>
    <font>
      <name val="Tahoma"/>
      <b val="1"/>
      <color rgb="001F4E78"/>
      <sz val="9"/>
    </font>
    <font>
      <name val="Tahoma"/>
      <b val="1"/>
      <color rgb="00000000"/>
      <sz val="9"/>
    </font>
    <font>
      <name val="Tahoma"/>
      <color rgb="00262626"/>
      <sz val="8"/>
    </font>
    <font>
      <name val="Tahoma"/>
      <b val="1"/>
      <color rgb="001F4E78"/>
      <sz val="8"/>
    </font>
    <font>
      <name val="Tahoma"/>
      <color rgb="00404040"/>
      <sz val="7"/>
    </font>
    <font>
      <name val="Tahoma"/>
      <b val="1"/>
      <color rgb="00FFFFFF"/>
      <sz val="9"/>
    </font>
    <font>
      <name val="Tahoma"/>
      <color rgb="00262626"/>
      <sz val="7"/>
    </font>
    <font>
      <name val="Tahoma"/>
      <b val="1"/>
      <color rgb="009C0006"/>
      <sz val="7"/>
    </font>
    <font>
      <name val="Tahoma"/>
      <color theme="1"/>
      <sz val="11"/>
    </font>
    <font>
      <name val="Tahoma"/>
      <sz val="8"/>
    </font>
    <font>
      <name val="Tahoma"/>
      <b val="1"/>
      <sz val="8"/>
    </font>
    <font>
      <name val="Tahoma"/>
      <sz val="9"/>
    </font>
    <font>
      <name val="Tahoma"/>
      <color rgb="00006100"/>
      <sz val="10"/>
    </font>
    <font>
      <name val="Tahoma"/>
      <color rgb="009C0006"/>
      <sz val="10"/>
    </font>
    <font>
      <name val="Tahoma"/>
      <b val="1"/>
      <color rgb="00FFFFFF"/>
      <sz val="14"/>
    </font>
    <font>
      <name val="Tahoma"/>
      <b val="1"/>
      <sz val="10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  <font>
      <name val="Tahoma"/>
      <b val="1"/>
      <color rgb="000563C1"/>
      <sz val="8"/>
      <u val="single"/>
    </font>
    <font>
      <name val="Vazirmatn"/>
      <b val="1"/>
      <color rgb="00FFFFFF"/>
      <sz val="13"/>
    </font>
    <font>
      <name val="Vazirmatn"/>
      <family val="2"/>
      <color theme="1"/>
      <sz val="11"/>
      <scheme val="minor"/>
    </font>
    <font>
      <name val="Vazirmatn"/>
      <b val="1"/>
      <color rgb="001F4E78"/>
      <sz val="9"/>
    </font>
    <font>
      <name val="Vazirmatn"/>
      <b val="1"/>
      <color rgb="00FFFFFF"/>
      <sz val="11"/>
    </font>
    <font>
      <name val="Vazirmatn"/>
      <color rgb="00262626"/>
      <sz val="8"/>
    </font>
    <font>
      <name val="Vazirmatn"/>
      <b val="1"/>
      <color rgb="00000000"/>
      <sz val="9"/>
    </font>
    <font>
      <name val="Vazirmatn"/>
      <b val="1"/>
      <color rgb="001F3864"/>
      <sz val="13"/>
    </font>
    <font>
      <name val="Vazirmatn"/>
      <b val="1"/>
      <color rgb="001F4E78"/>
      <sz val="8"/>
    </font>
    <font>
      <name val="Vazirmatn"/>
      <color rgb="00404040"/>
      <sz val="7"/>
    </font>
    <font>
      <name val="Vazirmatn"/>
      <b val="1"/>
      <color rgb="00C00000"/>
      <sz val="10"/>
    </font>
    <font>
      <name val="Vazirmatn"/>
      <b val="1"/>
      <color rgb="00FFFFFF"/>
      <sz val="9"/>
    </font>
    <font>
      <name val="Vazirmatn"/>
      <sz val="8"/>
    </font>
    <font>
      <name val="Vazirmatn"/>
      <color rgb="000563C1"/>
      <sz val="8"/>
      <u val="single"/>
    </font>
    <font>
      <name val="Vazirmatn"/>
      <b val="1"/>
      <sz val="8"/>
    </font>
    <font>
      <name val="Vazirmatn"/>
      <b val="1"/>
      <color rgb="000563C1"/>
      <sz val="8"/>
      <u val="single"/>
    </font>
    <font>
      <name val="Vazirmatn"/>
      <sz val="9"/>
    </font>
    <font>
      <name val="Vazirmatn"/>
      <color rgb="00006100"/>
      <sz val="10"/>
    </font>
    <font>
      <name val="Vazirmatn"/>
      <color rgb="009C0006"/>
      <sz val="10"/>
    </font>
  </fonts>
  <fills count="17">
    <fill>
      <patternFill/>
    </fill>
    <fill>
      <patternFill patternType="gray125"/>
    </fill>
    <fill>
      <patternFill patternType="solid">
        <fgColor rgb="002F5597"/>
        <bgColor rgb="002F5597"/>
      </patternFill>
    </fill>
    <fill>
      <patternFill patternType="solid">
        <fgColor rgb="00DDEBF7"/>
        <bgColor rgb="00DDEBF7"/>
      </patternFill>
    </fill>
    <fill>
      <patternFill patternType="solid">
        <fgColor rgb="00D9E1F2"/>
        <bgColor rgb="00D9E1F2"/>
      </patternFill>
    </fill>
    <fill>
      <patternFill patternType="solid">
        <fgColor rgb="00404040"/>
        <bgColor rgb="00404040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1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1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top" wrapText="1"/>
    </xf>
    <xf numFmtId="0" fontId="5" fillId="0" borderId="1" applyAlignment="1" pivotButton="0" quotePrefix="0" xfId="0">
      <alignment wrapText="1"/>
    </xf>
    <xf numFmtId="0" fontId="6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0" fillId="5" borderId="4" pivotButton="0" quotePrefix="0" xfId="0"/>
    <xf numFmtId="0" fontId="0" fillId="5" borderId="5" pivotButton="0" quotePrefix="0" xfId="0"/>
    <xf numFmtId="0" fontId="12" fillId="0" borderId="1" applyAlignment="1" pivotButton="0" quotePrefix="0" xfId="0">
      <alignment horizontal="right" vertical="center" wrapText="1"/>
    </xf>
    <xf numFmtId="0" fontId="8" fillId="5" borderId="0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7" fillId="12" borderId="0" applyAlignment="1" pivotButton="0" quotePrefix="0" xfId="0">
      <alignment horizontal="center" vertical="center"/>
    </xf>
    <xf numFmtId="0" fontId="18" fillId="0" borderId="6" applyAlignment="1" pivotButton="0" quotePrefix="0" xfId="0">
      <alignment horizontal="right" vertical="center" wrapText="1"/>
    </xf>
    <xf numFmtId="0" fontId="19" fillId="0" borderId="6" applyAlignment="1" pivotButton="0" quotePrefix="0" xfId="0">
      <alignment horizontal="right" vertical="center" wrapText="1"/>
    </xf>
    <xf numFmtId="0" fontId="20" fillId="0" borderId="6" applyAlignment="1" pivotButton="0" quotePrefix="0" xfId="0">
      <alignment horizontal="right" vertical="center" wrapText="1"/>
    </xf>
    <xf numFmtId="0" fontId="21" fillId="2" borderId="0" applyAlignment="1" pivotButton="0" quotePrefix="0" xfId="0">
      <alignment horizontal="center" vertical="center" wrapText="1"/>
    </xf>
    <xf numFmtId="0" fontId="22" fillId="3" borderId="0" applyAlignment="1" pivotButton="0" quotePrefix="0" xfId="0">
      <alignment horizontal="center" vertical="center" wrapText="1"/>
    </xf>
    <xf numFmtId="0" fontId="40" fillId="12" borderId="7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right" vertical="top" wrapText="1"/>
    </xf>
    <xf numFmtId="0" fontId="23" fillId="4" borderId="1" applyAlignment="1" pivotButton="0" quotePrefix="0" xfId="0">
      <alignment horizontal="right" vertical="center" wrapText="1"/>
    </xf>
    <xf numFmtId="0" fontId="41" fillId="2" borderId="0" applyAlignment="1" pivotButton="0" quotePrefix="0" xfId="0">
      <alignment horizontal="center" vertical="center" wrapText="1"/>
    </xf>
    <xf numFmtId="0" fontId="25" fillId="3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center" wrapText="1"/>
    </xf>
    <xf numFmtId="0" fontId="37" fillId="13" borderId="7" applyAlignment="1" pivotButton="0" quotePrefix="0" xfId="0">
      <alignment horizontal="center" vertical="center"/>
    </xf>
    <xf numFmtId="0" fontId="39" fillId="0" borderId="7" applyAlignment="1" pivotButton="0" quotePrefix="0" xfId="0">
      <alignment horizontal="right" vertical="center" wrapText="1"/>
    </xf>
    <xf numFmtId="0" fontId="42" fillId="7" borderId="7" applyAlignment="1" pivotButton="0" quotePrefix="0" xfId="0">
      <alignment horizontal="center" vertical="center" wrapText="1"/>
    </xf>
    <xf numFmtId="0" fontId="39" fillId="0" borderId="7" applyAlignment="1" pivotButton="0" quotePrefix="0" xfId="0">
      <alignment horizontal="center" vertical="center" wrapText="1"/>
    </xf>
    <xf numFmtId="0" fontId="37" fillId="14" borderId="7" applyAlignment="1" pivotButton="0" quotePrefix="0" xfId="0">
      <alignment horizontal="center" vertical="center" wrapText="1"/>
    </xf>
    <xf numFmtId="164" fontId="39" fillId="0" borderId="7" applyAlignment="1" pivotButton="0" quotePrefix="0" xfId="0">
      <alignment horizontal="center" vertical="center" wrapText="1"/>
    </xf>
    <xf numFmtId="0" fontId="39" fillId="15" borderId="7" applyAlignment="1" pivotButton="0" quotePrefix="0" xfId="0">
      <alignment horizontal="right" vertical="center" wrapText="1"/>
    </xf>
    <xf numFmtId="0" fontId="42" fillId="15" borderId="7" applyAlignment="1" pivotButton="0" quotePrefix="0" xfId="0">
      <alignment horizontal="center" vertical="center" wrapText="1"/>
    </xf>
    <xf numFmtId="0" fontId="39" fillId="15" borderId="7" applyAlignment="1" pivotButton="0" quotePrefix="0" xfId="0">
      <alignment horizontal="center" vertical="center" wrapText="1"/>
    </xf>
    <xf numFmtId="164" fontId="39" fillId="15" borderId="7" applyAlignment="1" pivotButton="0" quotePrefix="0" xfId="0">
      <alignment horizontal="center" vertical="center" wrapText="1"/>
    </xf>
    <xf numFmtId="0" fontId="38" fillId="0" borderId="7" applyAlignment="1" pivotButton="0" quotePrefix="0" xfId="0">
      <alignment horizontal="right" vertical="center" wrapText="1"/>
    </xf>
    <xf numFmtId="0" fontId="38" fillId="15" borderId="7" applyAlignment="1" pivotButton="0" quotePrefix="0" xfId="0">
      <alignment horizontal="right" vertical="center" wrapText="1"/>
    </xf>
    <xf numFmtId="0" fontId="42" fillId="0" borderId="7" applyAlignment="1" pivotButton="0" quotePrefix="0" xfId="0">
      <alignment horizontal="center" vertical="center" wrapText="1"/>
    </xf>
    <xf numFmtId="0" fontId="37" fillId="16" borderId="7" applyAlignment="1" pivotButton="0" quotePrefix="0" xfId="0">
      <alignment horizontal="center" vertical="center" wrapText="1"/>
    </xf>
    <xf numFmtId="164" fontId="0" fillId="0" borderId="0" pivotButton="0" quotePrefix="0" xfId="0"/>
    <xf numFmtId="0" fontId="27" fillId="5" borderId="1" applyAlignment="1" pivotButton="0" quotePrefix="0" xfId="0">
      <alignment horizontal="center" vertical="center" wrapText="1"/>
    </xf>
    <xf numFmtId="0" fontId="31" fillId="8" borderId="1" applyAlignment="1" pivotButton="0" quotePrefix="0" xfId="0">
      <alignment horizontal="center" vertical="center" wrapText="1"/>
    </xf>
    <xf numFmtId="0" fontId="43" fillId="8" borderId="1" applyAlignment="1" pivotButton="0" quotePrefix="0" xfId="0">
      <alignment horizontal="center" vertical="center" wrapText="1"/>
    </xf>
    <xf numFmtId="0" fontId="31" fillId="0" borderId="1" applyAlignment="1" pivotButton="0" quotePrefix="0" xfId="0">
      <alignment horizontal="center" vertical="center" wrapText="1"/>
    </xf>
    <xf numFmtId="0" fontId="43" fillId="0" borderId="1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right" vertical="center" wrapText="1"/>
    </xf>
    <xf numFmtId="0" fontId="27" fillId="5" borderId="0" applyAlignment="1" pivotButton="0" quotePrefix="0" xfId="0">
      <alignment horizontal="center" vertical="center" wrapText="1"/>
    </xf>
    <xf numFmtId="0" fontId="33" fillId="9" borderId="1" applyAlignment="1" pivotButton="0" quotePrefix="0" xfId="0">
      <alignment horizontal="center" vertical="center" wrapText="1"/>
    </xf>
    <xf numFmtId="0" fontId="34" fillId="10" borderId="1" applyAlignment="1" pivotButton="0" quotePrefix="0" xfId="0">
      <alignment horizontal="center" vertical="center" wrapText="1"/>
    </xf>
    <xf numFmtId="0" fontId="35" fillId="11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horizontal="center" vertical="center" wrapText="1"/>
    </xf>
    <xf numFmtId="0" fontId="36" fillId="12" borderId="0" applyAlignment="1" pivotButton="0" quotePrefix="0" xfId="0">
      <alignment horizontal="center" vertical="center"/>
    </xf>
    <xf numFmtId="0" fontId="37" fillId="0" borderId="6" applyAlignment="1" pivotButton="0" quotePrefix="0" xfId="0">
      <alignment horizontal="right" vertical="center" wrapText="1"/>
    </xf>
    <xf numFmtId="0" fontId="38" fillId="0" borderId="6" applyAlignment="1" pivotButton="0" quotePrefix="0" xfId="0">
      <alignment horizontal="right" vertical="center" wrapText="1"/>
    </xf>
    <xf numFmtId="0" fontId="39" fillId="0" borderId="6" applyAlignment="1" pivotButton="0" quotePrefix="0" xfId="0">
      <alignment horizontal="right" vertical="center" wrapText="1"/>
    </xf>
    <xf numFmtId="0" fontId="0" fillId="0" borderId="10" pivotButton="0" quotePrefix="0" xfId="0"/>
    <xf numFmtId="0" fontId="0" fillId="0" borderId="11" pivotButton="0" quotePrefix="0" xfId="0"/>
    <xf numFmtId="0" fontId="41" fillId="0" borderId="0" pivotButton="0" quotePrefix="0" xfId="0"/>
    <xf numFmtId="0" fontId="39" fillId="0" borderId="0" applyAlignment="1" pivotButton="0" quotePrefix="0" xfId="0">
      <alignment vertical="center" wrapText="1"/>
    </xf>
    <xf numFmtId="0" fontId="44" fillId="13" borderId="7" applyAlignment="1" pivotButton="0" quotePrefix="0" xfId="0">
      <alignment horizontal="center" vertical="center"/>
    </xf>
    <xf numFmtId="0" fontId="45" fillId="0" borderId="1" applyAlignment="1" pivotButton="0" quotePrefix="0" xfId="0">
      <alignment horizontal="right" vertical="center" wrapText="1"/>
    </xf>
    <xf numFmtId="0" fontId="46" fillId="2" borderId="0" applyAlignment="1" pivotButton="0" quotePrefix="0" xfId="0">
      <alignment horizontal="center" vertical="center" wrapText="1"/>
    </xf>
    <xf numFmtId="0" fontId="47" fillId="0" borderId="0" pivotButton="0" quotePrefix="0" xfId="0"/>
    <xf numFmtId="0" fontId="48" fillId="3" borderId="0" applyAlignment="1" pivotButton="0" quotePrefix="0" xfId="0">
      <alignment horizontal="center" vertical="center" wrapText="1"/>
    </xf>
    <xf numFmtId="0" fontId="49" fillId="12" borderId="7" applyAlignment="1" pivotButton="0" quotePrefix="0" xfId="0">
      <alignment horizontal="center" vertical="center" wrapText="1"/>
    </xf>
    <xf numFmtId="0" fontId="47" fillId="0" borderId="10" pivotButton="0" quotePrefix="0" xfId="0"/>
    <xf numFmtId="0" fontId="47" fillId="0" borderId="11" pivotButton="0" quotePrefix="0" xfId="0"/>
    <xf numFmtId="0" fontId="50" fillId="0" borderId="1" applyAlignment="1" pivotButton="0" quotePrefix="0" xfId="0">
      <alignment horizontal="right" vertical="top" wrapText="1"/>
    </xf>
    <xf numFmtId="0" fontId="47" fillId="0" borderId="4" pivotButton="0" quotePrefix="0" xfId="0"/>
    <xf numFmtId="0" fontId="47" fillId="0" borderId="5" pivotButton="0" quotePrefix="0" xfId="0"/>
    <xf numFmtId="0" fontId="51" fillId="4" borderId="1" applyAlignment="1" pivotButton="0" quotePrefix="0" xfId="0">
      <alignment horizontal="right" vertical="center" wrapText="1"/>
    </xf>
    <xf numFmtId="0" fontId="52" fillId="2" borderId="0" applyAlignment="1" pivotButton="0" quotePrefix="0" xfId="0">
      <alignment horizontal="center" vertical="center" wrapText="1"/>
    </xf>
    <xf numFmtId="0" fontId="53" fillId="3" borderId="0" applyAlignment="1" pivotButton="0" quotePrefix="0" xfId="0">
      <alignment horizontal="center" vertical="center" wrapText="1"/>
    </xf>
    <xf numFmtId="0" fontId="54" fillId="0" borderId="0" applyAlignment="1" pivotButton="0" quotePrefix="0" xfId="0">
      <alignment horizontal="center" vertical="center" wrapText="1"/>
    </xf>
    <xf numFmtId="0" fontId="18" fillId="13" borderId="7" applyAlignment="1" pivotButton="0" quotePrefix="0" xfId="0">
      <alignment horizontal="center" vertical="center"/>
    </xf>
    <xf numFmtId="0" fontId="20" fillId="15" borderId="7" applyAlignment="1" pivotButton="0" quotePrefix="0" xfId="0">
      <alignment horizontal="right" vertical="center" wrapText="1"/>
    </xf>
    <xf numFmtId="0" fontId="55" fillId="15" borderId="7" applyAlignment="1" pivotButton="0" quotePrefix="0" xfId="0">
      <alignment horizontal="center" vertical="center" wrapText="1"/>
    </xf>
    <xf numFmtId="0" fontId="20" fillId="15" borderId="7" applyAlignment="1" pivotButton="0" quotePrefix="0" xfId="0">
      <alignment horizontal="center" vertical="center" wrapText="1"/>
    </xf>
    <xf numFmtId="0" fontId="18" fillId="14" borderId="7" applyAlignment="1" pivotButton="0" quotePrefix="0" xfId="0">
      <alignment horizontal="center" vertical="center" wrapText="1"/>
    </xf>
    <xf numFmtId="164" fontId="20" fillId="15" borderId="7" applyAlignment="1" pivotButton="0" quotePrefix="0" xfId="0">
      <alignment horizontal="center" vertical="center" wrapText="1"/>
    </xf>
    <xf numFmtId="0" fontId="20" fillId="0" borderId="7" applyAlignment="1" pivotButton="0" quotePrefix="0" xfId="0">
      <alignment horizontal="right" vertical="center" wrapText="1"/>
    </xf>
    <xf numFmtId="0" fontId="55" fillId="7" borderId="7" applyAlignment="1" pivotButton="0" quotePrefix="0" xfId="0">
      <alignment horizontal="center" vertical="center" wrapText="1"/>
    </xf>
    <xf numFmtId="0" fontId="19" fillId="0" borderId="7" applyAlignment="1" pivotButton="0" quotePrefix="0" xfId="0">
      <alignment horizontal="right" vertical="center" wrapText="1"/>
    </xf>
    <xf numFmtId="0" fontId="20" fillId="0" borderId="7" applyAlignment="1" pivotButton="0" quotePrefix="0" xfId="0">
      <alignment horizontal="center" vertical="center" wrapText="1"/>
    </xf>
    <xf numFmtId="164" fontId="20" fillId="0" borderId="7" applyAlignment="1" pivotButton="0" quotePrefix="0" xfId="0">
      <alignment horizontal="center" vertical="center" wrapText="1"/>
    </xf>
    <xf numFmtId="0" fontId="19" fillId="15" borderId="7" applyAlignment="1" pivotButton="0" quotePrefix="0" xfId="0">
      <alignment horizontal="right" vertical="center" wrapText="1"/>
    </xf>
    <xf numFmtId="0" fontId="18" fillId="16" borderId="7" applyAlignment="1" pivotButton="0" quotePrefix="0" xfId="0">
      <alignment horizontal="center" vertical="center" wrapText="1"/>
    </xf>
    <xf numFmtId="164" fontId="47" fillId="0" borderId="0" pivotButton="0" quotePrefix="0" xfId="0"/>
    <xf numFmtId="0" fontId="52" fillId="0" borderId="0" pivotButton="0" quotePrefix="0" xfId="0"/>
    <xf numFmtId="0" fontId="20" fillId="0" borderId="0" applyAlignment="1" pivotButton="0" quotePrefix="0" xfId="0">
      <alignment vertical="center" wrapText="1"/>
    </xf>
    <xf numFmtId="0" fontId="55" fillId="0" borderId="7" applyAlignment="1" pivotButton="0" quotePrefix="0" xfId="0">
      <alignment horizontal="center" vertical="center" wrapText="1"/>
    </xf>
    <xf numFmtId="0" fontId="56" fillId="5" borderId="1" applyAlignment="1" pivotButton="0" quotePrefix="0" xfId="0">
      <alignment horizontal="center" vertical="center" wrapText="1"/>
    </xf>
    <xf numFmtId="0" fontId="57" fillId="8" borderId="1" applyAlignment="1" pivotButton="0" quotePrefix="0" xfId="0">
      <alignment horizontal="center" vertical="center" wrapText="1"/>
    </xf>
    <xf numFmtId="0" fontId="58" fillId="8" borderId="1" applyAlignment="1" pivotButton="0" quotePrefix="0" xfId="0">
      <alignment horizontal="center" vertical="center" wrapText="1"/>
    </xf>
    <xf numFmtId="0" fontId="57" fillId="0" borderId="1" applyAlignment="1" pivotButton="0" quotePrefix="0" xfId="0">
      <alignment horizontal="center" vertical="center" wrapText="1"/>
    </xf>
    <xf numFmtId="0" fontId="58" fillId="0" borderId="1" applyAlignment="1" pivotButton="0" quotePrefix="0" xfId="0">
      <alignment horizontal="center" vertical="center" wrapText="1"/>
    </xf>
    <xf numFmtId="0" fontId="57" fillId="0" borderId="0" applyAlignment="1" pivotButton="0" quotePrefix="0" xfId="0">
      <alignment horizontal="center" vertical="center" wrapText="1"/>
    </xf>
    <xf numFmtId="0" fontId="47" fillId="8" borderId="1" applyAlignment="1" pivotButton="0" quotePrefix="0" xfId="0">
      <alignment horizontal="center" vertical="center" wrapText="1"/>
    </xf>
    <xf numFmtId="0" fontId="47" fillId="0" borderId="1" applyAlignment="1" pivotButton="0" quotePrefix="0" xfId="0">
      <alignment horizontal="center" vertical="center" wrapText="1"/>
    </xf>
    <xf numFmtId="0" fontId="59" fillId="0" borderId="1" applyAlignment="1" pivotButton="0" quotePrefix="0" xfId="0">
      <alignment horizontal="right" vertical="center" wrapText="1"/>
    </xf>
    <xf numFmtId="0" fontId="60" fillId="0" borderId="1" applyAlignment="1" pivotButton="0" quotePrefix="0" xfId="0">
      <alignment horizontal="right" vertical="center" wrapText="1"/>
    </xf>
    <xf numFmtId="0" fontId="56" fillId="5" borderId="0" applyAlignment="1" pivotButton="0" quotePrefix="0" xfId="0">
      <alignment horizontal="center" vertical="center" wrapText="1"/>
    </xf>
    <xf numFmtId="0" fontId="61" fillId="9" borderId="1" applyAlignment="1" pivotButton="0" quotePrefix="0" xfId="0">
      <alignment horizontal="center" vertical="center" wrapText="1"/>
    </xf>
    <xf numFmtId="0" fontId="62" fillId="10" borderId="1" applyAlignment="1" pivotButton="0" quotePrefix="0" xfId="0">
      <alignment horizontal="center" vertical="center" wrapText="1"/>
    </xf>
    <xf numFmtId="0" fontId="63" fillId="11" borderId="1" applyAlignment="1" pivotButton="0" quotePrefix="0" xfId="0">
      <alignment horizontal="center" vertical="center" wrapText="1"/>
    </xf>
    <xf numFmtId="0" fontId="61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../../Config/Inc/board_pins.h" TargetMode="External" Id="rId1" /><Relationship Type="http://schemas.openxmlformats.org/officeDocument/2006/relationships/hyperlink" Target="../../Config/Inc/board_pins.h" TargetMode="External" Id="rId2" /><Relationship Type="http://schemas.openxmlformats.org/officeDocument/2006/relationships/hyperlink" Target="../../Config/Inc/board_pins.h" TargetMode="External" Id="rId3" /></Relationships>
</file>

<file path=xl/worksheets/_rels/sheet9.xml.rels><Relationships xmlns="http://schemas.openxmlformats.org/package/2006/relationships"><Relationship Type="http://schemas.openxmlformats.org/officeDocument/2006/relationships/hyperlink" Target="Ui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P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</cols>
  <sheetData>
    <row r="1" ht="22" customHeight="1">
      <c r="A1" s="79" t="inlineStr">
        <is>
          <t>برگه تست و اعتبارسنجی عملی ماژول UI — BatteryRun 2%+0/1, Charging 5%, InputOk 100/95</t>
        </is>
      </c>
      <c r="B1" s="80" t="n"/>
      <c r="C1" s="80" t="n"/>
      <c r="D1" s="80" t="n"/>
      <c r="E1" s="80" t="n"/>
      <c r="F1" s="80" t="n"/>
      <c r="G1" s="80" t="n"/>
      <c r="H1" s="80" t="n"/>
      <c r="I1" s="80" t="n"/>
      <c r="J1" s="80" t="n"/>
      <c r="K1" s="80" t="n"/>
      <c r="L1" s="80" t="n"/>
      <c r="M1" s="80" t="n"/>
      <c r="N1" s="80" t="n"/>
      <c r="O1" s="80" t="n"/>
      <c r="P1" s="80" t="n"/>
    </row>
    <row r="2">
      <c r="A2" s="81" t="inlineStr">
        <is>
          <t>PA3/ADC1_IN3/raw2/v_bat24 → BatteryRun/Charging | PA2/ADC1_IN2/raw1/v_in → ورودی | PB4 EXTI | PB5 Q1 | PB11 Q17</t>
        </is>
      </c>
      <c r="B2" s="80" t="n"/>
      <c r="C2" s="80" t="n"/>
      <c r="D2" s="80" t="n"/>
      <c r="E2" s="80" t="n"/>
      <c r="F2" s="80" t="n"/>
      <c r="G2" s="80" t="n"/>
      <c r="H2" s="80" t="n"/>
      <c r="I2" s="80" t="n"/>
      <c r="J2" s="80" t="n"/>
      <c r="K2" s="80" t="n"/>
      <c r="L2" s="80" t="n"/>
      <c r="M2" s="80" t="n"/>
      <c r="N2" s="80" t="n"/>
      <c r="O2" s="80" t="n"/>
      <c r="P2" s="80" t="n"/>
    </row>
    <row r="3" ht="30" customHeight="1">
      <c r="A3" s="82" t="inlineStr">
        <is>
          <t>هدف فایل</t>
        </is>
      </c>
      <c r="B3" s="83" t="n"/>
      <c r="C3" s="83" t="n"/>
      <c r="D3" s="83" t="n"/>
      <c r="E3" s="83" t="n"/>
      <c r="F3" s="83" t="n"/>
      <c r="G3" s="83" t="n"/>
      <c r="H3" s="83" t="n"/>
      <c r="I3" s="83" t="n"/>
      <c r="J3" s="83" t="n"/>
      <c r="K3" s="83" t="n"/>
      <c r="L3" s="83" t="n"/>
      <c r="M3" s="83" t="n"/>
      <c r="N3" s="83" t="n"/>
      <c r="O3" s="83" t="n"/>
      <c r="P3" s="84" t="n"/>
    </row>
    <row r="4" ht="28" customHeight="1">
      <c r="A4" s="85" t="inlineStr">
        <is>
          <t>ولیدیشن UI با snapshot واقعی: BatteryRun هیسترزیس 2%+0/1، Charging هیسترزیس 5%، فول InputOk 100/95، حفظ فاز سبز/زرد، non-blocking.</t>
        </is>
      </c>
      <c r="B4" s="86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7" t="n"/>
    </row>
    <row r="5" ht="14" customHeight="1">
      <c r="A5" s="88" t="inlineStr">
        <is>
          <t>منبع و mapping</t>
        </is>
      </c>
      <c r="B5" s="86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7" t="n"/>
    </row>
    <row r="6" ht="28" customHeight="1">
      <c r="A6" s="85" t="inlineStr">
        <is>
          <t>PA3 پایه13 ADC1_IN3 → BSP_ADC_CHANNEL_24V_BAT 2 → raw2 → v_bat24_mv → UI (PA3 فقط v_bat). PA2 پایه12 ADC1_IN2 → 1 → raw1 → v_in_mv → ورودی. PB4 EXTI، PB5 Q1 McuPowerPath، PB11 Q17 Changeover بدون تغییر.</t>
        </is>
      </c>
      <c r="B6" s="86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7" t="n"/>
    </row>
    <row r="7" ht="14" customHeight="1">
      <c r="A7" s="88" t="inlineStr">
        <is>
          <t>BatteryRun 2%+0/1</t>
        </is>
      </c>
      <c r="B7" s="86" t="n"/>
      <c r="C7" s="86" t="n"/>
      <c r="D7" s="86" t="n"/>
      <c r="E7" s="86" t="n"/>
      <c r="F7" s="86" t="n"/>
      <c r="G7" s="86" t="n"/>
      <c r="H7" s="86" t="n"/>
      <c r="I7" s="86" t="n"/>
      <c r="J7" s="86" t="n"/>
      <c r="K7" s="86" t="n"/>
      <c r="L7" s="86" t="n"/>
      <c r="M7" s="86" t="n"/>
      <c r="N7" s="86" t="n"/>
      <c r="O7" s="86" t="n"/>
      <c r="P7" s="87" t="n"/>
    </row>
    <row r="8" ht="28" customHeight="1">
      <c r="A8" s="85" t="inlineStr">
        <is>
          <t>stable57 raw56→57 حفظ، 58→57 حفظ، 55→55 تغییر، 59→59 تغییر. stable0 تا raw&gt;=2 روی 0 سپس →1، stable1: raw0→0 &gt;=3→2 else 1. ثابت‌ها: RUN_HYSTERESIS 2, ZERO_EXIT 2, ONE_EXIT 3.</t>
        </is>
      </c>
      <c r="B8" s="86" t="n"/>
      <c r="C8" s="86" t="n"/>
      <c r="D8" s="86" t="n"/>
      <c r="E8" s="86" t="n"/>
      <c r="F8" s="86" t="n"/>
      <c r="G8" s="86" t="n"/>
      <c r="H8" s="86" t="n"/>
      <c r="I8" s="86" t="n"/>
      <c r="J8" s="86" t="n"/>
      <c r="K8" s="86" t="n"/>
      <c r="L8" s="86" t="n"/>
      <c r="M8" s="86" t="n"/>
      <c r="N8" s="86" t="n"/>
      <c r="O8" s="86" t="n"/>
      <c r="P8" s="87" t="n"/>
    </row>
    <row r="9" ht="14" customHeight="1">
      <c r="A9" s="88" t="inlineStr">
        <is>
          <t>Charging 5%</t>
        </is>
      </c>
      <c r="B9" s="86" t="n"/>
      <c r="C9" s="86" t="n"/>
      <c r="D9" s="86" t="n"/>
      <c r="E9" s="86" t="n"/>
      <c r="F9" s="86" t="n"/>
      <c r="G9" s="86" t="n"/>
      <c r="H9" s="86" t="n"/>
      <c r="I9" s="86" t="n"/>
      <c r="J9" s="86" t="n"/>
      <c r="K9" s="86" t="n"/>
      <c r="L9" s="86" t="n"/>
      <c r="M9" s="86" t="n"/>
      <c r="N9" s="86" t="n"/>
      <c r="O9" s="86" t="n"/>
      <c r="P9" s="87" t="n"/>
    </row>
    <row r="10" ht="28" customHeight="1">
      <c r="A10" s="85" t="inlineStr">
        <is>
          <t>chargingStable57 raw53..61 حفظ (diff&lt;5)، خارج 52/62→change. زمان زرد remaining=100-stable5% . مثال 25V jitter بی‌اثر. ثابت: CHARGING_HYSTERESIS 5.</t>
        </is>
      </c>
      <c r="B10" s="86" t="n"/>
      <c r="C10" s="86" t="n"/>
      <c r="D10" s="86" t="n"/>
      <c r="E10" s="86" t="n"/>
      <c r="F10" s="86" t="n"/>
      <c r="G10" s="86" t="n"/>
      <c r="H10" s="86" t="n"/>
      <c r="I10" s="86" t="n"/>
      <c r="J10" s="86" t="n"/>
      <c r="K10" s="86" t="n"/>
      <c r="L10" s="86" t="n"/>
      <c r="M10" s="86" t="n"/>
      <c r="N10" s="86" t="n"/>
      <c r="O10" s="86" t="n"/>
      <c r="P10" s="87" t="n"/>
    </row>
    <row r="11" ht="14" customHeight="1">
      <c r="A11" s="88" t="inlineStr">
        <is>
          <t>فول InputOk/Charging 100/95</t>
        </is>
      </c>
      <c r="B11" s="86" t="n"/>
      <c r="C11" s="86" t="n"/>
      <c r="D11" s="86" t="n"/>
      <c r="E11" s="86" t="n"/>
      <c r="F11" s="86" t="n"/>
      <c r="G11" s="86" t="n"/>
      <c r="H11" s="86" t="n"/>
      <c r="I11" s="86" t="n"/>
      <c r="J11" s="86" t="n"/>
      <c r="K11" s="86" t="n"/>
      <c r="L11" s="86" t="n"/>
      <c r="M11" s="86" t="n"/>
      <c r="N11" s="86" t="n"/>
      <c r="O11" s="86" t="n"/>
      <c r="P11" s="87" t="n"/>
    </row>
    <row r="12" ht="28" customHeight="1">
      <c r="A12" s="85" t="inlineStr">
        <is>
          <t>ورود InputOk فقط وقتی خام به 100 برسد؛ ماندن تا خام&lt;95 سپس Charging. جلوگیری پرش 28V. ثابت‌ها: FULL_ENTER 100, FULL_EXIT 95.</t>
        </is>
      </c>
      <c r="B12" s="86" t="n"/>
      <c r="C12" s="86" t="n"/>
      <c r="D12" s="86" t="n"/>
      <c r="E12" s="86" t="n"/>
      <c r="F12" s="86" t="n"/>
      <c r="G12" s="86" t="n"/>
      <c r="H12" s="86" t="n"/>
      <c r="I12" s="86" t="n"/>
      <c r="J12" s="86" t="n"/>
      <c r="K12" s="86" t="n"/>
      <c r="L12" s="86" t="n"/>
      <c r="M12" s="86" t="n"/>
      <c r="N12" s="86" t="n"/>
      <c r="O12" s="86" t="n"/>
      <c r="P12" s="87" t="n"/>
    </row>
    <row r="13" ht="14" customHeight="1">
      <c r="A13" s="88" t="inlineStr">
        <is>
          <t>حفظ فاز</t>
        </is>
      </c>
      <c r="B13" s="86" t="n"/>
      <c r="C13" s="86" t="n"/>
      <c r="D13" s="86" t="n"/>
      <c r="E13" s="86" t="n"/>
      <c r="F13" s="86" t="n"/>
      <c r="G13" s="86" t="n"/>
      <c r="H13" s="86" t="n"/>
      <c r="I13" s="86" t="n"/>
      <c r="J13" s="86" t="n"/>
      <c r="K13" s="86" t="n"/>
      <c r="L13" s="86" t="n"/>
      <c r="M13" s="86" t="n"/>
      <c r="N13" s="86" t="n"/>
      <c r="O13" s="86" t="n"/>
      <c r="P13" s="87" t="n"/>
    </row>
    <row r="14" ht="28" customHeight="1">
      <c r="A14" s="85" t="inlineStr">
        <is>
          <t>تغییر stable فاز reset نکند؛ زمان جدید از مرز بعدی. فقط ورود/خروج سناریو یا invalid/NULL ریست کامل. سبز BatteryRun و زرد Charging هرکدام phase/OnMs/OffMs/startTick مستقل.</t>
        </is>
      </c>
      <c r="B14" s="86" t="n"/>
      <c r="C14" s="86" t="n"/>
      <c r="D14" s="86" t="n"/>
      <c r="E14" s="86" t="n"/>
      <c r="F14" s="86" t="n"/>
      <c r="G14" s="86" t="n"/>
      <c r="H14" s="86" t="n"/>
      <c r="I14" s="86" t="n"/>
      <c r="J14" s="86" t="n"/>
      <c r="K14" s="86" t="n"/>
      <c r="L14" s="86" t="n"/>
      <c r="M14" s="86" t="n"/>
      <c r="N14" s="86" t="n"/>
      <c r="O14" s="86" t="n"/>
      <c r="P14" s="87" t="n"/>
    </row>
    <row r="15" ht="14" customHeight="1">
      <c r="A15" s="88" t="inlineStr">
        <is>
          <t>غیرمسدودکننده</t>
        </is>
      </c>
      <c r="B15" s="86" t="n"/>
      <c r="C15" s="86" t="n"/>
      <c r="D15" s="86" t="n"/>
      <c r="E15" s="86" t="n"/>
      <c r="F15" s="86" t="n"/>
      <c r="G15" s="86" t="n"/>
      <c r="H15" s="86" t="n"/>
      <c r="I15" s="86" t="n"/>
      <c r="J15" s="86" t="n"/>
      <c r="K15" s="86" t="n"/>
      <c r="L15" s="86" t="n"/>
      <c r="M15" s="86" t="n"/>
      <c r="N15" s="86" t="n"/>
      <c r="O15" s="86" t="n"/>
      <c r="P15" s="87" t="n"/>
    </row>
    <row r="16" ht="28" customHeight="1">
      <c r="A16" s="85" t="inlineStr">
        <is>
          <t>InputOk و Charging قبلاً delay 500ms/1s داشتند → اکنون فاز-محور بدون delay داخل سناریو؛ Ui_Tick &lt;1ms، 10ms loop، starvation ندارد. BoardTest یک‌بار init.</t>
        </is>
      </c>
      <c r="B16" s="86" t="n"/>
      <c r="C16" s="86" t="n"/>
      <c r="D16" s="86" t="n"/>
      <c r="E16" s="86" t="n"/>
      <c r="F16" s="86" t="n"/>
      <c r="G16" s="86" t="n"/>
      <c r="H16" s="86" t="n"/>
      <c r="I16" s="86" t="n"/>
      <c r="J16" s="86" t="n"/>
      <c r="K16" s="86" t="n"/>
      <c r="L16" s="86" t="n"/>
      <c r="M16" s="86" t="n"/>
      <c r="N16" s="86" t="n"/>
      <c r="O16" s="86" t="n"/>
      <c r="P16" s="87" t="n"/>
    </row>
    <row r="17" ht="14" customHeight="1">
      <c r="A17" s="88" t="inlineStr">
        <is>
          <t>RTOS و حافظه</t>
        </is>
      </c>
      <c r="B17" s="86" t="n"/>
      <c r="C17" s="86" t="n"/>
      <c r="D17" s="86" t="n"/>
      <c r="E17" s="86" t="n"/>
      <c r="F17" s="86" t="n"/>
      <c r="G17" s="86" t="n"/>
      <c r="H17" s="86" t="n"/>
      <c r="I17" s="86" t="n"/>
      <c r="J17" s="86" t="n"/>
      <c r="K17" s="86" t="n"/>
      <c r="L17" s="86" t="n"/>
      <c r="M17" s="86" t="n"/>
      <c r="N17" s="86" t="n"/>
      <c r="O17" s="86" t="n"/>
      <c r="P17" s="87" t="n"/>
    </row>
    <row r="18" ht="28" customHeight="1">
      <c r="A18" s="85" t="inlineStr">
        <is>
          <t>static cb/stack، DYNAMIC 0، word/byte (128/192/256 →512/768/1024B)، high-water، بدون queue/timer/mutex جدید برای hysteresis، Measurement_GetSnapshot کپی ایمن.</t>
        </is>
      </c>
      <c r="B18" s="86" t="n"/>
      <c r="C18" s="86" t="n"/>
      <c r="D18" s="86" t="n"/>
      <c r="E18" s="86" t="n"/>
      <c r="F18" s="86" t="n"/>
      <c r="G18" s="86" t="n"/>
      <c r="H18" s="86" t="n"/>
      <c r="I18" s="86" t="n"/>
      <c r="J18" s="86" t="n"/>
      <c r="K18" s="86" t="n"/>
      <c r="L18" s="86" t="n"/>
      <c r="M18" s="86" t="n"/>
      <c r="N18" s="86" t="n"/>
      <c r="O18" s="86" t="n"/>
      <c r="P18" s="87" t="n"/>
    </row>
  </sheetData>
  <mergeCells count="18">
    <mergeCell ref="A11:P11"/>
    <mergeCell ref="A10:P10"/>
    <mergeCell ref="A5:P5"/>
    <mergeCell ref="A13:P13"/>
    <mergeCell ref="A14:P14"/>
    <mergeCell ref="A1:P1"/>
    <mergeCell ref="A17:P17"/>
    <mergeCell ref="A9:P9"/>
    <mergeCell ref="A18:P18"/>
    <mergeCell ref="A8:P8"/>
    <mergeCell ref="A6:P6"/>
    <mergeCell ref="A12:P12"/>
    <mergeCell ref="A4:P4"/>
    <mergeCell ref="A3:P3"/>
    <mergeCell ref="A16:P16"/>
    <mergeCell ref="A15:P15"/>
    <mergeCell ref="A7:P7"/>
    <mergeCell ref="A2:P2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71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 ht="20" customHeight="1">
      <c r="A1" s="89" t="inlineStr">
        <is>
          <t>برنامهٔ تست عملی — UI 2.2 (BatteryRun 2%+0/1, Charging 5%, Full 100/95, فاز preserve, non-blocking)</t>
        </is>
      </c>
      <c r="B1" s="80" t="n"/>
      <c r="C1" s="80" t="n"/>
      <c r="D1" s="80" t="n"/>
      <c r="E1" s="80" t="n"/>
      <c r="F1" s="80" t="n"/>
      <c r="G1" s="80" t="n"/>
      <c r="H1" s="80" t="n"/>
      <c r="I1" s="80" t="n"/>
      <c r="J1" s="80" t="n"/>
      <c r="K1" s="80" t="n"/>
      <c r="L1" s="80" t="n"/>
      <c r="M1" s="80" t="n"/>
      <c r="N1" s="80" t="n"/>
      <c r="O1" s="80" t="n"/>
      <c r="P1" s="80" t="n"/>
      <c r="Q1" s="80" t="n"/>
    </row>
    <row r="2">
      <c r="A2" s="90" t="inlineStr">
        <is>
          <t>ورودی mV، درصد 0-100، زمان ms. BatteryRun PA3 stable2%، Charging PA3 stable5% و زرد، Full 100/95 با raw.</t>
        </is>
      </c>
      <c r="B2" s="80" t="n"/>
      <c r="C2" s="80" t="n"/>
      <c r="D2" s="80" t="n"/>
      <c r="E2" s="80" t="n"/>
      <c r="F2" s="80" t="n"/>
      <c r="G2" s="80" t="n"/>
      <c r="H2" s="80" t="n"/>
      <c r="I2" s="80" t="n"/>
      <c r="J2" s="80" t="n"/>
      <c r="K2" s="80" t="n"/>
      <c r="L2" s="80" t="n"/>
      <c r="M2" s="80" t="n"/>
      <c r="N2" s="80" t="n"/>
      <c r="O2" s="80" t="n"/>
      <c r="P2" s="80" t="n"/>
      <c r="Q2" s="80" t="n"/>
    </row>
    <row r="3">
      <c r="A3" s="91" t="inlineStr">
        <is>
          <t>هر ردیف: snapshot.valid, v_bat/v_in, raw/stable, ورودی present/overvoltage, فاز LED/بوق با اسکوپ 10ms. InputOk/Charging سریع برگردد.</t>
        </is>
      </c>
      <c r="B3" s="80" t="n"/>
      <c r="C3" s="80" t="n"/>
      <c r="D3" s="80" t="n"/>
      <c r="E3" s="80" t="n"/>
      <c r="F3" s="80" t="n"/>
      <c r="G3" s="80" t="n"/>
      <c r="H3" s="80" t="n"/>
      <c r="I3" s="80" t="n"/>
      <c r="J3" s="80" t="n"/>
      <c r="K3" s="80" t="n"/>
      <c r="L3" s="80" t="n"/>
      <c r="M3" s="80" t="n"/>
      <c r="N3" s="80" t="n"/>
      <c r="O3" s="80" t="n"/>
      <c r="P3" s="80" t="n"/>
      <c r="Q3" s="80" t="n"/>
    </row>
    <row r="4" ht="30" customHeight="1">
      <c r="A4" s="82" t="inlineStr">
        <is>
          <t>شناسه</t>
        </is>
      </c>
      <c r="B4" s="82" t="inlineStr">
        <is>
          <t>دسته</t>
        </is>
      </c>
      <c r="C4" s="82" t="inlineStr">
        <is>
          <t>اولویت</t>
        </is>
      </c>
      <c r="D4" s="82" t="inlineStr">
        <is>
          <t>پیش‌شرط</t>
        </is>
      </c>
      <c r="E4" s="82" t="inlineStr">
        <is>
          <t>روش اجرای دقیق</t>
        </is>
      </c>
      <c r="F4" s="82" t="inlineStr">
        <is>
          <t>ورودی‌ها / شرایط</t>
        </is>
      </c>
      <c r="G4" s="82" t="inlineStr">
        <is>
          <t>مدت مشاهده</t>
        </is>
      </c>
      <c r="H4" s="82" t="inlineStr">
        <is>
          <t>LED/بوق — انتظار</t>
        </is>
      </c>
      <c r="I4" s="82" t="inlineStr">
        <is>
          <t>فاز چشمک — انتظار</t>
        </is>
      </c>
      <c r="J4" s="82" t="inlineStr">
        <is>
          <t>معیار قبولی</t>
        </is>
      </c>
      <c r="K4" s="82" t="inlineStr">
        <is>
          <t>نتیجه واقعی</t>
        </is>
      </c>
      <c r="L4" s="82" t="inlineStr">
        <is>
          <t>وضعیت</t>
        </is>
      </c>
      <c r="M4" s="82" t="inlineStr">
        <is>
          <t>شرح ایراد</t>
        </is>
      </c>
      <c r="N4" s="82" t="inlineStr">
        <is>
          <t>مدرک تست</t>
        </is>
      </c>
      <c r="O4" s="82" t="inlineStr">
        <is>
          <t>commit</t>
        </is>
      </c>
      <c r="P4" s="82" t="inlineStr">
        <is>
          <t>تست‌کننده</t>
        </is>
      </c>
      <c r="Q4" s="82" t="inlineStr">
        <is>
          <t>تاریخ</t>
        </is>
      </c>
    </row>
    <row r="5" ht="54" customHeight="1">
      <c r="A5" s="92" t="inlineStr">
        <is>
          <t>UI-002</t>
        </is>
      </c>
      <c r="B5" s="93" t="inlineStr">
        <is>
          <t>BatteryRun 2% 56/57/58</t>
        </is>
      </c>
      <c r="C5" s="94" t="inlineStr">
        <is>
          <t>بالا</t>
        </is>
      </c>
      <c r="D5" s="93" t="inlineStr">
        <is>
          <t>دستگاه فقط روی باتری کار می‌کند (برق شهر قطع)؛ به‌جای باتری یک منبع آزمایشگاهی ۲۴ ولت گذاشته‌ای و درصد حدود نصف است</t>
        </is>
      </c>
      <c r="E5" s="93" t="inlineStr">
        <is>
          <t>گام ۱: منبع را آن‌قدر تنظیم کن که درصد باتری حدود ۵۷ شود و چشمک سبز جا بیفتد.
گام ۲: ولتاژ منبع را خیلی کم بالا و پایین کن، در حدی که درصد بین ۵۶ و ۵۸ بازی کند.
گام ۳: یک دقیقه فقط به چراغ سبز نگاه کن.</t>
        </is>
      </c>
      <c r="F5" s="95" t="inlineStr">
        <is>
          <t>لرزش کوچک ولتاژ باتری دور درصد ۵۷</t>
        </is>
      </c>
      <c r="G5" s="95" t="inlineStr">
        <is>
          <t>یک دقیقه</t>
        </is>
      </c>
      <c r="H5" s="93" t="inlineStr">
        <is>
          <t>چشمک سبز با همان ریتم قبلی ادامه می‌دهد؛ نه تند و کند می‌شود نه از اول شروع می‌شود</t>
        </is>
      </c>
      <c r="I5" s="93" t="inlineStr">
        <is>
          <t>ریتم ثابت و بی‌پرش</t>
        </is>
      </c>
      <c r="J5" s="93" t="inlineStr">
        <is>
          <t>ریتم ثابت بماند = قبول؛ پریدن یا عوض‌شدن ریتم با هر تغییر کوچک = رد</t>
        </is>
      </c>
      <c r="K5" s="93" t="inlineStr"/>
      <c r="L5" s="96" t="inlineStr">
        <is>
          <t>در انتظار</t>
        </is>
      </c>
      <c r="M5" s="93" t="inlineStr"/>
      <c r="N5" s="93" t="inlineStr"/>
      <c r="O5" s="95" t="inlineStr"/>
      <c r="P5" s="95" t="inlineStr"/>
      <c r="Q5" s="97">
        <f>IF(OR(L6="",L6="در انتظار"),"",IF(Q6="",TODAY(),Q6))</f>
        <v/>
      </c>
    </row>
    <row r="6" ht="54" customHeight="1">
      <c r="A6" s="92" t="inlineStr">
        <is>
          <t>UI-003</t>
        </is>
      </c>
      <c r="B6" s="98" t="inlineStr">
        <is>
          <t>BatteryRun 57→55</t>
        </is>
      </c>
      <c r="C6" s="99" t="inlineStr">
        <is>
          <t>بالا</t>
        </is>
      </c>
      <c r="D6" s="100" t="inlineStr">
        <is>
          <t>ادامهٔ UI-002؛ درصد حدود ۵۷ و چشمک سبز جا افتاده</t>
        </is>
      </c>
      <c r="E6" s="98" t="inlineStr">
        <is>
          <t>گام ۱: ولتاژ منبع را آرام پایین بیاور تا درصد به حدود ۵۵ برسد.
گام ۲: دست نگه دار و چند ثانیه صبر کن تا درصد ثابت شود.
گام ۳: ریتم تازهٔ سبز را با ریتم قبلی مقایسه کن.</t>
        </is>
      </c>
      <c r="F6" s="101" t="inlineStr">
        <is>
          <t>کم‌کردن آرام ولتاژ باتری تا درصد ۵۵</t>
        </is>
      </c>
      <c r="G6" s="101" t="inlineStr">
        <is>
          <t>نیم دقیقه</t>
        </is>
      </c>
      <c r="H6" s="98" t="inlineStr">
        <is>
          <t>درصد روی ۵۵ می‌ایستد و چشمک سبز کمی تندتر می‌شود (خاموشی‌اش بیشتر از قبل)</t>
        </is>
      </c>
      <c r="I6" s="100" t="inlineStr">
        <is>
          <t>تندتر از UI-002، بدون پرش ناگهانی</t>
        </is>
      </c>
      <c r="J6" s="98" t="inlineStr">
        <is>
          <t>پایدار روی ۵۵ با ریتم تندتر = قبول؛ ماندن روی ۵۷ = رد</t>
        </is>
      </c>
      <c r="K6" s="98" t="inlineStr"/>
      <c r="L6" s="96" t="inlineStr">
        <is>
          <t>در انتظار</t>
        </is>
      </c>
      <c r="M6" s="98" t="inlineStr"/>
      <c r="N6" s="98" t="inlineStr"/>
      <c r="O6" s="101" t="inlineStr"/>
      <c r="P6" s="101" t="inlineStr"/>
      <c r="Q6" s="102">
        <f>IF(OR(L7="",L7="در انتظار"),"",IF(Q7="",TODAY(),Q7))</f>
        <v/>
      </c>
    </row>
    <row r="7" ht="54" customHeight="1">
      <c r="A7" s="92" t="inlineStr">
        <is>
          <t>UI-004</t>
        </is>
      </c>
      <c r="B7" s="93" t="inlineStr">
        <is>
          <t>BatteryRun 57→59</t>
        </is>
      </c>
      <c r="C7" s="94" t="inlineStr">
        <is>
          <t>بالا</t>
        </is>
      </c>
      <c r="D7" s="103" t="inlineStr">
        <is>
          <t>ادامهٔ UI-002؛ درصد حدود ۵۷ و چشمک سبز جا افتاده</t>
        </is>
      </c>
      <c r="E7" s="93" t="inlineStr">
        <is>
          <t>گام ۱: ولتاژ منبع را آرام بالا ببر تا درصد به حدود ۵۹ برسد.
گام ۲: دست نگه دار و چند ثانیه صبر کن تا درصد ثابت شود.
گام ۳: ریتم تازهٔ سبز را با ریتم قبلی مقایسه کن.</t>
        </is>
      </c>
      <c r="F7" s="95" t="inlineStr">
        <is>
          <t>بالابردن آرام ولتاژ باتری تا درصد ۵۹</t>
        </is>
      </c>
      <c r="G7" s="95" t="inlineStr">
        <is>
          <t>نیم دقیقه</t>
        </is>
      </c>
      <c r="H7" s="93" t="inlineStr">
        <is>
          <t>درصد روی ۵۹ می‌ایستد و چشمک سبز کمی کندتر می‌شود (روشن بودنش بیشتر از قبل)</t>
        </is>
      </c>
      <c r="I7" s="103" t="inlineStr">
        <is>
          <t>کندتر از UI-002، بدون پرش ناگهانی</t>
        </is>
      </c>
      <c r="J7" s="93" t="inlineStr">
        <is>
          <t>پایدار روی ۵۹ با ریتم کندتر = قبول؛ ماندن روی ۵۷ = رد</t>
        </is>
      </c>
      <c r="K7" s="93" t="inlineStr"/>
      <c r="L7" s="96" t="inlineStr">
        <is>
          <t>در انتظار</t>
        </is>
      </c>
      <c r="M7" s="93" t="inlineStr"/>
      <c r="N7" s="93" t="inlineStr"/>
      <c r="O7" s="95" t="inlineStr"/>
      <c r="P7" s="95" t="inlineStr"/>
      <c r="Q7" s="97">
        <f>IF(OR(L8="",L8="در انتظار"),"",IF(Q8="",TODAY(),Q8))</f>
        <v/>
      </c>
    </row>
    <row r="8" ht="54" customHeight="1">
      <c r="A8" s="92" t="inlineStr">
        <is>
          <t>UI-005</t>
        </is>
      </c>
      <c r="B8" s="98" t="inlineStr">
        <is>
          <t>باتری خالیِ کامل (درصد صفر)</t>
        </is>
      </c>
      <c r="C8" s="99" t="inlineStr">
        <is>
          <t>بالا</t>
        </is>
      </c>
      <c r="D8" s="98" t="inlineStr">
        <is>
          <t>دستگاه فقط روی باتری؛ منبع آزمایشگاهی به‌جای باتری</t>
        </is>
      </c>
      <c r="E8" s="98" t="inlineStr">
        <is>
          <t>گام ۱: ولتاژ منبع را آرام پایین بیاور تا باتری تقریباً خالی شود و درصد به صفر برسد.
گام ۲: از لحظهٔ صفر شدن، به بوق و چراغ‌ها دقت کن.
گام ۳: همان ولتاژ را نگه دار و یک دقیقه صبر کن.</t>
        </is>
      </c>
      <c r="F8" s="101" t="inlineStr">
        <is>
          <t>باتری نزدیک خالی کامل (درصد صفر)</t>
        </is>
      </c>
      <c r="G8" s="101" t="inlineStr">
        <is>
          <t>یک دقیقه</t>
        </is>
      </c>
      <c r="H8" s="98" t="inlineStr">
        <is>
          <t>یک بوق بلند حدود ده ثانیه می‌آید و بعد همهٔ چراغ‌ها خاموش و سکوت می‌شود تا وقتی باتری از خالیِ کامل بیرون بیاید</t>
        </is>
      </c>
      <c r="I8" s="98" t="inlineStr">
        <is>
          <t>بعد از بوق: همه خاموش</t>
        </is>
      </c>
      <c r="J8" s="98" t="inlineStr">
        <is>
          <t>فقط یک بوق بلند و بعد خاموشی = قبول؛ بوق تکراری یا چراغ روشنِ مانده = رد</t>
        </is>
      </c>
      <c r="K8" s="98" t="inlineStr"/>
      <c r="L8" s="96" t="inlineStr">
        <is>
          <t>در انتظار</t>
        </is>
      </c>
      <c r="M8" s="98" t="inlineStr"/>
      <c r="N8" s="98" t="inlineStr"/>
      <c r="O8" s="101" t="inlineStr"/>
      <c r="P8" s="101" t="inlineStr"/>
      <c r="Q8" s="102">
        <f>IF(OR(L9="",L9="در انتظار"),"",IF(Q9="",TODAY(),Q9))</f>
        <v/>
      </c>
    </row>
    <row r="9" ht="54" customHeight="1">
      <c r="A9" s="92" t="inlineStr">
        <is>
          <t>UI-006</t>
        </is>
      </c>
      <c r="B9" s="93" t="inlineStr">
        <is>
          <t>0↔1 نویز</t>
        </is>
      </c>
      <c r="C9" s="94" t="inlineStr">
        <is>
          <t>بالا</t>
        </is>
      </c>
      <c r="D9" s="103" t="inlineStr">
        <is>
          <t>ادامهٔ UI-005؛ درصد روی صفر و بوق بحرانی تمام شده</t>
        </is>
      </c>
      <c r="E9" s="93" t="inlineStr">
        <is>
          <t>گام ۱: ولتاژ منبع را خیلی کم بالا و پایین کن، دور مرز صفر و یک درصد.
گام ۲: دو دقیقه به چراغ‌ها و بوق گوش بده.</t>
        </is>
      </c>
      <c r="F9" s="95" t="inlineStr">
        <is>
          <t>بازی ولتاژ دور مرز ۰ و ۱ درصد</t>
        </is>
      </c>
      <c r="G9" s="95" t="inlineStr">
        <is>
          <t>دو دقیقه</t>
        </is>
      </c>
      <c r="H9" s="93" t="inlineStr">
        <is>
          <t>بوق بحرانی دوباره شروع نمی‌شود و چراغ‌ها بی‌دلیل روشن و خاموش نمی‌شوند</t>
        </is>
      </c>
      <c r="I9" s="93" t="inlineStr">
        <is>
          <t>خاموش و آرام</t>
        </is>
      </c>
      <c r="J9" s="93" t="inlineStr">
        <is>
          <t>آرام ماندن = قبول؛ شروع دوبارهٔ بوق با هر نوسان کوچک = رد</t>
        </is>
      </c>
      <c r="K9" s="93" t="inlineStr"/>
      <c r="L9" s="96" t="inlineStr">
        <is>
          <t>در انتظار</t>
        </is>
      </c>
      <c r="M9" s="93" t="inlineStr"/>
      <c r="N9" s="93" t="inlineStr"/>
      <c r="O9" s="95" t="inlineStr"/>
      <c r="P9" s="95" t="inlineStr"/>
      <c r="Q9" s="97">
        <f>IF(OR(L10="",L10="در انتظار"),"",IF(Q10="",TODAY(),Q10))</f>
        <v/>
      </c>
    </row>
    <row r="10" ht="54" customHeight="1">
      <c r="A10" s="92" t="inlineStr">
        <is>
          <t>UI-007</t>
        </is>
      </c>
      <c r="B10" s="98" t="inlineStr">
        <is>
          <t>درصد ۱ (نزدیک خالی)</t>
        </is>
      </c>
      <c r="C10" s="99" t="inlineStr">
        <is>
          <t>بالا</t>
        </is>
      </c>
      <c r="D10" s="98" t="inlineStr">
        <is>
          <t>دستگاه فقط روی باتری؛ منبع آزمایشگاهی به‌جای باتری</t>
        </is>
      </c>
      <c r="E10" s="98" t="inlineStr">
        <is>
          <t>گام ۱: ولتاژ را طوری تنظیم کن که درصد روی ۱ بایستد (باتری تقریباً خالی ولی نه صفر).
گام ۲: دو دقیقه چراغ سبز و بوق را زیر نظر بگیر.</t>
        </is>
      </c>
      <c r="F10" s="101" t="inlineStr">
        <is>
          <t>درصد پایدار ۱</t>
        </is>
      </c>
      <c r="G10" s="101" t="inlineStr">
        <is>
          <t>دو دقیقه</t>
        </is>
      </c>
      <c r="H10" s="98" t="inlineStr">
        <is>
          <t>هر از چندی سه بوق می‌آید و سبز تقریباً همیشه خاموش است و فقط گهگاه یک برق خیلی کوتاه می‌زند</t>
        </is>
      </c>
      <c r="I10" s="98" t="inlineStr">
        <is>
          <t>برق‌های کوتاه و کم</t>
        </is>
      </c>
      <c r="J10" s="98" t="inlineStr">
        <is>
          <t>همین رفتار = قبول؛ رفتارِ درصد صفر (بوق بلند و خاموشی کامل) = رد</t>
        </is>
      </c>
      <c r="K10" s="98" t="inlineStr"/>
      <c r="L10" s="96" t="inlineStr">
        <is>
          <t>در انتظار</t>
        </is>
      </c>
      <c r="M10" s="98" t="inlineStr"/>
      <c r="N10" s="98" t="inlineStr"/>
      <c r="O10" s="101" t="inlineStr"/>
      <c r="P10" s="101" t="inlineStr"/>
      <c r="Q10" s="102">
        <f>IF(OR(L11="",L11="در انتظار"),"",IF(Q11="",TODAY(),Q11))</f>
        <v/>
      </c>
    </row>
    <row r="11" ht="54" customHeight="1">
      <c r="A11" s="92" t="inlineStr">
        <is>
          <t>UI-008</t>
        </is>
      </c>
      <c r="B11" s="93" t="inlineStr">
        <is>
          <t>1% →2 حفظ/خروج</t>
        </is>
      </c>
      <c r="C11" s="95" t="inlineStr">
        <is>
          <t>متوسط</t>
        </is>
      </c>
      <c r="D11" s="103" t="inlineStr">
        <is>
          <t>ادامهٔ UI-007؛ درصد روی ۱</t>
        </is>
      </c>
      <c r="E11" s="93" t="inlineStr">
        <is>
          <t>گام ۱: ولتاژ را خیلی کم بالا ببر، آن‌قدر که درصد هنوز ۲ نشده باشد.
گام ۲: یک دقیقه رفتار را نگاه کن.</t>
        </is>
      </c>
      <c r="F11" s="95" t="inlineStr">
        <is>
          <t>بالا بردن جزئی از درصد ۱</t>
        </is>
      </c>
      <c r="G11" s="95" t="inlineStr">
        <is>
          <t>یک دقیقه</t>
        </is>
      </c>
      <c r="H11" s="93" t="inlineStr">
        <is>
          <t>همان رفتار درصد ۱ می‌ماند: سه بوق هر از چندی و برق کوتاه سبز</t>
        </is>
      </c>
      <c r="I11" s="93" t="inlineStr">
        <is>
          <t>بدون تغییر</t>
        </is>
      </c>
      <c r="J11" s="93" t="inlineStr">
        <is>
          <t>ماندن روی رفتار ۱ = قبول؛ پریدن به الگوی درصد ۲ = رد</t>
        </is>
      </c>
      <c r="K11" s="93" t="inlineStr"/>
      <c r="L11" s="96" t="inlineStr">
        <is>
          <t>در انتظار</t>
        </is>
      </c>
      <c r="M11" s="93" t="inlineStr"/>
      <c r="N11" s="93" t="inlineStr"/>
      <c r="O11" s="95" t="inlineStr"/>
      <c r="P11" s="95" t="inlineStr"/>
      <c r="Q11" s="97">
        <f>IF(OR(L12="",L12="در انتظار"),"",IF(Q12="",TODAY(),Q12))</f>
        <v/>
      </c>
    </row>
    <row r="12" ht="40.5" customHeight="1">
      <c r="A12" s="92" t="inlineStr">
        <is>
          <t>UI-009</t>
        </is>
      </c>
      <c r="B12" s="98" t="inlineStr">
        <is>
          <t>1% →2 خروج با3</t>
        </is>
      </c>
      <c r="C12" s="99" t="inlineStr">
        <is>
          <t>بالا</t>
        </is>
      </c>
      <c r="D12" s="100" t="inlineStr">
        <is>
          <t>ادامهٔ UI-007؛ درصد روی ۱</t>
        </is>
      </c>
      <c r="E12" s="98" t="inlineStr">
        <is>
          <t>گام ۱: ولتاژ را آرام بالا ببر تا درصد به ۲ برسد و ثابت شود.
گام ۲: یک دقیقه به الگوی بوق گوش بده و با درصد ۱ مقایسه کن.</t>
        </is>
      </c>
      <c r="F12" s="101" t="inlineStr">
        <is>
          <t>بالا بردن ولتاژ تا درصد ۲</t>
        </is>
      </c>
      <c r="G12" s="101" t="inlineStr">
        <is>
          <t>یک دقیقه</t>
        </is>
      </c>
      <c r="H12" s="98" t="inlineStr">
        <is>
          <t>الگوی بوق به الگوی ملایم‌ترِ درصد ۲ عوض می‌شود و سبز بیشتر از قبل روشن می‌ماند</t>
        </is>
      </c>
      <c r="I12" s="98" t="inlineStr">
        <is>
          <t>روشن‌تر از درصد ۱</t>
        </is>
      </c>
      <c r="J12" s="98" t="inlineStr">
        <is>
          <t>عوض‌شدن الگو روی ۲ = قبول؛ ماندن روی الگوی ۱ = رد</t>
        </is>
      </c>
      <c r="K12" s="98" t="inlineStr"/>
      <c r="L12" s="96" t="inlineStr">
        <is>
          <t>در انتظار</t>
        </is>
      </c>
      <c r="M12" s="98" t="inlineStr"/>
      <c r="N12" s="98" t="inlineStr"/>
      <c r="O12" s="101" t="inlineStr"/>
      <c r="P12" s="101" t="inlineStr"/>
      <c r="Q12" s="102">
        <f>IF(OR(L13="",L13="در انتظار"),"",IF(Q13="",TODAY(),Q13))</f>
        <v/>
      </c>
    </row>
    <row r="13" ht="54" customHeight="1">
      <c r="A13" s="92" t="inlineStr">
        <is>
          <t>UI-010</t>
        </is>
      </c>
      <c r="B13" s="93" t="inlineStr">
        <is>
          <t>BoardTest 0→2</t>
        </is>
      </c>
      <c r="C13" s="95" t="inlineStr">
        <is>
          <t>متوسط</t>
        </is>
      </c>
      <c r="D13" s="93" t="inlineStr">
        <is>
          <t>دستگاه فقط روی باتری؛ منبع از درصد صفر شروع می‌کند</t>
        </is>
      </c>
      <c r="E13" s="93" t="inlineStr">
        <is>
          <t>گام ۱: ولتاژ را از صفر خیلی آرام بالا بیاور.
گام ۲: به ترتیبِ الگوها دقت کن: اول باید رفتار درصد ۱ دیده شود و بعد درصد ۲.</t>
        </is>
      </c>
      <c r="F13" s="95" t="inlineStr">
        <is>
          <t>بالا آمدن آرام از ۰ به ۲ درصد</t>
        </is>
      </c>
      <c r="G13" s="95" t="inlineStr">
        <is>
          <t>یک دقیقه</t>
        </is>
      </c>
      <c r="H13" s="93" t="inlineStr">
        <is>
          <t>اول الگوی درصد ۱ (سه بوق و برق کوتاه) و بعد الگوی درصد ۲ می‌آید</t>
        </is>
      </c>
      <c r="I13" s="93" t="inlineStr">
        <is>
          <t>گذار پله‌ای ۱ بعد ۲</t>
        </is>
      </c>
      <c r="J13" s="93" t="inlineStr">
        <is>
          <t>دیدن هر دو پله به ترتیب = قبول؛ پرش مستقیم به الگوی ۲ = رد</t>
        </is>
      </c>
      <c r="K13" s="93" t="inlineStr"/>
      <c r="L13" s="96" t="inlineStr">
        <is>
          <t>در انتظار</t>
        </is>
      </c>
      <c r="M13" s="93" t="inlineStr"/>
      <c r="N13" s="93" t="inlineStr"/>
      <c r="O13" s="95" t="inlineStr"/>
      <c r="P13" s="95" t="inlineStr"/>
      <c r="Q13" s="97">
        <f>IF(OR(L14="",L14="در انتظار"),"",IF(Q14="",TODAY(),Q14))</f>
        <v/>
      </c>
    </row>
    <row r="14" ht="54" customHeight="1">
      <c r="A14" s="92" t="inlineStr">
        <is>
          <t>UI-011</t>
        </is>
      </c>
      <c r="B14" s="98" t="inlineStr">
        <is>
          <t>Charging 5% 56/57/58</t>
        </is>
      </c>
      <c r="C14" s="99" t="inlineStr">
        <is>
          <t>بالا</t>
        </is>
      </c>
      <c r="D14" s="98" t="inlineStr">
        <is>
          <t>برق شهر وصل و باتری واقعی در حال شارژ است؛ درصد حدود نصف</t>
        </is>
      </c>
      <c r="E14" s="98" t="inlineStr">
        <is>
          <t>گام ۱: دستگاه را به شارژ بزن و صبر کن درصد دور ۵۷ ثابت شود.
گام ۲: یک دقیقه فقط چراغ زرد را نگاه کن.</t>
        </is>
      </c>
      <c r="F14" s="101" t="inlineStr">
        <is>
          <t>شارژ عادی با درصد میانی</t>
        </is>
      </c>
      <c r="G14" s="101" t="inlineStr">
        <is>
          <t>یک دقیقه</t>
        </is>
      </c>
      <c r="H14" s="98" t="inlineStr">
        <is>
          <t>زرد منظم و با ریتم ثابت چشمک می‌زند؛ نه ریتمش می‌پرد نه خاموش می‌ماند</t>
        </is>
      </c>
      <c r="I14" s="98" t="inlineStr">
        <is>
          <t>ریتم ثابت</t>
        </is>
      </c>
      <c r="J14" s="98" t="inlineStr">
        <is>
          <t>ریتم ثابت = قبول؛ پرش یا توقف چشمک = رد</t>
        </is>
      </c>
      <c r="K14" s="98" t="inlineStr"/>
      <c r="L14" s="96" t="inlineStr">
        <is>
          <t>در انتظار</t>
        </is>
      </c>
      <c r="M14" s="98" t="inlineStr"/>
      <c r="N14" s="98" t="inlineStr"/>
      <c r="O14" s="101" t="inlineStr"/>
      <c r="P14" s="101" t="inlineStr"/>
      <c r="Q14" s="102">
        <f>IF(OR(L15="",L15="در انتظار"),"",IF(Q15="",TODAY(),Q15))</f>
        <v/>
      </c>
    </row>
    <row r="15" ht="54" customHeight="1">
      <c r="A15" s="92" t="inlineStr">
        <is>
          <t>UI-012</t>
        </is>
      </c>
      <c r="B15" s="93" t="inlineStr">
        <is>
          <t>Charging 5% 53..61</t>
        </is>
      </c>
      <c r="C15" s="94" t="inlineStr">
        <is>
          <t>بالا</t>
        </is>
      </c>
      <c r="D15" s="103" t="inlineStr">
        <is>
          <t>ادامهٔ UI-011؛ در حال شارژ با درصد حدود ۵۷</t>
        </is>
      </c>
      <c r="E15" s="93" t="inlineStr">
        <is>
          <t>گام ۱: حین شارژ، ولتاژ باتری را با یک مصرف کوچک یا منبع کمی بالا و پایین کن (درصد دور ۵۷ بازی کند).
گام ۲: یک دقیقه چراغ زرد را نگاه کن.</t>
        </is>
      </c>
      <c r="F15" s="95" t="inlineStr">
        <is>
          <t>بازی کوچک درصد حین شارژ</t>
        </is>
      </c>
      <c r="G15" s="95" t="inlineStr">
        <is>
          <t>یک دقیقه</t>
        </is>
      </c>
      <c r="H15" s="93" t="inlineStr">
        <is>
          <t>چشمک زرد هیچ تغییری نمی‌کند و با همان ریتم ادامه می‌دهد</t>
        </is>
      </c>
      <c r="I15" s="93" t="inlineStr">
        <is>
          <t>بدون تغییر</t>
        </is>
      </c>
      <c r="J15" s="93" t="inlineStr">
        <is>
          <t>ثابت ماندن = قبول؛ عوض‌شدن ریتم با نوسان کوچک = رد</t>
        </is>
      </c>
      <c r="K15" s="93" t="inlineStr"/>
      <c r="L15" s="96" t="inlineStr">
        <is>
          <t>در انتظار</t>
        </is>
      </c>
      <c r="M15" s="93" t="inlineStr"/>
      <c r="N15" s="93" t="inlineStr"/>
      <c r="O15" s="95" t="inlineStr"/>
      <c r="P15" s="95" t="inlineStr"/>
      <c r="Q15" s="97">
        <f>IF(OR(L16="",L16="در انتظار"),"",IF(Q16="",TODAY(),Q16))</f>
        <v/>
      </c>
    </row>
    <row r="16" ht="40.5" customHeight="1">
      <c r="A16" s="92" t="inlineStr">
        <is>
          <t>UI-013</t>
        </is>
      </c>
      <c r="B16" s="98" t="inlineStr">
        <is>
          <t>Charging 5% خروج</t>
        </is>
      </c>
      <c r="C16" s="99" t="inlineStr">
        <is>
          <t>بالا</t>
        </is>
      </c>
      <c r="D16" s="98" t="inlineStr">
        <is>
          <t>برق شهر وصل و دستگاه در حال شارژ؛ درصد حدود ۵۷</t>
        </is>
      </c>
      <c r="E16" s="98" t="inlineStr">
        <is>
          <t>گام ۱: درصد شارژ را با منبع یا مصرف واقعی اول به حدود ۵۲ ببر و ثابت کن.
گام ۲: بعد به حدود ۶۲ ببر و ثابت کن.
گام ۳: موقع جابه‌جایی‌ها به زرد نگاه کن که قطع و وصل ناگهانی نکند.</t>
        </is>
      </c>
      <c r="F16" s="101" t="inlineStr">
        <is>
          <t>درصد شارژ ۵۷ بعد ۵۲ بعد ۶۲</t>
        </is>
      </c>
      <c r="G16" s="101" t="inlineStr">
        <is>
          <t>دو دقیقه</t>
        </is>
      </c>
      <c r="H16" s="98" t="inlineStr">
        <is>
          <t>ریتم زرد با درصد عوض می‌شود ولی چشمک از اول شروع نمی‌شود و قطع‌ووصل ناگهانی ندارد</t>
        </is>
      </c>
      <c r="I16" s="98" t="inlineStr">
        <is>
          <t>ریتم تازه، بدون راه‌اندازی از صفر</t>
        </is>
      </c>
      <c r="J16" s="98" t="inlineStr">
        <is>
          <t>تغییر نرم ریتم = قبول؛ ماندن روی ریتم ۵۷ یا پرش ناگهانی = رد</t>
        </is>
      </c>
      <c r="K16" s="98" t="inlineStr"/>
      <c r="L16" s="96" t="inlineStr">
        <is>
          <t>در انتظار</t>
        </is>
      </c>
      <c r="M16" s="98" t="inlineStr"/>
      <c r="N16" s="98" t="inlineStr"/>
      <c r="O16" s="101" t="inlineStr"/>
      <c r="P16" s="101" t="inlineStr"/>
      <c r="Q16" s="102">
        <f>IF(OR(L17="",L17="در انتظار"),"",IF(Q17="",TODAY(),Q17))</f>
        <v/>
      </c>
    </row>
    <row r="17" ht="40.5" customHeight="1">
      <c r="A17" s="92" t="inlineStr">
        <is>
          <t>UI-015</t>
        </is>
      </c>
      <c r="B17" s="98" t="inlineStr">
        <is>
          <t>Full 100/95 enter</t>
        </is>
      </c>
      <c r="C17" s="99" t="inlineStr">
        <is>
          <t>بالا</t>
        </is>
      </c>
      <c r="D17" s="98" t="inlineStr">
        <is>
          <t>باتری در حال شارژ و نزدیک پر شدن است</t>
        </is>
      </c>
      <c r="E17" s="98" t="inlineStr">
        <is>
          <t>گام ۱: شارژ را ادامه بده و درصد را زیر نظر بگیر.
گام ۲: روی ۹۹ درصد چراغ‌ها را چک کن: هنوز باید شارژ باشد (زرد چشمک‌زن).
گام ۳: بگذار به ۱۰۰ برسد و دوباره نگاه کن.</t>
        </is>
      </c>
      <c r="F17" s="101" t="inlineStr">
        <is>
          <t>رسیدن درصد شارژ از ۹۹ به ۱۰۰</t>
        </is>
      </c>
      <c r="G17" s="101" t="inlineStr">
        <is>
          <t>تا پر شدن باتری</t>
        </is>
      </c>
      <c r="H17" s="98" t="inlineStr">
        <is>
          <t>فقط روی ۱۰۰ ورودی خوب می‌شود: سبز ثابت و زرد خاموش؛ روی ۹۹ هنوز زرد چشمک می‌زند</t>
        </is>
      </c>
      <c r="I17" s="98" t="inlineStr">
        <is>
          <t>۱۰۰: سبز ثابت</t>
        </is>
      </c>
      <c r="J17" s="98" t="inlineStr">
        <is>
          <t>ورودی خوب دقیقاً روی ۱۰۰ = قبول؛ سبز ثابت روی ۹۹ = رد</t>
        </is>
      </c>
      <c r="K17" s="98" t="inlineStr"/>
      <c r="L17" s="96" t="inlineStr">
        <is>
          <t>در انتظار</t>
        </is>
      </c>
      <c r="M17" s="98" t="inlineStr"/>
      <c r="N17" s="98" t="inlineStr"/>
      <c r="O17" s="101" t="inlineStr"/>
      <c r="P17" s="101" t="inlineStr"/>
      <c r="Q17" s="102">
        <f>IF(OR(L19="",L19="در انتظار"),"",IF(Q19="",TODAY(),Q19))</f>
        <v/>
      </c>
    </row>
    <row r="18" ht="54" customHeight="1">
      <c r="A18" s="92" t="inlineStr">
        <is>
          <t>UI-016</t>
        </is>
      </c>
      <c r="B18" s="93" t="inlineStr">
        <is>
          <t>Full 100/95 stay</t>
        </is>
      </c>
      <c r="C18" s="94" t="inlineStr">
        <is>
          <t>بالا</t>
        </is>
      </c>
      <c r="D18" s="103" t="inlineStr">
        <is>
          <t>ادامهٔ UI-015؛ درصد روی ۱۰۰ و سبز ثابت است</t>
        </is>
      </c>
      <c r="E18" s="93" t="inlineStr">
        <is>
          <t>گام ۱: با یک مصرف کوچک درصد را بین ۹۵ و ۱۰۰ نگه دار و چند بار بالا پایینش کن.
گام ۲: چراغ‌ها را نگاه کن.</t>
        </is>
      </c>
      <c r="F18" s="95" t="inlineStr">
        <is>
          <t>درصد بین ۹۵ تا ۱۰۰</t>
        </is>
      </c>
      <c r="G18" s="95" t="inlineStr">
        <is>
          <t>دو دقیقه</t>
        </is>
      </c>
      <c r="H18" s="93" t="inlineStr">
        <is>
          <t>تا وقتی درصد بالای ۹۵ است همان ورودی خوب می‌ماند: سبز ثابت و زرد خاموش</t>
        </is>
      </c>
      <c r="I18" s="93" t="inlineStr">
        <is>
          <t>سبز ثابت</t>
        </is>
      </c>
      <c r="J18" s="93" t="inlineStr">
        <is>
          <t>ماندن در هر سه وضعیت = قبول؛ افتادن به چشمک زرد شارژ = رد</t>
        </is>
      </c>
      <c r="K18" s="93" t="inlineStr"/>
      <c r="L18" s="96" t="inlineStr">
        <is>
          <t>در انتظار</t>
        </is>
      </c>
      <c r="M18" s="93" t="inlineStr"/>
      <c r="N18" s="93" t="inlineStr"/>
      <c r="O18" s="95" t="inlineStr"/>
      <c r="P18" s="95" t="inlineStr"/>
      <c r="Q18" s="97">
        <f>IF(OR(L20="",L20="در انتظار"),"",IF(Q20="",TODAY(),Q20))</f>
        <v/>
      </c>
    </row>
    <row r="19" ht="54" customHeight="1">
      <c r="A19" s="92" t="inlineStr">
        <is>
          <t>UI-017</t>
        </is>
      </c>
      <c r="B19" s="98" t="inlineStr">
        <is>
          <t>Full 95 exit</t>
        </is>
      </c>
      <c r="C19" s="99" t="inlineStr">
        <is>
          <t>بالا</t>
        </is>
      </c>
      <c r="D19" s="100" t="inlineStr">
        <is>
          <t>ادامهٔ UI-016؛ درصد بالای ۹۵ و سبز ثابت است</t>
        </is>
      </c>
      <c r="E19" s="98" t="inlineStr">
        <is>
          <t>گام ۱: یک بار واقعی روی باتری بکش تا درصد زیر ۹۵ بیاید.
گام ۲: چراغ‌ها را نگاه کن.</t>
        </is>
      </c>
      <c r="F19" s="101" t="inlineStr">
        <is>
          <t>افت درصد شارژ به زیر ۹۵</t>
        </is>
      </c>
      <c r="G19" s="101" t="inlineStr">
        <is>
          <t>یک دقیقه</t>
        </is>
      </c>
      <c r="H19" s="98" t="inlineStr">
        <is>
          <t>برمی‌گردد به وضعیت شارژ: سبز از ثابت درمی‌آید و زرد دوباره چشمک می‌زند</t>
        </is>
      </c>
      <c r="I19" s="98" t="inlineStr">
        <is>
          <t>برگشت به چشمک زرد</t>
        </is>
      </c>
      <c r="J19" s="98" t="inlineStr">
        <is>
          <t>برگشت زیر ۹۵ = قبول؛ ماندن روی سبز ثابت = رد</t>
        </is>
      </c>
      <c r="K19" s="98" t="inlineStr"/>
      <c r="L19" s="96" t="inlineStr">
        <is>
          <t>در انتظار</t>
        </is>
      </c>
      <c r="M19" s="98" t="inlineStr"/>
      <c r="N19" s="98" t="inlineStr"/>
      <c r="O19" s="101" t="inlineStr"/>
      <c r="P19" s="101" t="inlineStr"/>
      <c r="Q19" s="102">
        <f>IF(OR(L21="",L21="در انتظار"),"",IF(Q21="",TODAY(),Q21))</f>
        <v/>
      </c>
    </row>
    <row r="20" ht="54" customHeight="1">
      <c r="A20" s="92" t="inlineStr">
        <is>
          <t>UI-019</t>
        </is>
      </c>
      <c r="B20" s="98" t="inlineStr">
        <is>
          <t>InputOk non-blocking</t>
        </is>
      </c>
      <c r="C20" s="99" t="inlineStr">
        <is>
          <t>بالا</t>
        </is>
      </c>
      <c r="D20" s="98" t="inlineStr">
        <is>
          <t>برق شهر وصل و دستگاه در وضعیت ورودی خوب است (سبز ثابت)</t>
        </is>
      </c>
      <c r="E20" s="98" t="inlineStr">
        <is>
          <t>گام ۱: هم‌زمان که سبز ثابت است، با پنل کار کن و چند پارامتر را بخوان و عوض کن.
گام ۲: به چراغ‌ها و واکنش پنل دقت کن؛ هیچ مکث و هنگی نباید باشد.</t>
        </is>
      </c>
      <c r="F20" s="101" t="inlineStr">
        <is>
          <t>کار هم‌زمان با پنل روی ورودی خوب</t>
        </is>
      </c>
      <c r="G20" s="101" t="inlineStr">
        <is>
          <t>یک دقیقه</t>
        </is>
      </c>
      <c r="H20" s="98" t="inlineStr">
        <is>
          <t>سبز ثابت می‌ماند، بوقی نیست و دستگاه و پنل روان و بدون مکث کار می‌کنند</t>
        </is>
      </c>
      <c r="I20" s="98" t="inlineStr">
        <is>
          <t>سبز ثابت</t>
        </is>
      </c>
      <c r="J20" s="98" t="inlineStr">
        <is>
          <t>بدون هنگ و مکث = قبول؛ هر مکث یا ریست = رد</t>
        </is>
      </c>
      <c r="K20" s="98" t="inlineStr"/>
      <c r="L20" s="96" t="inlineStr">
        <is>
          <t>در انتظار</t>
        </is>
      </c>
      <c r="M20" s="98" t="inlineStr"/>
      <c r="N20" s="98" t="inlineStr"/>
      <c r="O20" s="101" t="inlineStr"/>
      <c r="P20" s="101" t="inlineStr"/>
      <c r="Q20" s="102">
        <f>IF(OR(L23="",L23="در انتظار"),"",IF(Q23="",TODAY(),Q23))</f>
        <v/>
      </c>
    </row>
    <row r="21" ht="54" customHeight="1">
      <c r="A21" s="92" t="inlineStr">
        <is>
          <t>UI-020</t>
        </is>
      </c>
      <c r="B21" s="93" t="inlineStr">
        <is>
          <t>Charging non-blocking</t>
        </is>
      </c>
      <c r="C21" s="94" t="inlineStr">
        <is>
          <t>بالا</t>
        </is>
      </c>
      <c r="D21" s="93" t="inlineStr">
        <is>
          <t>برق شهر وصل و باتری در حال شارژ است (زرد چشمک‌زن)</t>
        </is>
      </c>
      <c r="E21" s="93" t="inlineStr">
        <is>
          <t>گام ۱: حین شارژ با پنل کار کن و چند پارامتر بخوان.
گام ۲: دو دقیقه دستگاه را زیر نظر بگیر.</t>
        </is>
      </c>
      <c r="F21" s="95" t="inlineStr">
        <is>
          <t>کار با پنل حین شارژ</t>
        </is>
      </c>
      <c r="G21" s="95" t="inlineStr">
        <is>
          <t>دو دقیقه</t>
        </is>
      </c>
      <c r="H21" s="93" t="inlineStr">
        <is>
          <t>زرد منظم چشمک می‌زند و هیچ هنگ، مکث یا ریستی در دستگاه و پنل نیست</t>
        </is>
      </c>
      <c r="I21" s="93" t="inlineStr">
        <is>
          <t>چشمک منظم زرد</t>
        </is>
      </c>
      <c r="J21" s="93" t="inlineStr">
        <is>
          <t>بدون هنگ = قبول؛ هنگ یا قطع ارتباط = رد</t>
        </is>
      </c>
      <c r="K21" s="93" t="inlineStr"/>
      <c r="L21" s="96" t="inlineStr">
        <is>
          <t>در انتظار</t>
        </is>
      </c>
      <c r="M21" s="93" t="inlineStr"/>
      <c r="N21" s="93" t="inlineStr"/>
      <c r="O21" s="95" t="inlineStr"/>
      <c r="P21" s="95" t="inlineStr"/>
      <c r="Q21" s="97">
        <f>IF(OR(L24="",L24="در انتظار"),"",IF(Q24="",TODAY(),Q24))</f>
        <v/>
      </c>
    </row>
    <row r="22" ht="54" customHeight="1">
      <c r="A22" s="92" t="inlineStr">
        <is>
          <t>UI-021</t>
        </is>
      </c>
      <c r="B22" s="98" t="inlineStr">
        <is>
          <t>InputOverVoltage</t>
        </is>
      </c>
      <c r="C22" s="99" t="inlineStr">
        <is>
          <t>بالا</t>
        </is>
      </c>
      <c r="D22" s="98" t="inlineStr">
        <is>
          <t>ورودی از منبع آزمایشگاهی می‌آید تا بتوانی ولتاژش را بالا ببری؛ باتری وصل است</t>
        </is>
      </c>
      <c r="E22" s="98" t="inlineStr">
        <is>
          <t>گام ۱: ولتاژ ورودی را آرام بالا ببر تا از حدود ۲۸ ولت رد شود.
گام ۲: چراغ‌ها را ببین: باید سبز ثابت بماند، قرمز چشمک بزند و هر چند ثانیه چند بوق بیاید.
گام ۳: ولتاژ را تا حدود ۲۷٫۵ پایین بیاور و نگه دار؛ چهره باید بماند.
گام ۴: تا حدود ۲۶ پایین بیاور؛ چهره باید پاک و رفتار عادی برگردد.</t>
        </is>
      </c>
      <c r="F22" s="101" t="inlineStr">
        <is>
          <t>ورودی حدود ۲۸٫۵ بعد ۲۷٫۵ بعد ۲۶ ولت</t>
        </is>
      </c>
      <c r="G22" s="101" t="inlineStr">
        <is>
          <t>دو دقیقه</t>
        </is>
      </c>
      <c r="H22" s="98" t="inlineStr">
        <is>
          <t>روی ولتاژ بالا: سبز ثابت، زرد خاموش، قرمز چشمک‌زن و بوق گهگاه؛ روی ۲۷٫۵ می‌ماند و روی ۲۶ پاک می‌شود</t>
        </is>
      </c>
      <c r="I22" s="98" t="inlineStr">
        <is>
          <t>قرمز چشمک‌زن با سبز ثابت</t>
        </is>
      </c>
      <c r="J22" s="98" t="inlineStr">
        <is>
          <t>آمدن، ماندن و پاک‌شدن در همان حدود = قبول؛ پاک‌شدن زودتر یا نیامدن = رد</t>
        </is>
      </c>
      <c r="K22" s="98" t="inlineStr"/>
      <c r="L22" s="96" t="inlineStr">
        <is>
          <t>در انتظار</t>
        </is>
      </c>
      <c r="M22" s="98" t="inlineStr"/>
      <c r="N22" s="98" t="inlineStr"/>
      <c r="O22" s="101" t="inlineStr"/>
      <c r="P22" s="101" t="inlineStr"/>
      <c r="Q22" s="102">
        <f>IF(OR(L25="",L25="در انتظار"),"",IF(Q25="",TODAY(),Q25))</f>
        <v/>
      </c>
    </row>
    <row r="23" ht="54" customHeight="1">
      <c r="A23" s="92" t="inlineStr">
        <is>
          <t>UI-022</t>
        </is>
      </c>
      <c r="B23" s="93" t="inlineStr">
        <is>
          <t>Snapshot invalid</t>
        </is>
      </c>
      <c r="C23" s="94" t="inlineStr">
        <is>
          <t>بالا</t>
        </is>
      </c>
      <c r="D23" s="93" t="inlineStr">
        <is>
          <t>دستگاه روشن و در حال کار عادی است</t>
        </is>
      </c>
      <c r="E23" s="93" t="inlineStr">
        <is>
          <t>گام ۱: سیم حس‌کردن ولتاژ باتری را لحظه‌ای جدا کن (دستگاه اندازهٔ تازه ندارد).
گام ۲: به چراغ‌ها و بوق نگاه کن؛ نباید الگوی دیوانه‌وار یا بوق بی‌دلیل بیاید.
گام ۳: سیم را وصل کن؛ رفتار عادی باید برگردد.</t>
        </is>
      </c>
      <c r="F23" s="95" t="inlineStr">
        <is>
          <t>قطع و وصل کوتاه سیم حس باتری</t>
        </is>
      </c>
      <c r="G23" s="95" t="inlineStr">
        <is>
          <t>یک دقیقه</t>
        </is>
      </c>
      <c r="H23" s="93" t="inlineStr">
        <is>
          <t>حین قطع، چهرهٔ سالم قبلی آرام می‌ماند و دستگاه هنگ نمی‌کند؛ با وصل مجدد همه‌چیز عادی می‌شود</t>
        </is>
      </c>
      <c r="I23" s="93" t="inlineStr">
        <is>
          <t>بدون الگوی تازهٔ خطادار</t>
        </is>
      </c>
      <c r="J23" s="93" t="inlineStr">
        <is>
          <t>آرام ماندن و برگشت عادی = قبول؛ هنگ، بوق بی‌دلیل یا چراغ قاطی = رد</t>
        </is>
      </c>
      <c r="K23" s="93" t="inlineStr"/>
      <c r="L23" s="96" t="inlineStr">
        <is>
          <t>در انتظار</t>
        </is>
      </c>
      <c r="M23" s="93" t="inlineStr"/>
      <c r="N23" s="93" t="inlineStr"/>
      <c r="O23" s="95" t="inlineStr"/>
      <c r="P23" s="95" t="inlineStr"/>
      <c r="Q23" s="97">
        <f>IF(OR(L26="",L26="در انتظار"),"",IF(Q26="",TODAY(),Q26))</f>
        <v/>
      </c>
    </row>
    <row r="24" ht="54" customHeight="1">
      <c r="A24" s="92" t="inlineStr">
        <is>
          <t>UI-023</t>
        </is>
      </c>
      <c r="B24" s="98" t="inlineStr">
        <is>
          <t>Low Alarm 21/21.2</t>
        </is>
      </c>
      <c r="C24" s="99" t="inlineStr">
        <is>
          <t>بالا</t>
        </is>
      </c>
      <c r="D24" s="98" t="inlineStr">
        <is>
          <t>دستگاه روی باتری کار می‌کند؛ منبع آزمایشگاهی به‌جای باتری</t>
        </is>
      </c>
      <c r="E24" s="98" t="inlineStr">
        <is>
          <t>گام ۱: ولتاژ باتری را آرام تا نزدیک مرز باتری کم (حدود ۲۱ ولت) پایین بیاور.
گام ۲: کمی دور همان مرز بالا و پایینش کن و چراغ‌ها را نگاه کن.</t>
        </is>
      </c>
      <c r="F24" s="101" t="inlineStr">
        <is>
          <t>باتری دور مرز ۲۱ ولت</t>
        </is>
      </c>
      <c r="G24" s="101" t="inlineStr">
        <is>
          <t>دو دقیقه</t>
        </is>
      </c>
      <c r="H24" s="98" t="inlineStr">
        <is>
          <t>چهرهٔ دستگاه پرپر نمی‌زند و با هر نوسان کوچک عوض نمی‌شود</t>
        </is>
      </c>
      <c r="I24" s="98" t="inlineStr">
        <is>
          <t>پایدار، بدون فلیکر</t>
        </is>
      </c>
      <c r="J24" s="98" t="inlineStr">
        <is>
          <t>بدون پرپر = قبول؛ رفت‌وبرگشت تند چراغ‌ها = رد</t>
        </is>
      </c>
      <c r="K24" s="98" t="inlineStr"/>
      <c r="L24" s="96" t="inlineStr">
        <is>
          <t>در انتظار</t>
        </is>
      </c>
      <c r="M24" s="98" t="inlineStr"/>
      <c r="N24" s="98" t="inlineStr"/>
      <c r="O24" s="101" t="inlineStr"/>
      <c r="P24" s="101" t="inlineStr"/>
      <c r="Q24" s="102">
        <f>IF(OR(L27="",L27="در انتظار"),"",IF(Q27="",TODAY(),Q27))</f>
        <v/>
      </c>
    </row>
    <row r="25" ht="54" customHeight="1">
      <c r="A25" s="92" t="inlineStr">
        <is>
          <t>UI-024</t>
        </is>
      </c>
      <c r="B25" s="93" t="inlineStr">
        <is>
          <t>Input switch 20/21</t>
        </is>
      </c>
      <c r="C25" s="94" t="inlineStr">
        <is>
          <t>بالا</t>
        </is>
      </c>
      <c r="D25" s="93" t="inlineStr">
        <is>
          <t>ورودی از منبع آزمایشگاهی می‌آید؛ باتری وصل است</t>
        </is>
      </c>
      <c r="E25" s="93" t="inlineStr">
        <is>
          <t>گام ۱: ولتاژ ورودی را آرام بین ۲۰ و ۲۱ ولت بالا و پایین کن.
گام ۲: به چهرهٔ ورودی (سبز و رفتار شارژ) نگاه کن که تندتند عوض نشود.</t>
        </is>
      </c>
      <c r="F25" s="95" t="inlineStr">
        <is>
          <t>ورودی بازی‌کنان دور ۲۰ تا ۲۱ ولت</t>
        </is>
      </c>
      <c r="G25" s="95" t="inlineStr">
        <is>
          <t>دو دقیقه</t>
        </is>
      </c>
      <c r="H25" s="93" t="inlineStr">
        <is>
          <t>وضعیت ورودی فقط وقتی واقعاً از مرز رد می‌شوی عوض می‌شود؛ وسط راه هیچ رفت‌وبرگشت بی‌دلیلی نیست</t>
        </is>
      </c>
      <c r="I25" s="93" t="inlineStr">
        <is>
          <t>گذار تکی و تمیز</t>
        </is>
      </c>
      <c r="J25" s="93" t="inlineStr">
        <is>
          <t>بدون رفت‌وبرگشت بی‌دلیل = قبول؛ فلیکر وسط راه = رد</t>
        </is>
      </c>
      <c r="K25" s="93" t="inlineStr"/>
      <c r="L25" s="96" t="inlineStr">
        <is>
          <t>در انتظار</t>
        </is>
      </c>
      <c r="M25" s="93" t="inlineStr"/>
      <c r="N25" s="93" t="inlineStr"/>
      <c r="O25" s="95" t="inlineStr"/>
      <c r="P25" s="95" t="inlineStr"/>
      <c r="Q25" s="97">
        <f>IF(OR(L28="",L28="در انتظار"),"",IF(Q28="",TODAY(),Q28))</f>
        <v/>
      </c>
    </row>
    <row r="26" ht="54" customHeight="1">
      <c r="A26" s="92" t="inlineStr">
        <is>
          <t>UI-030</t>
        </is>
      </c>
      <c r="B26" s="93" t="inlineStr">
        <is>
          <t>پنل دیالوگ مستقل</t>
        </is>
      </c>
      <c r="C26" s="95" t="inlineStr">
        <is>
          <t>پایین</t>
        </is>
      </c>
      <c r="D26" s="93" t="inlineStr">
        <is>
          <t>پنل به دستگاه وصل و دستگاه در حال کار عادی است</t>
        </is>
      </c>
      <c r="E26" s="93" t="inlineStr">
        <is>
          <t>گام ۱: در پنل یک پیام یا دیالوگ باز کن.
گام ۲: هم‌زمان چراغ‌های دستگاه را نگاه کن.
گام ۳: دیالوگ را ببند.</t>
        </is>
      </c>
      <c r="F26" s="95" t="inlineStr">
        <is>
          <t>باز و بسته‌کردن دیالوگ پنل</t>
        </is>
      </c>
      <c r="G26" s="95" t="inlineStr">
        <is>
          <t>یک دقیقه</t>
        </is>
      </c>
      <c r="H26" s="93" t="inlineStr">
        <is>
          <t>دیالوگ پنل چراغ‌ها و بوق دستگاه را به هم نمی‌ریزد؛ رفتار عادی ادامه دارد</t>
        </is>
      </c>
      <c r="I26" s="93" t="inlineStr">
        <is>
          <t>بدون تغییر</t>
        </is>
      </c>
      <c r="J26" s="93" t="inlineStr">
        <is>
          <t>استقلال کامل دیالوگ و چراغ‌ها = قبول؛ هر اثر متقابل = رد</t>
        </is>
      </c>
      <c r="K26" s="93" t="n"/>
      <c r="L26" s="104" t="inlineStr">
        <is>
          <t>نیاز به تکرار</t>
        </is>
      </c>
      <c r="M26" s="93" t="n"/>
      <c r="N26" s="93" t="n"/>
      <c r="O26" s="95" t="inlineStr">
        <is>
          <t>62f3782</t>
        </is>
      </c>
      <c r="P26" s="95" t="n"/>
      <c r="Q26" s="97" t="inlineStr">
        <is>
          <t>2026-10-12</t>
        </is>
      </c>
    </row>
    <row r="27" ht="54" customHeight="1">
      <c r="A27" s="80" t="n"/>
      <c r="B27" s="80" t="n"/>
      <c r="C27" s="80" t="n"/>
      <c r="D27" s="80" t="n"/>
      <c r="E27" s="80" t="n"/>
      <c r="F27" s="80" t="n"/>
      <c r="G27" s="80" t="n"/>
      <c r="H27" s="80" t="n"/>
      <c r="I27" s="80" t="n"/>
      <c r="J27" s="80" t="n"/>
      <c r="K27" s="80" t="n"/>
      <c r="L27" s="80" t="n"/>
      <c r="M27" s="80" t="n"/>
      <c r="N27" s="80" t="n"/>
      <c r="O27" s="80" t="n"/>
      <c r="P27" s="80" t="n"/>
      <c r="Q27" s="105">
        <f>IF(OR(L35="",L35="در انتظار"),"",IF(Q35="",TODAY(),Q35))</f>
        <v/>
      </c>
    </row>
    <row r="28" ht="54" customHeight="1">
      <c r="A28" s="80" t="n"/>
      <c r="B28" s="80" t="n"/>
      <c r="C28" s="80" t="n"/>
      <c r="D28" s="80" t="n"/>
      <c r="E28" s="80" t="n"/>
      <c r="F28" s="80" t="n"/>
      <c r="G28" s="80" t="n"/>
      <c r="H28" s="80" t="n"/>
      <c r="I28" s="80" t="n"/>
      <c r="J28" s="80" t="n"/>
      <c r="K28" s="80" t="n"/>
      <c r="L28" s="80" t="n"/>
      <c r="M28" s="80" t="n"/>
      <c r="N28" s="80" t="n"/>
      <c r="O28" s="80" t="n"/>
      <c r="P28" s="80" t="n"/>
      <c r="Q28" s="105">
        <f>IF(OR(L36="",L36="در انتظار"),"",IF(Q36="",TODAY(),Q36))</f>
        <v/>
      </c>
    </row>
    <row r="29" ht="54" customHeight="1">
      <c r="A29" s="80" t="n"/>
      <c r="B29" s="80" t="n"/>
      <c r="C29" s="80" t="n"/>
      <c r="D29" s="80" t="n"/>
      <c r="E29" s="80" t="n"/>
      <c r="F29" s="80" t="n"/>
      <c r="G29" s="80" t="n"/>
      <c r="H29" s="80" t="n"/>
      <c r="I29" s="80" t="n"/>
      <c r="J29" s="80" t="n"/>
      <c r="K29" s="80" t="n"/>
      <c r="L29" s="80" t="n"/>
      <c r="M29" s="80" t="n"/>
      <c r="N29" s="80" t="n"/>
      <c r="O29" s="80" t="n"/>
      <c r="P29" s="80" t="n"/>
      <c r="Q29" s="105">
        <f>IF(OR(L37="",L37="در انتظار"),"",IF(Q37="",TODAY(),Q37))</f>
        <v/>
      </c>
    </row>
    <row r="30" ht="54" customHeight="1">
      <c r="A30" s="80" t="n"/>
      <c r="B30" s="80" t="n"/>
      <c r="C30" s="80" t="n"/>
      <c r="D30" s="80" t="n"/>
      <c r="E30" s="80" t="n"/>
      <c r="F30" s="80" t="n"/>
      <c r="G30" s="80" t="n"/>
      <c r="H30" s="80" t="n"/>
      <c r="I30" s="80" t="n"/>
      <c r="J30" s="80" t="n"/>
      <c r="K30" s="80" t="n"/>
      <c r="L30" s="80" t="n"/>
      <c r="M30" s="80" t="n"/>
      <c r="N30" s="80" t="n"/>
      <c r="O30" s="80" t="n"/>
      <c r="P30" s="80" t="n"/>
      <c r="Q30" s="105">
        <f>IF(OR(L38="",L38="در انتظار"),"",IF(Q38="",TODAY(),Q38))</f>
        <v/>
      </c>
    </row>
    <row r="31" ht="40.5" customHeight="1">
      <c r="A31" s="80" t="n"/>
      <c r="B31" s="80" t="n"/>
      <c r="C31" s="80" t="n"/>
      <c r="D31" s="80" t="n"/>
      <c r="E31" s="80" t="n"/>
      <c r="F31" s="80" t="n"/>
      <c r="G31" s="80" t="n"/>
      <c r="H31" s="80" t="n"/>
      <c r="I31" s="80" t="n"/>
      <c r="J31" s="80" t="n"/>
      <c r="K31" s="80" t="n"/>
      <c r="L31" s="80" t="n"/>
      <c r="M31" s="80" t="n"/>
      <c r="N31" s="80" t="n"/>
      <c r="O31" s="80" t="n"/>
      <c r="P31" s="80" t="n"/>
      <c r="Q31" s="105">
        <f>IF(OR(L39="",L39="در انتظار"),"",IF(Q39="",TODAY(),Q39))</f>
        <v/>
      </c>
    </row>
    <row r="32" ht="54" customHeight="1">
      <c r="A32" s="80" t="n"/>
      <c r="B32" s="80" t="n"/>
      <c r="C32" s="80" t="n"/>
      <c r="D32" s="80" t="n"/>
      <c r="E32" s="80" t="n"/>
      <c r="F32" s="80" t="n"/>
      <c r="G32" s="80" t="n"/>
      <c r="H32" s="80" t="n"/>
      <c r="I32" s="80" t="n"/>
      <c r="J32" s="80" t="n"/>
      <c r="K32" s="80" t="n"/>
      <c r="L32" s="80" t="n"/>
      <c r="M32" s="80" t="n"/>
      <c r="N32" s="80" t="n"/>
      <c r="O32" s="80" t="n"/>
      <c r="P32" s="80" t="n"/>
      <c r="Q32" s="105">
        <f>IF(OR(L40="",L40="در انتظار"),"",IF(Q40="",TODAY(),Q40))</f>
        <v/>
      </c>
    </row>
    <row r="33" ht="40.5" customHeight="1">
      <c r="A33" s="80" t="n"/>
      <c r="B33" s="80" t="n"/>
      <c r="C33" s="80" t="n"/>
      <c r="D33" s="80" t="n"/>
      <c r="E33" s="80" t="n"/>
      <c r="F33" s="80" t="n"/>
      <c r="G33" s="80" t="n"/>
      <c r="H33" s="80" t="n"/>
      <c r="I33" s="80" t="n"/>
      <c r="J33" s="80" t="n"/>
      <c r="K33" s="80" t="n"/>
      <c r="L33" s="80" t="n"/>
      <c r="M33" s="80" t="n"/>
      <c r="N33" s="80" t="n"/>
      <c r="O33" s="80" t="n"/>
      <c r="P33" s="80" t="n"/>
      <c r="Q33" s="105">
        <f>IF(OR(L41="",L41="در انتظار"),"",IF(Q41="",TODAY(),Q41))</f>
        <v/>
      </c>
    </row>
    <row r="34" ht="40.5" customHeight="1">
      <c r="A34" s="80" t="n"/>
      <c r="B34" s="80" t="n"/>
      <c r="C34" s="80" t="n"/>
      <c r="D34" s="80" t="n"/>
      <c r="E34" s="80" t="n"/>
      <c r="F34" s="80" t="n"/>
      <c r="G34" s="80" t="n"/>
      <c r="H34" s="80" t="n"/>
      <c r="I34" s="80" t="n"/>
      <c r="J34" s="80" t="n"/>
      <c r="K34" s="80" t="n"/>
      <c r="L34" s="80" t="n"/>
      <c r="M34" s="80" t="n"/>
      <c r="N34" s="80" t="n"/>
      <c r="O34" s="80" t="n"/>
      <c r="P34" s="80" t="n"/>
      <c r="Q34" s="105">
        <f>IF(OR(L42="",L42="در انتظار"),"",IF(Q42="",TODAY(),Q42))</f>
        <v/>
      </c>
    </row>
    <row r="35">
      <c r="A35" s="80" t="n"/>
      <c r="B35" s="80" t="n"/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  <c r="L35" s="80" t="n"/>
      <c r="M35" s="80" t="n"/>
      <c r="N35" s="80" t="n"/>
      <c r="O35" s="80" t="n"/>
      <c r="P35" s="80" t="n"/>
      <c r="Q35" s="105">
        <f>IF(OR(L43="",L43="در انتظار"),"",IF(Q43="",TODAY(),Q43))</f>
        <v/>
      </c>
    </row>
    <row r="36">
      <c r="A36" s="80" t="n"/>
      <c r="B36" s="80" t="n"/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  <c r="L36" s="80" t="n"/>
      <c r="M36" s="80" t="n"/>
      <c r="N36" s="80" t="n"/>
      <c r="O36" s="80" t="n"/>
      <c r="P36" s="80" t="n"/>
      <c r="Q36" s="105">
        <f>IF(OR(L44="",L44="در انتظار"),"",IF(Q44="",TODAY(),Q44))</f>
        <v/>
      </c>
    </row>
    <row r="37">
      <c r="A37" s="80" t="n"/>
      <c r="B37" s="80" t="n"/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  <c r="L37" s="80" t="n"/>
      <c r="M37" s="80" t="n"/>
      <c r="N37" s="80" t="n"/>
      <c r="O37" s="80" t="n"/>
      <c r="P37" s="80" t="n"/>
      <c r="Q37" s="105">
        <f>IF(OR(L45="",L45="در انتظار"),"",IF(Q45="",TODAY(),Q45))</f>
        <v/>
      </c>
    </row>
    <row r="38">
      <c r="A38" s="80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  <c r="L38" s="80" t="n"/>
      <c r="M38" s="80" t="n"/>
      <c r="N38" s="80" t="n"/>
      <c r="O38" s="80" t="n"/>
      <c r="P38" s="80" t="n"/>
      <c r="Q38" s="105">
        <f>IF(OR(L46="",L46="در انتظار"),"",IF(Q46="",TODAY(),Q46))</f>
        <v/>
      </c>
    </row>
    <row r="39">
      <c r="A39" s="80" t="n"/>
      <c r="B39" s="80" t="n"/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  <c r="M39" s="80" t="n"/>
      <c r="N39" s="80" t="n"/>
      <c r="O39" s="80" t="n"/>
      <c r="P39" s="80" t="n"/>
      <c r="Q39" s="105">
        <f>IF(OR(L47="",L47="در انتظار"),"",IF(Q47="",TODAY(),Q47))</f>
        <v/>
      </c>
    </row>
    <row r="40">
      <c r="A40" s="80" t="n"/>
      <c r="B40" s="80" t="n"/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  <c r="L40" s="80" t="n"/>
      <c r="M40" s="80" t="n"/>
      <c r="N40" s="80" t="n"/>
      <c r="O40" s="80" t="n"/>
      <c r="P40" s="80" t="n"/>
      <c r="Q40" s="105">
        <f>IF(OR(L48="",L48="در انتظار"),"",IF(Q48="",TODAY(),Q48))</f>
        <v/>
      </c>
    </row>
    <row r="41">
      <c r="A41" s="80" t="n"/>
      <c r="B41" s="80" t="n"/>
      <c r="C41" s="80" t="n"/>
      <c r="D41" s="80" t="n"/>
      <c r="E41" s="80" t="n"/>
      <c r="F41" s="80" t="n"/>
      <c r="G41" s="80" t="n"/>
      <c r="H41" s="80" t="n"/>
      <c r="I41" s="80" t="n"/>
      <c r="J41" s="80" t="n"/>
      <c r="K41" s="80" t="n"/>
      <c r="L41" s="80" t="n"/>
      <c r="M41" s="80" t="n"/>
      <c r="N41" s="80" t="n"/>
      <c r="O41" s="80" t="n"/>
      <c r="P41" s="80" t="n"/>
      <c r="Q41" s="105">
        <f>IF(OR(L49="",L49="در انتظار"),"",IF(Q49="",TODAY(),Q49))</f>
        <v/>
      </c>
    </row>
    <row r="42">
      <c r="A42" s="80" t="n"/>
      <c r="B42" s="80" t="n"/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  <c r="L42" s="80" t="n"/>
      <c r="M42" s="80" t="n"/>
      <c r="N42" s="80" t="n"/>
      <c r="O42" s="80" t="n"/>
      <c r="P42" s="80" t="n"/>
      <c r="Q42" s="105">
        <f>IF(OR(L50="",L50="در انتظار"),"",IF(Q50="",TODAY(),Q50))</f>
        <v/>
      </c>
    </row>
    <row r="43">
      <c r="A43" s="80" t="n"/>
      <c r="B43" s="80" t="n"/>
      <c r="C43" s="80" t="n"/>
      <c r="D43" s="80" t="n"/>
      <c r="E43" s="80" t="n"/>
      <c r="F43" s="80" t="n"/>
      <c r="G43" s="80" t="n"/>
      <c r="H43" s="80" t="n"/>
      <c r="I43" s="80" t="n"/>
      <c r="J43" s="80" t="n"/>
      <c r="K43" s="80" t="n"/>
      <c r="L43" s="80" t="n"/>
      <c r="M43" s="80" t="n"/>
      <c r="N43" s="80" t="n"/>
      <c r="O43" s="80" t="n"/>
      <c r="P43" s="80" t="n"/>
      <c r="Q43" s="105">
        <f>IF(OR(L51="",L51="در انتظار"),"",IF(Q51="",TODAY(),Q51))</f>
        <v/>
      </c>
    </row>
    <row r="44">
      <c r="A44" s="80" t="n"/>
      <c r="B44" s="80" t="n"/>
      <c r="C44" s="80" t="n"/>
      <c r="D44" s="80" t="n"/>
      <c r="E44" s="80" t="n"/>
      <c r="F44" s="80" t="n"/>
      <c r="G44" s="80" t="n"/>
      <c r="H44" s="80" t="n"/>
      <c r="I44" s="80" t="n"/>
      <c r="J44" s="80" t="n"/>
      <c r="K44" s="80" t="n"/>
      <c r="L44" s="80" t="n"/>
      <c r="M44" s="80" t="n"/>
      <c r="N44" s="80" t="n"/>
      <c r="O44" s="80" t="n"/>
      <c r="P44" s="80" t="n"/>
      <c r="Q44" s="105">
        <f>IF(OR(L52="",L52="در انتظار"),"",IF(Q52="",TODAY(),Q52))</f>
        <v/>
      </c>
    </row>
    <row r="45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  <c r="L45" s="80" t="n"/>
      <c r="M45" s="80" t="n"/>
      <c r="N45" s="80" t="n"/>
      <c r="O45" s="80" t="n"/>
      <c r="P45" s="80" t="n"/>
      <c r="Q45" s="105">
        <f>IF(OR(L53="",L53="در انتظار"),"",IF(Q53="",TODAY(),Q53))</f>
        <v/>
      </c>
    </row>
    <row r="46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  <c r="K46" s="80" t="n"/>
      <c r="L46" s="80" t="n"/>
      <c r="M46" s="80" t="n"/>
      <c r="N46" s="80" t="n"/>
      <c r="O46" s="80" t="n"/>
      <c r="P46" s="80" t="n"/>
      <c r="Q46" s="105">
        <f>IF(OR(L54="",L54="در انتظار"),"",IF(Q54="",TODAY(),Q54))</f>
        <v/>
      </c>
    </row>
    <row r="47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  <c r="K47" s="80" t="n"/>
      <c r="L47" s="80" t="n"/>
      <c r="M47" s="80" t="n"/>
      <c r="N47" s="80" t="n"/>
      <c r="O47" s="80" t="n"/>
      <c r="P47" s="80" t="n"/>
      <c r="Q47" s="105">
        <f>IF(OR(L55="",L55="در انتظار"),"",IF(Q55="",TODAY(),Q55))</f>
        <v/>
      </c>
    </row>
    <row r="48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  <c r="K48" s="80" t="n"/>
      <c r="L48" s="80" t="n"/>
      <c r="M48" s="80" t="n"/>
      <c r="N48" s="80" t="n"/>
      <c r="O48" s="80" t="n"/>
      <c r="P48" s="80" t="n"/>
      <c r="Q48" s="105">
        <f>IF(OR(L56="",L56="در انتظار"),"",IF(Q56="",TODAY(),Q56))</f>
        <v/>
      </c>
    </row>
    <row r="49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  <c r="K49" s="80" t="n"/>
      <c r="L49" s="80" t="n"/>
      <c r="M49" s="80" t="n"/>
      <c r="N49" s="80" t="n"/>
      <c r="O49" s="80" t="n"/>
      <c r="P49" s="80" t="n"/>
      <c r="Q49" s="105">
        <f>IF(OR(L57="",L57="در انتظار"),"",IF(Q57="",TODAY(),Q57))</f>
        <v/>
      </c>
    </row>
    <row r="50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  <c r="K50" s="80" t="n"/>
      <c r="L50" s="80" t="n"/>
      <c r="M50" s="80" t="n"/>
      <c r="N50" s="80" t="n"/>
      <c r="O50" s="80" t="n"/>
      <c r="P50" s="80" t="n"/>
      <c r="Q50" s="105">
        <f>IF(OR(L58="",L58="در انتظار"),"",IF(Q58="",TODAY(),Q58))</f>
        <v/>
      </c>
    </row>
    <row r="5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  <c r="K51" s="80" t="n"/>
      <c r="L51" s="80" t="n"/>
      <c r="M51" s="80" t="n"/>
      <c r="N51" s="80" t="n"/>
      <c r="O51" s="80" t="n"/>
      <c r="P51" s="80" t="n"/>
      <c r="Q51" s="105">
        <f>IF(OR(L59="",L59="در انتظار"),"",IF(Q59="",TODAY(),Q59))</f>
        <v/>
      </c>
    </row>
    <row r="52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  <c r="K52" s="80" t="n"/>
      <c r="L52" s="80" t="n"/>
      <c r="M52" s="80" t="n"/>
      <c r="N52" s="80" t="n"/>
      <c r="O52" s="80" t="n"/>
      <c r="P52" s="80" t="n"/>
      <c r="Q52" s="105">
        <f>IF(OR(L60="",L60="در انتظار"),"",IF(Q60="",TODAY(),Q60))</f>
        <v/>
      </c>
    </row>
    <row r="53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  <c r="K53" s="80" t="n"/>
      <c r="L53" s="80" t="n"/>
      <c r="M53" s="80" t="n"/>
      <c r="N53" s="80" t="n"/>
      <c r="O53" s="80" t="n"/>
      <c r="P53" s="80" t="n"/>
      <c r="Q53" s="105">
        <f>IF(OR(L61="",L61="در انتظار"),"",IF(Q61="",TODAY(),Q61))</f>
        <v/>
      </c>
    </row>
    <row r="54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  <c r="K54" s="80" t="n"/>
      <c r="L54" s="80" t="n"/>
      <c r="M54" s="80" t="n"/>
      <c r="N54" s="80" t="n"/>
      <c r="O54" s="80" t="n"/>
      <c r="P54" s="80" t="n"/>
      <c r="Q54" s="105">
        <f>IF(OR(L62="",L62="در انتظار"),"",IF(Q62="",TODAY(),Q62))</f>
        <v/>
      </c>
    </row>
    <row r="55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  <c r="K55" s="80" t="n"/>
      <c r="L55" s="80" t="n"/>
      <c r="M55" s="80" t="n"/>
      <c r="N55" s="80" t="n"/>
      <c r="O55" s="80" t="n"/>
      <c r="P55" s="80" t="n"/>
      <c r="Q55" s="105">
        <f>IF(OR(L63="",L63="در انتظار"),"",IF(Q63="",TODAY(),Q63))</f>
        <v/>
      </c>
    </row>
    <row r="56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K56" s="80" t="n"/>
      <c r="L56" s="80" t="n"/>
      <c r="M56" s="80" t="n"/>
      <c r="N56" s="80" t="n"/>
      <c r="O56" s="80" t="n"/>
      <c r="P56" s="80" t="n"/>
      <c r="Q56" s="105">
        <f>IF(OR(L64="",L64="در انتظار"),"",IF(Q64="",TODAY(),Q64))</f>
        <v/>
      </c>
    </row>
    <row r="57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  <c r="K57" s="80" t="n"/>
      <c r="L57" s="80" t="n"/>
      <c r="M57" s="80" t="n"/>
      <c r="N57" s="80" t="n"/>
      <c r="O57" s="80" t="n"/>
      <c r="P57" s="80" t="n"/>
      <c r="Q57" s="105">
        <f>IF(OR(L65="",L65="در انتظار"),"",IF(Q65="",TODAY(),Q65))</f>
        <v/>
      </c>
    </row>
    <row r="58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  <c r="K58" s="80" t="n"/>
      <c r="L58" s="80" t="n"/>
      <c r="M58" s="80" t="n"/>
      <c r="N58" s="80" t="n"/>
      <c r="O58" s="80" t="n"/>
      <c r="P58" s="80" t="n"/>
      <c r="Q58" s="105">
        <f>IF(OR(L66="",L66="در انتظار"),"",IF(Q66="",TODAY(),Q66))</f>
        <v/>
      </c>
    </row>
    <row r="59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  <c r="K59" s="80" t="n"/>
      <c r="L59" s="80" t="n"/>
      <c r="M59" s="80" t="n"/>
      <c r="N59" s="80" t="n"/>
      <c r="O59" s="80" t="n"/>
      <c r="P59" s="80" t="n"/>
      <c r="Q59" s="105">
        <f>IF(OR(L67="",L67="در انتظار"),"",IF(Q67="",TODAY(),Q67))</f>
        <v/>
      </c>
    </row>
    <row r="60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  <c r="K60" s="80" t="n"/>
      <c r="L60" s="80" t="n"/>
      <c r="M60" s="80" t="n"/>
      <c r="N60" s="80" t="n"/>
      <c r="O60" s="80" t="n"/>
      <c r="P60" s="80" t="n"/>
      <c r="Q60" s="105">
        <f>IF(OR(L68="",L68="در انتظار"),"",IF(Q68="",TODAY(),Q68))</f>
        <v/>
      </c>
    </row>
    <row r="6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  <c r="K61" s="80" t="n"/>
      <c r="L61" s="80" t="n"/>
      <c r="M61" s="80" t="n"/>
      <c r="N61" s="80" t="n"/>
      <c r="O61" s="80" t="n"/>
      <c r="P61" s="80" t="n"/>
      <c r="Q61" s="105">
        <f>IF(OR(L69="",L69="در انتظار"),"",IF(Q69="",TODAY(),Q69))</f>
        <v/>
      </c>
    </row>
    <row r="62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  <c r="L62" s="80" t="n"/>
      <c r="M62" s="80" t="n"/>
      <c r="N62" s="80" t="n"/>
      <c r="O62" s="80" t="n"/>
      <c r="P62" s="80" t="n"/>
      <c r="Q62" s="105">
        <f>IF(OR(L70="",L70="در انتظار"),"",IF(Q70="",TODAY(),Q70))</f>
        <v/>
      </c>
    </row>
    <row r="63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  <c r="K63" s="80" t="n"/>
      <c r="L63" s="80" t="n"/>
      <c r="M63" s="80" t="n"/>
      <c r="N63" s="80" t="n"/>
      <c r="O63" s="80" t="n"/>
      <c r="P63" s="80" t="n"/>
      <c r="Q63" s="105">
        <f>IF(OR(L71="",L71="در انتظار"),"",IF(Q71="",TODAY(),Q71))</f>
        <v/>
      </c>
    </row>
    <row r="64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  <c r="K64" s="80" t="n"/>
      <c r="L64" s="80" t="n"/>
      <c r="M64" s="80" t="n"/>
      <c r="N64" s="80" t="n"/>
      <c r="O64" s="80" t="n"/>
      <c r="P64" s="80" t="n"/>
      <c r="Q64" s="105">
        <f>IF(OR(L72="",L72="در انتظار"),"",IF(Q72="",TODAY(),Q72))</f>
        <v/>
      </c>
    </row>
    <row r="65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  <c r="K65" s="80" t="n"/>
      <c r="L65" s="80" t="n"/>
      <c r="M65" s="80" t="n"/>
      <c r="N65" s="80" t="n"/>
      <c r="O65" s="80" t="n"/>
      <c r="P65" s="80" t="n"/>
      <c r="Q65" s="105">
        <f>IF(OR(L73="",L73="در انتظار"),"",IF(Q73="",TODAY(),Q73))</f>
        <v/>
      </c>
    </row>
    <row r="66">
      <c r="A66" s="80" t="n"/>
      <c r="B66" s="80" t="n"/>
      <c r="C66" s="80" t="n"/>
      <c r="D66" s="80" t="n"/>
      <c r="E66" s="80" t="n"/>
      <c r="F66" s="80" t="n"/>
      <c r="G66" s="80" t="n"/>
      <c r="H66" s="80" t="n"/>
      <c r="I66" s="80" t="n"/>
      <c r="J66" s="80" t="n"/>
      <c r="K66" s="80" t="n"/>
      <c r="L66" s="80" t="n"/>
      <c r="M66" s="80" t="n"/>
      <c r="N66" s="80" t="n"/>
      <c r="O66" s="80" t="n"/>
      <c r="P66" s="80" t="n"/>
      <c r="Q66" s="105">
        <f>IF(OR(L74="",L74="در انتظار"),"",IF(Q74="",TODAY(),Q74))</f>
        <v/>
      </c>
    </row>
    <row r="67" ht="54" customHeight="1">
      <c r="A67" s="92" t="inlineStr">
        <is>
          <t>UI-031</t>
        </is>
      </c>
      <c r="B67" s="98" t="inlineStr">
        <is>
          <t>عملکرد واقعی درصد</t>
        </is>
      </c>
      <c r="C67" s="101" t="inlineStr">
        <is>
          <t>متوسط</t>
        </is>
      </c>
      <c r="D67" s="98" t="inlineStr">
        <is>
          <t>دستگاه روی باتری در حال کار، درصد شارژ معلوم</t>
        </is>
      </c>
      <c r="E67" s="98" t="inlineStr">
        <is>
          <t>گام ۱: دستگاه را روی باتری روشن کن تا درصد شارژ و چشمک سبز معلوم باشد.
گام ۲: فقط ولتاژ ورودی را بالا و پایین کن (به باتری دست نزن).
گام ۳: درصد و چشمک سبز نباید هیچ تغییری کند.
گام ۴: حالا فقط ولتاژ باتری را عوض کن؛ درصد باید عوض شود.</t>
        </is>
      </c>
      <c r="F67" s="98" t="inlineStr">
        <is>
          <t>تغییر جدا جدا ورودی و باتری</t>
        </is>
      </c>
      <c r="G67" s="101" t="inlineStr">
        <is>
          <t>یک دقیقه</t>
        </is>
      </c>
      <c r="H67" s="98" t="inlineStr">
        <is>
          <t>درصد فقط از باتری می‌آید، نه از ورودی</t>
        </is>
      </c>
      <c r="I67" s="98" t="inlineStr">
        <is>
          <t>—</t>
        </is>
      </c>
      <c r="J67" s="98" t="inlineStr">
        <is>
          <t>با ورودی ثابت بماند و با باتری عوض شود</t>
        </is>
      </c>
      <c r="K67" s="98" t="inlineStr"/>
      <c r="L67" s="96" t="inlineStr">
        <is>
          <t>در انتظار</t>
        </is>
      </c>
      <c r="M67" s="98" t="n"/>
      <c r="N67" s="98" t="n"/>
      <c r="O67" s="101" t="n"/>
      <c r="P67" s="101" t="n"/>
      <c r="Q67" s="102">
        <f>IF(OR(L67="",L67="در انتظار"),"",IF(Q67="",TODAY(),Q67))</f>
        <v/>
      </c>
    </row>
    <row r="68">
      <c r="A68" s="92" t="inlineStr">
        <is>
          <t>UI-032</t>
        </is>
      </c>
      <c r="B68" s="98" t="inlineStr">
        <is>
          <t>خطای ۶: قطع باتری حین شارژ</t>
        </is>
      </c>
      <c r="C68" s="101" t="inlineStr">
        <is>
          <t>بالا</t>
        </is>
      </c>
      <c r="D68" s="98" t="inlineStr">
        <is>
          <t>دستگاه با برق شهر روشن و باتری واقعی در حال شارژ است (زرد چشمک می‌زند)</t>
        </is>
      </c>
      <c r="E68" s="98" t="inlineStr">
        <is>
          <t>گام ۱: وقتی شارژ در جریان است، سیم باتری را از ترمینال جدا کن.
گام ۲: چند ثانیه به چراغ‌ها نگاه کن: قرمز باید تندتند چشمک بزند (تقریباً نیم ثانیه روشن، نیم ثانیه خاموش)، سبز ثابت روشن بماند، زرد خاموش شود و هر چند ثانیه سه بوق کوتاه بیاید.
گام ۳: در پنل ببین جریان شارژ صفر شده.
گام ۴: سیم باتری را دوباره وصل کن: بعد از چند ثانیه چشمک و بوق قطع و شارژ دوباره شروع می‌شود.</t>
        </is>
      </c>
      <c r="F68" s="98" t="inlineStr">
        <is>
          <t>کشیدن و وصل‌کردن سیم باتری حین شارژ</t>
        </is>
      </c>
      <c r="G68" s="101" t="inlineStr">
        <is>
          <t>دو دقیقه</t>
        </is>
      </c>
      <c r="H68" s="98" t="inlineStr">
        <is>
          <t>حین خطا: قرمز چشمک‌تند + سبز ثابت + زرد خاموش + سه بوق دوره‌ای و شارژ متوقف؛ با وصل باتری همه‌چیز پاک و شارژ برمی‌گردد</t>
        </is>
      </c>
      <c r="I68" s="98" t="inlineStr">
        <is>
          <t>قرمز حدود نیم‌ثانیه‌ای روشن/خاموش</t>
        </is>
      </c>
      <c r="J68" s="98" t="inlineStr">
        <is>
          <t>دقیقاً همین چهره و برگشت تمیز = قبول؛ هر چراغ اشتباه یا پاک‌نشدن = رد</t>
        </is>
      </c>
      <c r="K68" s="98" t="n"/>
      <c r="L68" s="96" t="inlineStr">
        <is>
          <t>در انتظار</t>
        </is>
      </c>
      <c r="M68" s="98" t="n"/>
      <c r="N68" s="98" t="n"/>
      <c r="O68" s="101" t="n"/>
      <c r="P68" s="101" t="n"/>
      <c r="Q68" s="102">
        <f>IF(OR(L68="",L68="در انتظار"),"",IF(Q68="",TODAY(),Q68))</f>
        <v/>
      </c>
    </row>
    <row r="69">
      <c r="A69" s="92" t="inlineStr">
        <is>
          <t>UI-033</t>
        </is>
      </c>
      <c r="B69" s="98" t="inlineStr">
        <is>
          <t>خطای ۷: خرابی یک کانال شارژ</t>
        </is>
      </c>
      <c r="C69" s="101" t="inlineStr">
        <is>
          <t>بالا</t>
        </is>
      </c>
      <c r="D69" s="98" t="inlineStr">
        <is>
          <t>دستگاه در حال شارژ باتری است؛ فیوز یا سیم خروجی یک کانال شارژ را می‌شناسی</t>
        </is>
      </c>
      <c r="E69" s="98" t="inlineStr">
        <is>
          <t>گام ۱: فیوز خروجی یک کانال شارژ را دربیاور تا آن کانال فرمان بگیرد ولی جریان نکشد.
گام ۲: چند ثانیه صبر کن: هر سه چراغ باید با هم و هم‌زمان چشمک بزنند و شارژ کلاً متوقف شود.
گام ۳: فیوز را سر جایش بگذار؛ خطا نباید پاک شود.
گام ۴: دستگاه را خاموش و روشن کن؛ فقط آن‌وقت خطا پاک و شارژ عادی می‌شود.</t>
        </is>
      </c>
      <c r="F69" s="98" t="inlineStr">
        <is>
          <t>دربیاوردن فیوز یک کانال و خاموش/روشن</t>
        </is>
      </c>
      <c r="G69" s="101" t="inlineStr">
        <is>
          <t>پنج دقیقه</t>
        </is>
      </c>
      <c r="H69" s="98" t="inlineStr">
        <is>
          <t>خطای ۷ قفل می‌شود: هر سه چراغ هم‌زمان چشمک‌زن و شارژ متوقف؛ فقط با خاموش/روشن پاک می‌شود</t>
        </is>
      </c>
      <c r="I69" s="98" t="inlineStr">
        <is>
          <t>هر سه چراغ با یک ریتم مشترک</t>
        </is>
      </c>
      <c r="J69" s="98" t="inlineStr">
        <is>
          <t>قفل و پاک‌شدن فقط با ریست = قبول؛ پاک‌شدن با جا زدن فیوز = رد</t>
        </is>
      </c>
      <c r="K69" s="98" t="n"/>
      <c r="L69" s="96" t="inlineStr">
        <is>
          <t>در انتظار</t>
        </is>
      </c>
      <c r="M69" s="98" t="n"/>
      <c r="N69" s="98" t="n"/>
      <c r="O69" s="101" t="n"/>
      <c r="P69" s="101" t="n"/>
      <c r="Q69" s="102">
        <f>IF(OR(L69="",L69="در انتظار"),"",IF(Q69="",TODAY(),Q69))</f>
        <v/>
      </c>
    </row>
    <row r="70">
      <c r="A70" s="92" t="inlineStr">
        <is>
          <t>UI-034</t>
        </is>
      </c>
      <c r="B70" s="98" t="inlineStr">
        <is>
          <t>باتری خراب (سناریوی ۶): قرمز ثابت</t>
        </is>
      </c>
      <c r="C70" s="101" t="inlineStr">
        <is>
          <t>بالا</t>
        </is>
      </c>
      <c r="D70" s="98" t="inlineStr">
        <is>
          <t>از پنل، زمان سناریوی باتری خراب را موقتاً روی چند دقیقه بگذار (مقدار واقعی یک شبانه‌روز است)؛ یک باتری خالی داری</t>
        </is>
      </c>
      <c r="E70" s="98" t="inlineStr">
        <is>
          <t>گام ۱: باتری خالی را به شارژ بزن و نگذار در این مدت پر و شناور شود.
گام ۲: بعد از گذشت زمان تنظیم‌شده چراغ‌ها را ببین: قرمز باید ثابت روشن باشد، نه چشمک‌زن.
گام ۳: ببین شارژ همان باتری متوقف شده و دیگر شروع نمی‌شود.
گام ۴: باتری را با یک باتری سالم عوض کن: قفل پاک و شارژ عادی شروع می‌شود.
گام ۵: زمان سناریو را از پنل به مقدار واقعی برگردان.</t>
        </is>
      </c>
      <c r="F70" s="98" t="inlineStr">
        <is>
          <t>شارژ باتری خالی با زمان کوتاه‌شده از پنل</t>
        </is>
      </c>
      <c r="G70" s="101" t="inlineStr">
        <is>
          <t>چند دقیقه + زمان تنظیم‌شده</t>
        </is>
      </c>
      <c r="H70" s="98" t="inlineStr">
        <is>
          <t>قرمز ثابت می‌ماند، شارژ آن باتری برای همیشه می‌ایستد و فقط با تعویض باتری پاک می‌شود</t>
        </is>
      </c>
      <c r="I70" s="98" t="inlineStr">
        <is>
          <t>قرمز ثابت، بدون چشمک</t>
        </is>
      </c>
      <c r="J70" s="98" t="inlineStr">
        <is>
          <t>قرمز ثابت و توقف تا تعویض = قبول؛ چشمک‌زدن قرمز یا شارژ دوبارهٔ همان باتری = رد</t>
        </is>
      </c>
      <c r="K70" s="98" t="n"/>
      <c r="L70" s="96" t="inlineStr">
        <is>
          <t>در انتظار</t>
        </is>
      </c>
      <c r="M70" s="98" t="n"/>
      <c r="N70" s="98" t="n"/>
      <c r="O70" s="101" t="n"/>
      <c r="P70" s="101" t="n"/>
      <c r="Q70" s="102">
        <f>IF(OR(L70="",L70="در انتظار"),"",IF(Q70="",TODAY(),Q70))</f>
        <v/>
      </c>
    </row>
    <row r="71">
      <c r="A71" s="92" t="inlineStr">
        <is>
          <t>UI-035</t>
        </is>
      </c>
      <c r="B71" s="98" t="inlineStr">
        <is>
          <t>عدم‌توازن باتری: قرمز چشمک‌زن تنها</t>
        </is>
      </c>
      <c r="C71" s="101" t="inlineStr">
        <is>
          <t>متوسط</t>
        </is>
      </c>
      <c r="D71" s="98" t="inlineStr">
        <is>
          <t>دو باتری ۱۲ ولت داری که یکی را با لامپ ۱۲ ولت کمی خالی کرده‌ای؛ برای زود دیدن، از پنل حدّ رویداد مجاز را موقتاً کم کن</t>
        </is>
      </c>
      <c r="E71" s="98" t="inlineStr">
        <is>
          <t>گام ۱: باتری‌های نابرابر را وصل و دستگاه را مدتی به کار بگذار تا حکم عدم‌توازن قفل شود.
گام ۲: چراغ‌ها را ببین: فقط قرمز چشمک می‌زند؛ سبز و زرد خاموش‌اند و هر از چندی یک بوق کوتاه می‌آید.
گام ۳: هر دو باتری را با باتری‌های سالم و هم‌شارژ عوض کن.
گام ۴: چند دقیقه صبر کن تا قفل خودش پاک شود.</t>
        </is>
      </c>
      <c r="F71" s="98" t="inlineStr">
        <is>
          <t>باتری‌های نابرابر و بعد تعویض با سالم</t>
        </is>
      </c>
      <c r="G71" s="101" t="inlineStr">
        <is>
          <t>نیم ساعت</t>
        </is>
      </c>
      <c r="H71" s="98" t="inlineStr">
        <is>
          <t>در قفل: قرمز چشمک‌زنِ تنها بدون سبز و زرد؛ با تعویض باتری قفل خودکار پاک می‌شود</t>
        </is>
      </c>
      <c r="I71" s="98" t="inlineStr">
        <is>
          <t>قرمز چشمک‌زن، بقیه خاموش</t>
        </is>
      </c>
      <c r="J71" s="98" t="inlineStr">
        <is>
          <t>همین چهره و پاک‌شدن با تعویض = قبول؛ روشن‌ماندن سبز/زرد یا پاک‌نشدن = رد</t>
        </is>
      </c>
      <c r="K71" s="98" t="n"/>
      <c r="L71" s="96" t="inlineStr">
        <is>
          <t>در انتظار</t>
        </is>
      </c>
      <c r="M71" s="98" t="n"/>
      <c r="N71" s="98" t="n"/>
      <c r="O71" s="101" t="n"/>
      <c r="P71" s="101" t="n"/>
      <c r="Q71" s="102">
        <f>IF(OR(L71="",L71="در انتظار"),"",IF(Q71="",TODAY(),Q71))</f>
        <v/>
      </c>
    </row>
  </sheetData>
  <autoFilter ref="A4:Q67"/>
  <mergeCells count="3">
    <mergeCell ref="A3:Q3"/>
    <mergeCell ref="A2:Q2"/>
    <mergeCell ref="A1:Q1"/>
  </mergeCells>
  <dataValidations count="2">
    <dataValidation sqref="L5:L114" showDropDown="0" showInputMessage="0" showErrorMessage="0" allowBlank="1" prompt="وضعیت تست را از فهرست انتخاب کنید" type="list">
      <formula1>='فهرست‌ها'!$A$2:$A$7</formula1>
    </dataValidation>
    <dataValidation sqref="L67" showDropDown="0" showInputMessage="0" showErrorMessage="0" allowBlank="1" type="list">
      <formula1>='فهرست‌ها'!$A$2:$A$7</formula1>
    </dataValidation>
  </dataValidations>
  <hyperlinks>
    <hyperlink ref="D6" location="'برنامه تست'!A5"/>
    <hyperlink ref="I6" location="'برنامه تست'!A5"/>
    <hyperlink ref="D7" location="'برنامه تست'!A5"/>
    <hyperlink ref="I7" location="'برنامه تست'!A5"/>
    <hyperlink ref="D9" location="'برنامه تست'!A8"/>
    <hyperlink ref="D11" location="'برنامه تست'!A10"/>
    <hyperlink ref="D12" location="'برنامه تست'!A10"/>
    <hyperlink ref="D15" location="'برنامه تست'!A14"/>
    <hyperlink ref="D18" location="'برنامه تست'!A17"/>
    <hyperlink ref="D19" location="'برنامه تست'!A18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Q29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06" t="inlineStr">
        <is>
          <t>تست‌های آزمایشگاهی (پایه، اسیلوسکوپ و زمان‌بندی دقیق — جدا از تست عملی)</t>
        </is>
      </c>
      <c r="B1" s="80" t="n"/>
      <c r="C1" s="80" t="n"/>
      <c r="D1" s="80" t="n"/>
      <c r="E1" s="80" t="n"/>
      <c r="F1" s="80" t="n"/>
      <c r="G1" s="80" t="n"/>
      <c r="H1" s="80" t="n"/>
      <c r="I1" s="80" t="n"/>
      <c r="J1" s="80" t="n"/>
      <c r="K1" s="80" t="n"/>
      <c r="L1" s="80" t="n"/>
      <c r="M1" s="80" t="n"/>
      <c r="N1" s="80" t="n"/>
      <c r="O1" s="80" t="n"/>
      <c r="P1" s="80" t="n"/>
      <c r="Q1" s="80" t="n"/>
    </row>
    <row r="2" ht="42" customHeight="1">
      <c r="A2" s="107" t="inlineStr">
        <is>
          <t>این شیت جدا از تست عملی است: اندازه‌گیری روی پایه‌ها، اسیلوسکوپ و تلرانس‌های دقیق میلی‌ثانیه/میکروثانیه. برای بررسی عملکرد واقعی دستگاه لازم نیست؛ برای اعتبارسنجی دقیق سخت‌افزار و زمان‌بندی‌هاست.</t>
        </is>
      </c>
      <c r="B2" s="80" t="n"/>
      <c r="C2" s="80" t="n"/>
      <c r="D2" s="80" t="n"/>
      <c r="E2" s="80" t="n"/>
      <c r="F2" s="80" t="n"/>
      <c r="G2" s="80" t="n"/>
      <c r="H2" s="80" t="n"/>
      <c r="I2" s="80" t="n"/>
      <c r="J2" s="80" t="n"/>
      <c r="K2" s="80" t="n"/>
      <c r="L2" s="80" t="n"/>
      <c r="M2" s="80" t="n"/>
      <c r="N2" s="80" t="n"/>
      <c r="O2" s="80" t="n"/>
      <c r="P2" s="80" t="n"/>
      <c r="Q2" s="80" t="n"/>
    </row>
    <row r="3">
      <c r="A3" s="80" t="n"/>
      <c r="B3" s="80" t="n"/>
      <c r="C3" s="80" t="n"/>
      <c r="D3" s="80" t="n"/>
      <c r="E3" s="80" t="n"/>
      <c r="F3" s="80" t="n"/>
      <c r="G3" s="80" t="n"/>
      <c r="H3" s="80" t="n"/>
      <c r="I3" s="80" t="n"/>
      <c r="J3" s="80" t="n"/>
      <c r="K3" s="80" t="n"/>
      <c r="L3" s="80" t="n"/>
      <c r="M3" s="80" t="n"/>
      <c r="N3" s="80" t="n"/>
      <c r="O3" s="80" t="n"/>
      <c r="P3" s="80" t="n"/>
      <c r="Q3" s="80" t="n"/>
    </row>
    <row r="4" ht="30" customHeight="1">
      <c r="A4" s="82" t="inlineStr">
        <is>
          <t>شناسه</t>
        </is>
      </c>
      <c r="B4" s="82" t="inlineStr">
        <is>
          <t>دسته</t>
        </is>
      </c>
      <c r="C4" s="82" t="inlineStr">
        <is>
          <t>اولویت</t>
        </is>
      </c>
      <c r="D4" s="82" t="inlineStr">
        <is>
          <t>پیش‌شرط</t>
        </is>
      </c>
      <c r="E4" s="82" t="inlineStr">
        <is>
          <t>روش اجرای دقیق</t>
        </is>
      </c>
      <c r="F4" s="82" t="inlineStr">
        <is>
          <t>ورودی‌ها (v_bat/v_in/raw)</t>
        </is>
      </c>
      <c r="G4" s="82" t="inlineStr">
        <is>
          <t>مدت مشاهده</t>
        </is>
      </c>
      <c r="H4" s="82" t="inlineStr">
        <is>
          <t>LED/بوق — انتظار</t>
        </is>
      </c>
      <c r="I4" s="82" t="inlineStr">
        <is>
          <t>فاز چشمک — انتظار</t>
        </is>
      </c>
      <c r="J4" s="82" t="inlineStr">
        <is>
          <t>معیار قبولی</t>
        </is>
      </c>
      <c r="K4" s="82" t="inlineStr">
        <is>
          <t>نتیجه واقعی</t>
        </is>
      </c>
      <c r="L4" s="82" t="inlineStr">
        <is>
          <t>وضعیت</t>
        </is>
      </c>
      <c r="M4" s="82" t="inlineStr">
        <is>
          <t>شرح ایراد</t>
        </is>
      </c>
      <c r="N4" s="82" t="inlineStr">
        <is>
          <t>مدرک تست</t>
        </is>
      </c>
      <c r="O4" s="82" t="inlineStr">
        <is>
          <t>commit</t>
        </is>
      </c>
      <c r="P4" s="82" t="inlineStr">
        <is>
          <t>تست‌کننده</t>
        </is>
      </c>
      <c r="Q4" s="82" t="inlineStr">
        <is>
          <t>تاریخ</t>
        </is>
      </c>
    </row>
    <row r="5" ht="54" customHeight="1">
      <c r="A5" s="92" t="inlineStr">
        <is>
          <t>UI-001</t>
        </is>
      </c>
      <c r="B5" s="98" t="inlineStr">
        <is>
          <t>Mapping PA3→v_bat</t>
        </is>
      </c>
      <c r="C5" s="99" t="inlineStr">
        <is>
          <t>بالا</t>
        </is>
      </c>
      <c r="D5" s="98" t="inlineStr">
        <is>
          <t>برد روشن, valid</t>
        </is>
      </c>
      <c r="E5" s="98" t="inlineStr">
        <is>
          <t>گام ۱: برد روشن و snapshot معتبر باشد؛ روی پایهٔ PA3 دقیقاً 2 ولت بده (counts 2482).
گام ۲: ورودی را هم روی 24 ولت بگذار تا v_in مشکلی نداشته باشد.
گام ۳: 100 میلی‌ثانیه صبر کن و raw2 و v_bat24_mv را بخوان.
گام ۴: v_bat باید حدود 22352 میلی‌ولت باشد و درصد از روی همان حساب شود (21000 میلی‌ولت = صفر درصد، پس حدود 17 درصد). PA3 فقط v_bat است؛ اگر از v_in استفاده شد تست رد است.</t>
        </is>
      </c>
      <c r="F5" s="101" t="inlineStr">
        <is>
          <t>PA3 2.0V pin → v_bat≈22352mV, v_in 24V</t>
        </is>
      </c>
      <c r="G5" s="101" t="inlineStr">
        <is>
          <t>100ms</t>
        </is>
      </c>
      <c r="H5" s="98" t="inlineStr">
        <is>
          <t>v_bat≈22352, percent ~17% (21000=0). PA3 فقط v_bat</t>
        </is>
      </c>
      <c r="I5" s="98" t="inlineStr">
        <is>
          <t>—</t>
        </is>
      </c>
      <c r="J5" s="98" t="inlineStr">
        <is>
          <t>PASS: PA3/raw2/v_bat. FAIL: v_in استفاده</t>
        </is>
      </c>
      <c r="K5" s="98" t="n"/>
      <c r="L5" s="96" t="inlineStr">
        <is>
          <t>در انتظار</t>
        </is>
      </c>
      <c r="M5" s="98" t="n"/>
      <c r="N5" s="98" t="n"/>
      <c r="O5" s="101" t="n"/>
      <c r="P5" s="101" t="n"/>
      <c r="Q5" s="102">
        <f>IF(OR(L5="",L5="در انتظار"),"",IF(Q5="",TODAY(),Q5))</f>
        <v/>
      </c>
    </row>
    <row r="6" ht="54" customHeight="1">
      <c r="A6" s="92" t="inlineStr">
        <is>
          <t>UI-014</t>
        </is>
      </c>
      <c r="B6" s="93" t="inlineStr">
        <is>
          <t>Charging yellow phase</t>
        </is>
      </c>
      <c r="C6" s="94" t="inlineStr">
        <is>
          <t>بالا</t>
        </is>
      </c>
      <c r="D6" s="93" t="inlineStr">
        <is>
          <t>Charging 25V On430</t>
        </is>
      </c>
      <c r="E6" s="93" t="inlineStr">
        <is>
          <t>گام ۱: وضعیت Charging با باتری 25 ولت باشد تا زرد در حال روشنی با زمان روشنی 430 میلی‌ثانیه باشد.
گام ۲: وقتی 100 میلی‌ثانیه از روشنی گذشت، درصد خام را 56 کن (درصد پایدار همان 57 می‌ماند).
گام ۳: تا 600 میلی‌ثانیه نگاه کن: روشنی باید تا 430 کامل ادامه پیدا کند و بعد خاموش شود.
گام ۴: اگر روشنی وسطش از نو شروع شد (restart) تست رد است.</t>
        </is>
      </c>
      <c r="F6" s="95" t="inlineStr">
        <is>
          <t>On430 jitter56</t>
        </is>
      </c>
      <c r="G6" s="95" t="inlineStr">
        <is>
          <t>600ms</t>
        </is>
      </c>
      <c r="H6" s="93" t="inlineStr">
        <is>
          <t>ON تا 430 حفظ سپس OFF</t>
        </is>
      </c>
      <c r="I6" s="93" t="inlineStr">
        <is>
          <t>ON حفظ</t>
        </is>
      </c>
      <c r="J6" s="93" t="inlineStr">
        <is>
          <t>PASS: restart نشد. FAIL: restart</t>
        </is>
      </c>
      <c r="K6" s="93" t="n"/>
      <c r="L6" s="96" t="inlineStr">
        <is>
          <t>در انتظار</t>
        </is>
      </c>
      <c r="M6" s="93" t="n"/>
      <c r="N6" s="93" t="n"/>
      <c r="O6" s="95" t="n"/>
      <c r="P6" s="95" t="n"/>
      <c r="Q6" s="97">
        <f>IF(OR(L6="",L6="در انتظار"),"",IF(Q6="",TODAY(),Q6))</f>
        <v/>
      </c>
    </row>
    <row r="7" ht="54" customHeight="1">
      <c r="A7" s="92" t="inlineStr">
        <is>
          <t>UI-018</t>
        </is>
      </c>
      <c r="B7" s="93" t="inlineStr">
        <is>
          <t>BatteryRun phase preserve</t>
        </is>
      </c>
      <c r="C7" s="94" t="inlineStr">
        <is>
          <t>بالا</t>
        </is>
      </c>
      <c r="D7" s="93" t="inlineStr">
        <is>
          <t>BatteryRun 25V stable57 ON570</t>
        </is>
      </c>
      <c r="E7" s="93" t="inlineStr">
        <is>
          <t>گام ۱: BatteryRun با باتری 25 ولت و درصد پایدار 57 باشد تا سبز در فاز روشنی 570 میلی‌ثانیه‌ای باشد.
گام ۲: وقتی 100 میلی‌ثانیه از روشنی گذشت، درصد خام را 56 کن (پایدار همان 57 می‌ماند).
گام ۳: تا 700 میلی‌ثانیه نگاه کن: روشنی باید تا 570 کامل ادامه پیدا کند و بعد 430 خاموشی بیاید.
گام ۴: اگر روشنی وسطش از نو شروع شد، تست رد است.</t>
        </is>
      </c>
      <c r="F7" s="95" t="inlineStr">
        <is>
          <t>On570 jitter56</t>
        </is>
      </c>
      <c r="G7" s="95" t="inlineStr">
        <is>
          <t>700ms</t>
        </is>
      </c>
      <c r="H7" s="93" t="inlineStr">
        <is>
          <t>ON تا 570 حفظ سپس OFF430</t>
        </is>
      </c>
      <c r="I7" s="93" t="inlineStr">
        <is>
          <t>ON حفظ570</t>
        </is>
      </c>
      <c r="J7" s="93" t="inlineStr">
        <is>
          <t>PASS: restart نشد. FAIL: restart</t>
        </is>
      </c>
      <c r="K7" s="93" t="n"/>
      <c r="L7" s="96" t="inlineStr">
        <is>
          <t>در انتظار</t>
        </is>
      </c>
      <c r="M7" s="93" t="n"/>
      <c r="N7" s="93" t="n"/>
      <c r="O7" s="95" t="n"/>
      <c r="P7" s="95" t="n"/>
      <c r="Q7" s="97">
        <f>IF(OR(L7="",L7="در انتظار"),"",IF(Q7="",TODAY(),Q7))</f>
        <v/>
      </c>
    </row>
    <row r="8" ht="54" customHeight="1">
      <c r="A8" s="92" t="inlineStr">
        <is>
          <t>UI-025</t>
        </is>
      </c>
      <c r="B8" s="98" t="inlineStr">
        <is>
          <t>Mapping PA3/PA2</t>
        </is>
      </c>
      <c r="C8" s="99" t="inlineStr">
        <is>
          <t>بالا</t>
        </is>
      </c>
      <c r="D8" s="98" t="inlineStr">
        <is>
          <t>Measurement</t>
        </is>
      </c>
      <c r="E8" s="98" t="inlineStr">
        <is>
          <t>گام ۱: از Measurement شروع کن: روی PA3 دقیقاً 1 ولت و روی PA2 هم دقیقاً 1 ولت بده.
گام ۲: 100 میلی‌ثانیه صبر کن و این‌ها را بخوان: raw1 باید ولتاژ ورودی و raw2 باید ولتاژ باتری باشد و هر دو حدود 11176 میلی‌ولت خوانده شوند.
گام ۳: چک کن v_bat از PA3 و raw2 می‌آید و v_in از PA2 و raw1.
گام ۴: BatteryRun فقط باید بر اساس v_bat کار کند؛ جابه‌جا بودن این دو یعنی رد تست.</t>
        </is>
      </c>
      <c r="F8" s="101" t="inlineStr">
        <is>
          <t>PA2/PA3 1V</t>
        </is>
      </c>
      <c r="G8" s="101" t="inlineStr">
        <is>
          <t>100ms</t>
        </is>
      </c>
      <c r="H8" s="98" t="inlineStr">
        <is>
          <t>v_bat PA3/raw2 v_in PA2/raw1 BatteryRun فقط v_bat</t>
        </is>
      </c>
      <c r="I8" s="98" t="inlineStr">
        <is>
          <t>—</t>
        </is>
      </c>
      <c r="J8" s="98" t="inlineStr">
        <is>
          <t>PASS: mapping. FAIL: جابجایی</t>
        </is>
      </c>
      <c r="K8" s="98" t="n"/>
      <c r="L8" s="96" t="inlineStr">
        <is>
          <t>در انتظار</t>
        </is>
      </c>
      <c r="M8" s="98" t="n"/>
      <c r="N8" s="98" t="n"/>
      <c r="O8" s="101" t="n"/>
      <c r="P8" s="101" t="n"/>
      <c r="Q8" s="102">
        <f>IF(OR(L8="",L8="در انتظار"),"",IF(Q8="",TODAY(),Q8))</f>
        <v/>
      </c>
    </row>
    <row r="9" ht="54" customHeight="1">
      <c r="A9" s="92" t="inlineStr">
        <is>
          <t>UI-028</t>
        </is>
      </c>
      <c r="B9" s="93" t="inlineStr">
        <is>
          <t>Task starvation</t>
        </is>
      </c>
      <c r="C9" s="94" t="inlineStr">
        <is>
          <t>بالا</t>
        </is>
      </c>
      <c r="D9" s="93" t="inlineStr">
        <is>
          <t>همه سناریوها</t>
        </is>
      </c>
      <c r="E9" s="93" t="inlineStr">
        <is>
          <t>گام ۱: هر سه وضعیت InputOk و Charging و BatteryRun را یکی‌یکی بساز.
گام ۲: در هر وضعیت 5 ثانیه همهٔ تسک‌ها را زیر نظر بگیر.
گام ۳: task_ui، تسک اندازه‌گیری و تسک کنترل هر سه باید هر 10 میلی‌ثانیه اجرا شوند.
گام ۴: هیچ‌کدام نباید گرسنه بماند؛ delayهای طولانی 500 یا 1000 میلی‌ثانیه‌ای یعنی رد تست.</t>
        </is>
      </c>
      <c r="F9" s="95" t="inlineStr">
        <is>
          <t>—</t>
        </is>
      </c>
      <c r="G9" s="95" t="inlineStr">
        <is>
          <t>5s</t>
        </is>
      </c>
      <c r="H9" s="93" t="inlineStr">
        <is>
          <t>ui10ms meas10ms ctrl10ms همه اجرا</t>
        </is>
      </c>
      <c r="I9" s="93" t="inlineStr">
        <is>
          <t>—</t>
        </is>
      </c>
      <c r="J9" s="93" t="inlineStr">
        <is>
          <t>PASS: بدون starvation. FAIL: delay500/1000</t>
        </is>
      </c>
      <c r="K9" s="93" t="n"/>
      <c r="L9" s="96" t="inlineStr">
        <is>
          <t>در انتظار</t>
        </is>
      </c>
      <c r="M9" s="93" t="n"/>
      <c r="N9" s="93" t="n"/>
      <c r="O9" s="95" t="n"/>
      <c r="P9" s="95" t="n"/>
      <c r="Q9" s="97">
        <f>IF(OR(L9="",L9="در انتظار"),"",IF(Q9="",TODAY(),Q9))</f>
        <v/>
      </c>
    </row>
    <row r="10">
      <c r="A10" s="80" t="n"/>
      <c r="B10" s="80" t="n"/>
      <c r="C10" s="80" t="n"/>
      <c r="D10" s="80" t="n"/>
      <c r="E10" s="80" t="n"/>
      <c r="F10" s="80" t="n"/>
      <c r="G10" s="80" t="n"/>
      <c r="H10" s="80" t="n"/>
      <c r="I10" s="80" t="n"/>
      <c r="J10" s="80" t="n"/>
      <c r="K10" s="80" t="n"/>
      <c r="L10" s="80" t="n"/>
      <c r="M10" s="80" t="n"/>
      <c r="N10" s="80" t="n"/>
      <c r="O10" s="80" t="n"/>
      <c r="P10" s="80" t="n"/>
      <c r="Q10" s="105">
        <f>IF(OR(L10="",L10="در انتظار"),"",IF(Q10="",TODAY(),Q10))</f>
        <v/>
      </c>
    </row>
    <row r="11">
      <c r="A11" s="80" t="n"/>
      <c r="B11" s="80" t="n"/>
      <c r="C11" s="80" t="n"/>
      <c r="D11" s="80" t="n"/>
      <c r="E11" s="80" t="n"/>
      <c r="F11" s="80" t="n"/>
      <c r="G11" s="80" t="n"/>
      <c r="H11" s="80" t="n"/>
      <c r="I11" s="80" t="n"/>
      <c r="J11" s="80" t="n"/>
      <c r="K11" s="80" t="n"/>
      <c r="L11" s="80" t="n"/>
      <c r="M11" s="80" t="n"/>
      <c r="N11" s="80" t="n"/>
      <c r="O11" s="80" t="n"/>
      <c r="P11" s="80" t="n"/>
      <c r="Q11" s="105">
        <f>IF(OR(L11="",L11="در انتظار"),"",IF(Q11="",TODAY(),Q11))</f>
        <v/>
      </c>
    </row>
    <row r="12">
      <c r="A12" s="80" t="n"/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  <c r="M12" s="80" t="n"/>
      <c r="N12" s="80" t="n"/>
      <c r="O12" s="80" t="n"/>
      <c r="P12" s="80" t="n"/>
      <c r="Q12" s="105">
        <f>IF(OR(L12="",L12="در انتظار"),"",IF(Q12="",TODAY(),Q12))</f>
        <v/>
      </c>
    </row>
    <row r="13">
      <c r="A13" s="80" t="n"/>
      <c r="B13" s="80" t="n"/>
      <c r="C13" s="80" t="n"/>
      <c r="D13" s="80" t="n"/>
      <c r="E13" s="80" t="n"/>
      <c r="F13" s="80" t="n"/>
      <c r="G13" s="80" t="n"/>
      <c r="H13" s="80" t="n"/>
      <c r="I13" s="80" t="n"/>
      <c r="J13" s="80" t="n"/>
      <c r="K13" s="80" t="n"/>
      <c r="L13" s="80" t="n"/>
      <c r="M13" s="80" t="n"/>
      <c r="N13" s="80" t="n"/>
      <c r="O13" s="80" t="n"/>
      <c r="P13" s="80" t="n"/>
      <c r="Q13" s="105">
        <f>IF(OR(L13="",L13="در انتظار"),"",IF(Q13="",TODAY(),Q13))</f>
        <v/>
      </c>
    </row>
    <row r="14">
      <c r="A14" s="80" t="n"/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  <c r="M14" s="80" t="n"/>
      <c r="N14" s="80" t="n"/>
      <c r="O14" s="80" t="n"/>
      <c r="P14" s="80" t="n"/>
      <c r="Q14" s="105">
        <f>IF(OR(L14="",L14="در انتظار"),"",IF(Q14="",TODAY(),Q14))</f>
        <v/>
      </c>
    </row>
    <row r="15">
      <c r="A15" s="80" t="n"/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  <c r="M15" s="80" t="n"/>
      <c r="N15" s="80" t="n"/>
      <c r="O15" s="80" t="n"/>
      <c r="P15" s="80" t="n"/>
      <c r="Q15" s="105">
        <f>IF(OR(L15="",L15="در انتظار"),"",IF(Q15="",TODAY(),Q15))</f>
        <v/>
      </c>
    </row>
    <row r="16">
      <c r="A16" s="80" t="n"/>
      <c r="B16" s="80" t="n"/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  <c r="L16" s="80" t="n"/>
      <c r="M16" s="80" t="n"/>
      <c r="N16" s="80" t="n"/>
      <c r="O16" s="80" t="n"/>
      <c r="P16" s="80" t="n"/>
      <c r="Q16" s="105">
        <f>IF(OR(L16="",L16="در انتظار"),"",IF(Q16="",TODAY(),Q16))</f>
        <v/>
      </c>
    </row>
    <row r="17">
      <c r="A17" s="80" t="n"/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n"/>
      <c r="M17" s="80" t="n"/>
      <c r="N17" s="80" t="n"/>
      <c r="O17" s="80" t="n"/>
      <c r="P17" s="80" t="n"/>
      <c r="Q17" s="105">
        <f>IF(OR(L17="",L17="در انتظار"),"",IF(Q17="",TODAY(),Q17))</f>
        <v/>
      </c>
    </row>
    <row r="18">
      <c r="A18" s="80" t="n"/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  <c r="M18" s="80" t="n"/>
      <c r="N18" s="80" t="n"/>
      <c r="O18" s="80" t="n"/>
      <c r="P18" s="80" t="n"/>
      <c r="Q18" s="105">
        <f>IF(OR(L18="",L18="در انتظار"),"",IF(Q18="",TODAY(),Q18))</f>
        <v/>
      </c>
    </row>
    <row r="19">
      <c r="A19" s="80" t="n"/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  <c r="M19" s="80" t="n"/>
      <c r="N19" s="80" t="n"/>
      <c r="O19" s="80" t="n"/>
      <c r="P19" s="80" t="n"/>
      <c r="Q19" s="105">
        <f>IF(OR(L19="",L19="در انتظار"),"",IF(Q19="",TODAY(),Q19))</f>
        <v/>
      </c>
    </row>
    <row r="20">
      <c r="A20" s="80" t="n"/>
      <c r="B20" s="80" t="n"/>
      <c r="C20" s="80" t="n"/>
      <c r="D20" s="80" t="n"/>
      <c r="E20" s="80" t="n"/>
      <c r="F20" s="80" t="n"/>
      <c r="G20" s="80" t="n"/>
      <c r="H20" s="80" t="n"/>
      <c r="I20" s="80" t="n"/>
      <c r="J20" s="80" t="n"/>
      <c r="K20" s="80" t="n"/>
      <c r="L20" s="80" t="n"/>
      <c r="M20" s="80" t="n"/>
      <c r="N20" s="80" t="n"/>
      <c r="O20" s="80" t="n"/>
      <c r="P20" s="80" t="n"/>
      <c r="Q20" s="105">
        <f>IF(OR(L20="",L20="در انتظار"),"",IF(Q20="",TODAY(),Q20))</f>
        <v/>
      </c>
    </row>
    <row r="21">
      <c r="A21" s="80" t="n"/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  <c r="M21" s="80" t="n"/>
      <c r="N21" s="80" t="n"/>
      <c r="O21" s="80" t="n"/>
      <c r="P21" s="80" t="n"/>
      <c r="Q21" s="105">
        <f>IF(OR(L21="",L21="در انتظار"),"",IF(Q21="",TODAY(),Q21))</f>
        <v/>
      </c>
    </row>
    <row r="22">
      <c r="A22" s="80" t="n"/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  <c r="M22" s="80" t="n"/>
      <c r="N22" s="80" t="n"/>
      <c r="O22" s="80" t="n"/>
      <c r="P22" s="80" t="n"/>
      <c r="Q22" s="105">
        <f>IF(OR(L22="",L22="در انتظار"),"",IF(Q22="",TODAY(),Q22))</f>
        <v/>
      </c>
    </row>
    <row r="23">
      <c r="A23" s="80" t="n"/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  <c r="M23" s="80" t="n"/>
      <c r="N23" s="80" t="n"/>
      <c r="O23" s="80" t="n"/>
      <c r="P23" s="80" t="n"/>
      <c r="Q23" s="105">
        <f>IF(OR(L23="",L23="در انتظار"),"",IF(Q23="",TODAY(),Q23))</f>
        <v/>
      </c>
    </row>
    <row r="24">
      <c r="A24" s="80" t="n"/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  <c r="M24" s="80" t="n"/>
      <c r="N24" s="80" t="n"/>
      <c r="O24" s="80" t="n"/>
      <c r="P24" s="80" t="n"/>
      <c r="Q24" s="105">
        <f>IF(OR(L24="",L24="در انتظار"),"",IF(Q24="",TODAY(),Q24))</f>
        <v/>
      </c>
    </row>
    <row r="25">
      <c r="A25" s="80" t="n"/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  <c r="M25" s="80" t="n"/>
      <c r="N25" s="80" t="n"/>
      <c r="O25" s="80" t="n"/>
      <c r="P25" s="80" t="n"/>
      <c r="Q25" s="105">
        <f>IF(OR(L25="",L25="در انتظار"),"",IF(Q25="",TODAY(),Q25))</f>
        <v/>
      </c>
    </row>
    <row r="26">
      <c r="A26" s="80" t="n"/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  <c r="L26" s="80" t="n"/>
      <c r="M26" s="80" t="n"/>
      <c r="N26" s="80" t="n"/>
      <c r="O26" s="80" t="n"/>
      <c r="P26" s="80" t="n"/>
      <c r="Q26" s="105">
        <f>IF(OR(L26="",L26="در انتظار"),"",IF(Q26="",TODAY(),Q26))</f>
        <v/>
      </c>
    </row>
    <row r="27">
      <c r="A27" s="80" t="n"/>
      <c r="B27" s="80" t="n"/>
      <c r="C27" s="80" t="n"/>
      <c r="D27" s="80" t="n"/>
      <c r="E27" s="80" t="n"/>
      <c r="F27" s="80" t="n"/>
      <c r="G27" s="80" t="n"/>
      <c r="H27" s="80" t="n"/>
      <c r="I27" s="80" t="n"/>
      <c r="J27" s="80" t="n"/>
      <c r="K27" s="80" t="n"/>
      <c r="L27" s="80" t="n"/>
      <c r="M27" s="80" t="n"/>
      <c r="N27" s="80" t="n"/>
      <c r="O27" s="80" t="n"/>
      <c r="P27" s="80" t="n"/>
      <c r="Q27" s="105">
        <f>IF(OR(L27="",L27="در انتظار"),"",IF(Q27="",TODAY(),Q27))</f>
        <v/>
      </c>
    </row>
    <row r="28">
      <c r="A28" s="80" t="n"/>
      <c r="B28" s="80" t="n"/>
      <c r="C28" s="80" t="n"/>
      <c r="D28" s="80" t="n"/>
      <c r="E28" s="80" t="n"/>
      <c r="F28" s="80" t="n"/>
      <c r="G28" s="80" t="n"/>
      <c r="H28" s="80" t="n"/>
      <c r="I28" s="80" t="n"/>
      <c r="J28" s="80" t="n"/>
      <c r="K28" s="80" t="n"/>
      <c r="L28" s="80" t="n"/>
      <c r="M28" s="80" t="n"/>
      <c r="N28" s="80" t="n"/>
      <c r="O28" s="80" t="n"/>
      <c r="P28" s="80" t="n"/>
      <c r="Q28" s="105">
        <f>IF(OR(L28="",L28="در انتظار"),"",IF(Q28="",TODAY(),Q28))</f>
        <v/>
      </c>
    </row>
    <row r="29">
      <c r="A29" s="80" t="n"/>
      <c r="B29" s="80" t="n"/>
      <c r="C29" s="80" t="n"/>
      <c r="D29" s="80" t="n"/>
      <c r="E29" s="80" t="n"/>
      <c r="F29" s="80" t="n"/>
      <c r="G29" s="80" t="n"/>
      <c r="H29" s="80" t="n"/>
      <c r="I29" s="80" t="n"/>
      <c r="J29" s="80" t="n"/>
      <c r="K29" s="80" t="n"/>
      <c r="L29" s="80" t="n"/>
      <c r="M29" s="80" t="n"/>
      <c r="N29" s="80" t="n"/>
      <c r="O29" s="80" t="n"/>
      <c r="P29" s="80" t="n"/>
      <c r="Q29" s="105">
        <f>IF(OR(L29="",L29="در انتظار"),"",IF(Q29="",TODAY(),Q29))</f>
        <v/>
      </c>
    </row>
  </sheetData>
  <autoFilter ref="A4:Q9"/>
  <dataValidations count="1">
    <dataValidation sqref="L5 L6 L7 L8 L9 L10 L11 L12 L13 L14 L15 L16 L17 L18 L19 L20 L21 L22 L23 L24 L25 L26 L27 L28 L29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7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106" t="inlineStr">
        <is>
          <t>تست‌های برنامه‌نویسی و هاست (جدا از ولیدیشن عملی برد)</t>
        </is>
      </c>
      <c r="B1" s="80" t="n"/>
      <c r="C1" s="80" t="n"/>
      <c r="D1" s="80" t="n"/>
      <c r="E1" s="80" t="n"/>
      <c r="F1" s="80" t="n"/>
      <c r="G1" s="80" t="n"/>
      <c r="H1" s="80" t="n"/>
      <c r="I1" s="80" t="n"/>
      <c r="J1" s="80" t="n"/>
      <c r="K1" s="80" t="n"/>
      <c r="L1" s="80" t="n"/>
      <c r="M1" s="80" t="n"/>
      <c r="N1" s="80" t="n"/>
      <c r="O1" s="80" t="n"/>
      <c r="P1" s="80" t="n"/>
      <c r="Q1" s="80" t="n"/>
    </row>
    <row r="2" ht="42" customHeight="1">
      <c r="A2" s="80" t="n"/>
      <c r="B2" s="107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  <c r="C2" s="80" t="n"/>
      <c r="D2" s="80" t="n"/>
      <c r="E2" s="80" t="n"/>
      <c r="F2" s="80" t="n"/>
      <c r="G2" s="80" t="n"/>
      <c r="H2" s="80" t="n"/>
      <c r="I2" s="80" t="n"/>
      <c r="J2" s="80" t="n"/>
      <c r="K2" s="80" t="n"/>
      <c r="L2" s="80" t="n"/>
      <c r="M2" s="80" t="n"/>
      <c r="N2" s="80" t="n"/>
      <c r="O2" s="80" t="n"/>
      <c r="P2" s="80" t="n"/>
      <c r="Q2" s="80" t="n"/>
    </row>
    <row r="3">
      <c r="A3" s="80" t="n"/>
      <c r="B3" s="80" t="n"/>
      <c r="C3" s="80" t="n"/>
      <c r="D3" s="80" t="n"/>
      <c r="E3" s="80" t="n"/>
      <c r="F3" s="80" t="n"/>
      <c r="G3" s="80" t="n"/>
      <c r="H3" s="80" t="n"/>
      <c r="I3" s="80" t="n"/>
      <c r="J3" s="80" t="n"/>
      <c r="K3" s="80" t="n"/>
      <c r="L3" s="80" t="n"/>
      <c r="M3" s="80" t="n"/>
      <c r="N3" s="80" t="n"/>
      <c r="O3" s="80" t="n"/>
      <c r="P3" s="80" t="n"/>
      <c r="Q3" s="80" t="n"/>
    </row>
    <row r="4" ht="30" customHeight="1">
      <c r="A4" s="82" t="inlineStr">
        <is>
          <t>شناسه</t>
        </is>
      </c>
      <c r="B4" s="82" t="inlineStr">
        <is>
          <t>دسته</t>
        </is>
      </c>
      <c r="C4" s="82" t="inlineStr">
        <is>
          <t>اولویت</t>
        </is>
      </c>
      <c r="D4" s="82" t="inlineStr">
        <is>
          <t>پیش‌شرط</t>
        </is>
      </c>
      <c r="E4" s="82" t="inlineStr">
        <is>
          <t>روش اجرای دقیق</t>
        </is>
      </c>
      <c r="F4" s="82" t="inlineStr">
        <is>
          <t>ورودی‌ها (v_bat/v_in/raw)</t>
        </is>
      </c>
      <c r="G4" s="82" t="inlineStr">
        <is>
          <t>مدت مشاهده</t>
        </is>
      </c>
      <c r="H4" s="82" t="inlineStr">
        <is>
          <t>LED/بوق — انتظار</t>
        </is>
      </c>
      <c r="I4" s="82" t="inlineStr">
        <is>
          <t>فاز چشمک — انتظار</t>
        </is>
      </c>
      <c r="J4" s="82" t="inlineStr">
        <is>
          <t>معیار قبولی</t>
        </is>
      </c>
      <c r="K4" s="82" t="inlineStr">
        <is>
          <t>نتیجه واقعی</t>
        </is>
      </c>
      <c r="L4" s="82" t="inlineStr">
        <is>
          <t>وضعیت</t>
        </is>
      </c>
      <c r="M4" s="82" t="inlineStr">
        <is>
          <t>شرح ایراد</t>
        </is>
      </c>
      <c r="N4" s="82" t="inlineStr">
        <is>
          <t>مدرک تست</t>
        </is>
      </c>
      <c r="O4" s="82" t="inlineStr">
        <is>
          <t>commit</t>
        </is>
      </c>
      <c r="P4" s="82" t="inlineStr">
        <is>
          <t>تست‌کننده</t>
        </is>
      </c>
      <c r="Q4" s="82" t="inlineStr">
        <is>
          <t>تاریخ</t>
        </is>
      </c>
    </row>
    <row r="5" ht="54" customHeight="1">
      <c r="A5" s="92" t="inlineStr">
        <is>
          <t>UI-026</t>
        </is>
      </c>
      <c r="B5" s="93" t="inlineStr">
        <is>
          <t>RTOS static + stack</t>
        </is>
      </c>
      <c r="C5" s="94" t="inlineStr">
        <is>
          <t>بالا</t>
        </is>
      </c>
      <c r="D5" s="93" t="inlineStr">
        <is>
          <t>همه taskها</t>
        </is>
      </c>
      <c r="E5" s="93" t="inlineStr">
        <is>
          <t>گام ۱: در کل Firmware چک کن تخصیص حافظه فقط استاتیک باشد (SUPPORT_DYNAMIC=0).
گام ۲: برای هر تسک، کنترل‌بلوک و استک ثابت را ببین و اندازهٔ استک‌ها را چک کن: UI برابر 512 بایت، Measurement برابر 768 بایت و Control برابر 1024 بایت (128 و 192 و 256 کلمه).
گام ۳: مقدار high-water هر استک را بخوان: باید بیشتر از 20 درصد از استک آزاد مانده باشد.
گام ۴: هر تخصیص پویا یا سرریز استک یعنی رد تست.</t>
        </is>
      </c>
      <c r="F5" s="95" t="inlineStr">
        <is>
          <t>—</t>
        </is>
      </c>
      <c r="G5" s="95" t="inlineStr">
        <is>
          <t>—</t>
        </is>
      </c>
      <c r="H5" s="93" t="inlineStr">
        <is>
          <t>همه static UI512 Meas768 Ctrl1024 high-water&gt;20%</t>
        </is>
      </c>
      <c r="I5" s="93" t="inlineStr">
        <is>
          <t>—</t>
        </is>
      </c>
      <c r="J5" s="93" t="inlineStr">
        <is>
          <t>PASS: static no overflow. FAIL: dynamic/overflow</t>
        </is>
      </c>
      <c r="K5" s="93" t="n"/>
      <c r="L5" s="96" t="inlineStr">
        <is>
          <t>در انتظار</t>
        </is>
      </c>
      <c r="M5" s="93" t="n"/>
      <c r="N5" s="93" t="n"/>
      <c r="O5" s="95" t="n"/>
      <c r="P5" s="95" t="n"/>
      <c r="Q5" s="97">
        <f>IF(OR(L5="",L5="در انتظار"),"",IF(Q5="",TODAY(),Q5))</f>
        <v/>
      </c>
    </row>
    <row r="6" ht="40.5" customHeight="1">
      <c r="A6" s="92" t="inlineStr">
        <is>
          <t>UI-027</t>
        </is>
      </c>
      <c r="B6" s="98" t="inlineStr">
        <is>
          <t>No extra RTOS</t>
        </is>
      </c>
      <c r="C6" s="99" t="inlineStr">
        <is>
          <t>بالا</t>
        </is>
      </c>
      <c r="D6" s="98" t="inlineStr">
        <is>
          <t>hysteresis UI</t>
        </is>
      </c>
      <c r="E6" s="98" t="inlineStr">
        <is>
          <t>گام ۱: در کل کد محصول دنبال ساختن صف (queue)، تایمر نرم‌افزاری، موتکس یا heap تازه برای هیسترزیس UI بگرد (grep).
گام ۲: هیسترزیس UI باید فقط با همان متغیرهای سادهٔ قبلی کار کند.
گام ۳: هیچ شیء RTOS تازه‌ای نباید برای هیسترزیس ساخته شده باشد؛ پیدا شدن هر کدام یعنی رد تست.</t>
        </is>
      </c>
      <c r="F6" s="101" t="inlineStr">
        <is>
          <t>—</t>
        </is>
      </c>
      <c r="G6" s="101" t="inlineStr">
        <is>
          <t>—</t>
        </is>
      </c>
      <c r="H6" s="98" t="inlineStr">
        <is>
          <t>هیچ شئ جدید برای hysteresis</t>
        </is>
      </c>
      <c r="I6" s="98" t="inlineStr">
        <is>
          <t>—</t>
        </is>
      </c>
      <c r="J6" s="98" t="inlineStr">
        <is>
          <t>PASS: بدون شئ. FAIL: شئ جدید</t>
        </is>
      </c>
      <c r="K6" s="98" t="n"/>
      <c r="L6" s="96" t="inlineStr">
        <is>
          <t>در انتظار</t>
        </is>
      </c>
      <c r="M6" s="98" t="n"/>
      <c r="N6" s="98" t="n"/>
      <c r="O6" s="101" t="n"/>
      <c r="P6" s="101" t="n"/>
      <c r="Q6" s="102">
        <f>IF(OR(L6="",L6="در انتظار"),"",IF(Q6="",TODAY(),Q6))</f>
        <v/>
      </c>
    </row>
    <row r="7" ht="40.5" customHeight="1">
      <c r="A7" s="92" t="inlineStr">
        <is>
          <t>UI-029</t>
        </is>
      </c>
      <c r="B7" s="98" t="inlineStr">
        <is>
          <t>snapshot zeroing task_ui</t>
        </is>
      </c>
      <c r="C7" s="108" t="inlineStr">
        <is>
          <t>بالا</t>
        </is>
      </c>
      <c r="D7" s="98" t="inlineStr">
        <is>
          <t>valid=false</t>
        </is>
      </c>
      <c r="E7" s="98" t="inlineStr">
        <is>
          <t>گام ۱: task_ui را با snapshot صفرشده صدا بزن (valid=false و هر 9 فیلد صفر).
گام ۲: 2 ثانیه نگاه کن.
گام ۳: UI باید safe-off بماند: همهٔ چراغ‌ها خاموش و هیچ درصد کاذبی از روی v_bat24 زباله حساب نشود؛ روشن شدن LED یعنی رد تست.</t>
        </is>
      </c>
      <c r="F7" s="101" t="inlineStr">
        <is>
          <t>valid=false</t>
        </is>
      </c>
      <c r="G7" s="101" t="inlineStr">
        <is>
          <t>2s</t>
        </is>
      </c>
      <c r="H7" s="98" t="inlineStr">
        <is>
          <t>UI باید safe-off بماند؛ چراغ‌ها خاموش؛ بدون خواندن v_bat24 زباله</t>
        </is>
      </c>
      <c r="I7" s="98" t="inlineStr">
        <is>
          <t>safe-off</t>
        </is>
      </c>
      <c r="J7" s="98" t="inlineStr">
        <is>
          <t>LED خاموش بدون درصد کاذب</t>
        </is>
      </c>
      <c r="K7" s="98" t="n"/>
      <c r="L7" s="104" t="inlineStr">
        <is>
          <t>نیاز به تکرار</t>
        </is>
      </c>
      <c r="M7" s="98" t="n"/>
      <c r="N7" s="98" t="n"/>
      <c r="O7" s="101" t="inlineStr">
        <is>
          <t>62f3782</t>
        </is>
      </c>
      <c r="P7" s="101" t="n"/>
      <c r="Q7" s="102" t="inlineStr">
        <is>
          <t>2026-10-12</t>
        </is>
      </c>
    </row>
    <row r="8">
      <c r="A8" s="80" t="n"/>
      <c r="B8" s="80" t="n"/>
      <c r="C8" s="80" t="n"/>
      <c r="D8" s="80" t="n"/>
      <c r="E8" s="80" t="n"/>
      <c r="F8" s="80" t="n"/>
      <c r="G8" s="80" t="n"/>
      <c r="H8" s="80" t="n"/>
      <c r="I8" s="80" t="n"/>
      <c r="J8" s="80" t="n"/>
      <c r="K8" s="80" t="n"/>
      <c r="L8" s="80" t="n"/>
      <c r="M8" s="80" t="n"/>
      <c r="N8" s="80" t="n"/>
      <c r="O8" s="80" t="n"/>
      <c r="P8" s="80" t="n"/>
      <c r="Q8" s="105">
        <f>IF(OR(L8="",L8="در انتظار"),"",IF(Q8="",TODAY(),Q8))</f>
        <v/>
      </c>
    </row>
    <row r="9">
      <c r="A9" s="80" t="n"/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  <c r="M9" s="80" t="n"/>
      <c r="N9" s="80" t="n"/>
      <c r="O9" s="80" t="n"/>
      <c r="P9" s="80" t="n"/>
      <c r="Q9" s="105">
        <f>IF(OR(L9="",L9="در انتظار"),"",IF(Q9="",TODAY(),Q9))</f>
        <v/>
      </c>
    </row>
    <row r="10">
      <c r="A10" s="80" t="n"/>
      <c r="B10" s="80" t="n"/>
      <c r="C10" s="80" t="n"/>
      <c r="D10" s="80" t="n"/>
      <c r="E10" s="80" t="n"/>
      <c r="F10" s="80" t="n"/>
      <c r="G10" s="80" t="n"/>
      <c r="H10" s="80" t="n"/>
      <c r="I10" s="80" t="n"/>
      <c r="J10" s="80" t="n"/>
      <c r="K10" s="80" t="n"/>
      <c r="L10" s="80" t="n"/>
      <c r="M10" s="80" t="n"/>
      <c r="N10" s="80" t="n"/>
      <c r="O10" s="80" t="n"/>
      <c r="P10" s="80" t="n"/>
      <c r="Q10" s="105">
        <f>IF(OR(L10="",L10="در انتظار"),"",IF(Q10="",TODAY(),Q10))</f>
        <v/>
      </c>
    </row>
    <row r="11">
      <c r="A11" s="80" t="n"/>
      <c r="B11" s="80" t="n"/>
      <c r="C11" s="80" t="n"/>
      <c r="D11" s="80" t="n"/>
      <c r="E11" s="80" t="n"/>
      <c r="F11" s="80" t="n"/>
      <c r="G11" s="80" t="n"/>
      <c r="H11" s="80" t="n"/>
      <c r="I11" s="80" t="n"/>
      <c r="J11" s="80" t="n"/>
      <c r="K11" s="80" t="n"/>
      <c r="L11" s="80" t="n"/>
      <c r="M11" s="80" t="n"/>
      <c r="N11" s="80" t="n"/>
      <c r="O11" s="80" t="n"/>
      <c r="P11" s="80" t="n"/>
      <c r="Q11" s="105">
        <f>IF(OR(L11="",L11="در انتظار"),"",IF(Q11="",TODAY(),Q11))</f>
        <v/>
      </c>
    </row>
    <row r="12">
      <c r="A12" s="80" t="n"/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  <c r="M12" s="80" t="n"/>
      <c r="N12" s="80" t="n"/>
      <c r="O12" s="80" t="n"/>
      <c r="P12" s="80" t="n"/>
      <c r="Q12" s="105">
        <f>IF(OR(L12="",L12="در انتظار"),"",IF(Q12="",TODAY(),Q12))</f>
        <v/>
      </c>
    </row>
    <row r="13">
      <c r="A13" s="80" t="n"/>
      <c r="B13" s="80" t="n"/>
      <c r="C13" s="80" t="n"/>
      <c r="D13" s="80" t="n"/>
      <c r="E13" s="80" t="n"/>
      <c r="F13" s="80" t="n"/>
      <c r="G13" s="80" t="n"/>
      <c r="H13" s="80" t="n"/>
      <c r="I13" s="80" t="n"/>
      <c r="J13" s="80" t="n"/>
      <c r="K13" s="80" t="n"/>
      <c r="L13" s="80" t="n"/>
      <c r="M13" s="80" t="n"/>
      <c r="N13" s="80" t="n"/>
      <c r="O13" s="80" t="n"/>
      <c r="P13" s="80" t="n"/>
      <c r="Q13" s="105">
        <f>IF(OR(L13="",L13="در انتظار"),"",IF(Q13="",TODAY(),Q13))</f>
        <v/>
      </c>
    </row>
    <row r="14">
      <c r="A14" s="80" t="n"/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  <c r="M14" s="80" t="n"/>
      <c r="N14" s="80" t="n"/>
      <c r="O14" s="80" t="n"/>
      <c r="P14" s="80" t="n"/>
      <c r="Q14" s="105">
        <f>IF(OR(L14="",L14="در انتظار"),"",IF(Q14="",TODAY(),Q14))</f>
        <v/>
      </c>
    </row>
    <row r="15">
      <c r="A15" s="80" t="n"/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  <c r="M15" s="80" t="n"/>
      <c r="N15" s="80" t="n"/>
      <c r="O15" s="80" t="n"/>
      <c r="P15" s="80" t="n"/>
      <c r="Q15" s="105">
        <f>IF(OR(L15="",L15="در انتظار"),"",IF(Q15="",TODAY(),Q15))</f>
        <v/>
      </c>
    </row>
    <row r="16">
      <c r="A16" s="80" t="n"/>
      <c r="B16" s="80" t="n"/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  <c r="L16" s="80" t="n"/>
      <c r="M16" s="80" t="n"/>
      <c r="N16" s="80" t="n"/>
      <c r="O16" s="80" t="n"/>
      <c r="P16" s="80" t="n"/>
      <c r="Q16" s="105">
        <f>IF(OR(L16="",L16="در انتظار"),"",IF(Q16="",TODAY(),Q16))</f>
        <v/>
      </c>
    </row>
    <row r="17">
      <c r="A17" s="80" t="n"/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n"/>
      <c r="M17" s="80" t="n"/>
      <c r="N17" s="80" t="n"/>
      <c r="O17" s="80" t="n"/>
      <c r="P17" s="80" t="n"/>
      <c r="Q17" s="105">
        <f>IF(OR(L17="",L17="در انتظار"),"",IF(Q17="",TODAY(),Q17))</f>
        <v/>
      </c>
    </row>
    <row r="18">
      <c r="A18" s="80" t="n"/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  <c r="M18" s="80" t="n"/>
      <c r="N18" s="80" t="n"/>
      <c r="O18" s="80" t="n"/>
      <c r="P18" s="80" t="n"/>
      <c r="Q18" s="105">
        <f>IF(OR(L18="",L18="در انتظار"),"",IF(Q18="",TODAY(),Q18))</f>
        <v/>
      </c>
    </row>
    <row r="19">
      <c r="A19" s="80" t="n"/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  <c r="M19" s="80" t="n"/>
      <c r="N19" s="80" t="n"/>
      <c r="O19" s="80" t="n"/>
      <c r="P19" s="80" t="n"/>
      <c r="Q19" s="105">
        <f>IF(OR(L19="",L19="در انتظار"),"",IF(Q19="",TODAY(),Q19))</f>
        <v/>
      </c>
    </row>
    <row r="20">
      <c r="A20" s="80" t="n"/>
      <c r="B20" s="80" t="n"/>
      <c r="C20" s="80" t="n"/>
      <c r="D20" s="80" t="n"/>
      <c r="E20" s="80" t="n"/>
      <c r="F20" s="80" t="n"/>
      <c r="G20" s="80" t="n"/>
      <c r="H20" s="80" t="n"/>
      <c r="I20" s="80" t="n"/>
      <c r="J20" s="80" t="n"/>
      <c r="K20" s="80" t="n"/>
      <c r="L20" s="80" t="n"/>
      <c r="M20" s="80" t="n"/>
      <c r="N20" s="80" t="n"/>
      <c r="O20" s="80" t="n"/>
      <c r="P20" s="80" t="n"/>
      <c r="Q20" s="105">
        <f>IF(OR(L20="",L20="در انتظار"),"",IF(Q20="",TODAY(),Q20))</f>
        <v/>
      </c>
    </row>
    <row r="21">
      <c r="A21" s="80" t="n"/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  <c r="M21" s="80" t="n"/>
      <c r="N21" s="80" t="n"/>
      <c r="O21" s="80" t="n"/>
      <c r="P21" s="80" t="n"/>
      <c r="Q21" s="105">
        <f>IF(OR(L21="",L21="در انتظار"),"",IF(Q21="",TODAY(),Q21))</f>
        <v/>
      </c>
    </row>
    <row r="22">
      <c r="A22" s="80" t="n"/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  <c r="M22" s="80" t="n"/>
      <c r="N22" s="80" t="n"/>
      <c r="O22" s="80" t="n"/>
      <c r="P22" s="80" t="n"/>
      <c r="Q22" s="105">
        <f>IF(OR(L22="",L22="در انتظار"),"",IF(Q22="",TODAY(),Q22))</f>
        <v/>
      </c>
    </row>
    <row r="23">
      <c r="A23" s="80" t="n"/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  <c r="M23" s="80" t="n"/>
      <c r="N23" s="80" t="n"/>
      <c r="O23" s="80" t="n"/>
      <c r="P23" s="80" t="n"/>
      <c r="Q23" s="105">
        <f>IF(OR(L23="",L23="در انتظار"),"",IF(Q23="",TODAY(),Q23))</f>
        <v/>
      </c>
    </row>
    <row r="24">
      <c r="A24" s="80" t="n"/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  <c r="M24" s="80" t="n"/>
      <c r="N24" s="80" t="n"/>
      <c r="O24" s="80" t="n"/>
      <c r="P24" s="80" t="n"/>
      <c r="Q24" s="105">
        <f>IF(OR(L24="",L24="در انتظار"),"",IF(Q24="",TODAY(),Q24))</f>
        <v/>
      </c>
    </row>
    <row r="25">
      <c r="A25" s="80" t="n"/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  <c r="M25" s="80" t="n"/>
      <c r="N25" s="80" t="n"/>
      <c r="O25" s="80" t="n"/>
      <c r="P25" s="80" t="n"/>
      <c r="Q25" s="105">
        <f>IF(OR(L25="",L25="در انتظار"),"",IF(Q25="",TODAY(),Q25))</f>
        <v/>
      </c>
    </row>
    <row r="26">
      <c r="A26" s="80" t="n"/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  <c r="L26" s="80" t="n"/>
      <c r="M26" s="80" t="n"/>
      <c r="N26" s="80" t="n"/>
      <c r="O26" s="80" t="n"/>
      <c r="P26" s="80" t="n"/>
      <c r="Q26" s="105">
        <f>IF(OR(L26="",L26="در انتظار"),"",IF(Q26="",TODAY(),Q26))</f>
        <v/>
      </c>
    </row>
    <row r="27">
      <c r="A27" s="80" t="n"/>
      <c r="B27" s="80" t="n"/>
      <c r="C27" s="80" t="n"/>
      <c r="D27" s="80" t="n"/>
      <c r="E27" s="80" t="n"/>
      <c r="F27" s="80" t="n"/>
      <c r="G27" s="80" t="n"/>
      <c r="H27" s="80" t="n"/>
      <c r="I27" s="80" t="n"/>
      <c r="J27" s="80" t="n"/>
      <c r="K27" s="80" t="n"/>
      <c r="L27" s="80" t="n"/>
      <c r="M27" s="80" t="n"/>
      <c r="N27" s="80" t="n"/>
      <c r="O27" s="80" t="n"/>
      <c r="P27" s="80" t="n"/>
      <c r="Q27" s="105">
        <f>IF(OR(L27="",L27="در انتظار"),"",IF(Q27="",TODAY(),Q27))</f>
        <v/>
      </c>
    </row>
  </sheetData>
  <autoFilter ref="A4:Q7"/>
  <dataValidations count="1">
    <dataValidation sqref="L5 L6 L7 L8 L9 L10 L11 L12 L13 L14 L15 L16 L17 L18 L19 L20 L21 L22 L23 L24 L25 L26 L27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F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>
      <c r="A1" s="79" t="inlineStr">
        <is>
          <t>مرجع سریع UI — هیسترزیس 2%/5%/100.95 و نگاشت</t>
        </is>
      </c>
      <c r="B1" s="80" t="n"/>
      <c r="C1" s="80" t="n"/>
      <c r="D1" s="80" t="n"/>
      <c r="E1" s="80" t="n"/>
      <c r="F1" s="80" t="n"/>
    </row>
    <row r="2">
      <c r="A2" s="90" t="inlineStr">
        <is>
          <t>هیسترزیس: ورودی 20/21 (1000mV), BatteryRun 2%+0/1, Charging 5%, Full 100/95, Low 21/21.2, Overvoltage 27/28</t>
        </is>
      </c>
      <c r="B2" s="80" t="n"/>
      <c r="C2" s="80" t="n"/>
      <c r="D2" s="80" t="n"/>
      <c r="E2" s="80" t="n"/>
      <c r="F2" s="80" t="n"/>
    </row>
    <row r="3" ht="22" customHeight="1">
      <c r="A3" s="109" t="inlineStr">
        <is>
          <t>موضوع</t>
        </is>
      </c>
      <c r="B3" s="109" t="inlineStr">
        <is>
          <t>شرط / مقدار</t>
        </is>
      </c>
      <c r="C3" s="109" t="inlineStr">
        <is>
          <t>رفتار</t>
        </is>
      </c>
      <c r="D3" s="109" t="inlineStr">
        <is>
          <t>ثابت / محل</t>
        </is>
      </c>
      <c r="E3" s="109" t="inlineStr">
        <is>
          <t>توضیح</t>
        </is>
      </c>
      <c r="F3" s="109" t="inlineStr">
        <is>
          <t>وابستگی</t>
        </is>
      </c>
    </row>
    <row r="4" ht="18" customHeight="1">
      <c r="A4" s="110" t="inlineStr">
        <is>
          <t>PA3 mapping</t>
        </is>
      </c>
      <c r="B4" s="110" t="inlineStr">
        <is>
          <t>PA3 pin13 ADC1_IN3 → raw2 → v_bat24_mv → BatteryRun/Charging</t>
        </is>
      </c>
      <c r="C4" s="110" t="inlineStr">
        <is>
          <t>فقط v_bat</t>
        </is>
      </c>
      <c r="D4" s="111" t="inlineStr">
        <is>
          <t>board_pins.h:PIN_ADC_24_BAT</t>
        </is>
      </c>
      <c r="E4" s="110" t="inlineStr">
        <is>
          <t>PA3→BatteryRun</t>
        </is>
      </c>
      <c r="F4" s="111" t="inlineStr">
        <is>
          <t>UI-001,025</t>
        </is>
      </c>
    </row>
    <row r="5" ht="18" customHeight="1">
      <c r="A5" s="112" t="inlineStr">
        <is>
          <t>PA2 mapping</t>
        </is>
      </c>
      <c r="B5" s="112" t="inlineStr">
        <is>
          <t>PA2 pin12 ADC1_IN2 → raw1 → v_in_mv → ورودی</t>
        </is>
      </c>
      <c r="C5" s="112" t="inlineStr">
        <is>
          <t>فقط v_in</t>
        </is>
      </c>
      <c r="D5" s="112" t="inlineStr">
        <is>
          <t>PIN_ADC_24_IN</t>
        </is>
      </c>
      <c r="E5" s="112" t="inlineStr">
        <is>
          <t>PA2→Input</t>
        </is>
      </c>
      <c r="F5" s="113" t="inlineStr">
        <is>
          <t>UI-001,025</t>
        </is>
      </c>
    </row>
    <row r="6" ht="18" customHeight="1">
      <c r="A6" s="110" t="inlineStr">
        <is>
          <t>PB4</t>
        </is>
      </c>
      <c r="B6" s="110" t="inlineStr">
        <is>
          <t>MCU_INT_24_IN EXTI دو لبه</t>
        </is>
      </c>
      <c r="C6" s="110" t="inlineStr">
        <is>
          <t>فقط ورودی</t>
        </is>
      </c>
      <c r="D6" s="111" t="inlineStr">
        <is>
          <t>board_pins.h</t>
        </is>
      </c>
      <c r="E6" s="110" t="inlineStr">
        <is>
          <t>PB4→ورودی</t>
        </is>
      </c>
      <c r="F6" s="111" t="inlineStr">
        <is>
          <t>UI-024</t>
        </is>
      </c>
    </row>
    <row r="7" ht="18" customHeight="1">
      <c r="A7" s="112" t="inlineStr">
        <is>
          <t>PB5/PB11</t>
        </is>
      </c>
      <c r="B7" s="112" t="inlineStr">
        <is>
          <t>PB5 Q1 McuPowerPath, PB11 Q17 Changeover</t>
        </is>
      </c>
      <c r="C7" s="112" t="inlineStr">
        <is>
          <t>بدون تغییر UI</t>
        </is>
      </c>
      <c r="D7" s="113" t="inlineStr">
        <is>
          <t>board_pins.h</t>
        </is>
      </c>
      <c r="E7" s="112" t="inlineStr">
        <is>
          <t>ممنوع UI</t>
        </is>
      </c>
      <c r="F7" s="113" t="inlineStr">
        <is>
          <t>UI-026</t>
        </is>
      </c>
    </row>
    <row r="8" ht="18" customHeight="1">
      <c r="A8" s="110" t="inlineStr">
        <is>
          <t>Battery 2%+0/1</t>
        </is>
      </c>
      <c r="B8" s="110" t="inlineStr">
        <is>
          <t>stable0→raw&gt;=2→1, stable1:0→0 &gt;=3→2 else1</t>
        </is>
      </c>
      <c r="C8" s="110" t="inlineStr">
        <is>
          <t>جلوگیری 0↔1</t>
        </is>
      </c>
      <c r="D8" s="110" t="inlineStr">
        <is>
          <t>RUN_HYSTERESIS 2 ZERO2 ONE3</t>
        </is>
      </c>
      <c r="E8" s="110" t="inlineStr">
        <is>
          <t>0/1 جدا</t>
        </is>
      </c>
      <c r="F8" s="111" t="inlineStr">
        <is>
          <t>UI-002-010</t>
        </is>
      </c>
    </row>
    <row r="9" ht="18" customHeight="1">
      <c r="A9" s="112" t="inlineStr">
        <is>
          <t>Battery diff</t>
        </is>
      </c>
      <c r="B9" s="112" t="inlineStr">
        <is>
          <t>|raw-stable|&gt;=2 → update else keep</t>
        </is>
      </c>
      <c r="C9" s="112" t="inlineStr">
        <is>
          <t>56↔57 حفظ</t>
        </is>
      </c>
      <c r="D9" s="112" t="inlineStr">
        <is>
          <t>RUN_HYSTERESIS 2</t>
        </is>
      </c>
      <c r="E9" s="112" t="inlineStr">
        <is>
          <t>فقط BatteryRun</t>
        </is>
      </c>
      <c r="F9" s="113" t="inlineStr">
        <is>
          <t>UI-002-004</t>
        </is>
      </c>
    </row>
    <row r="10" ht="18" customHeight="1">
      <c r="A10" s="110" t="inlineStr">
        <is>
          <t>Charging 5%</t>
        </is>
      </c>
      <c r="B10" s="110" t="inlineStr">
        <is>
          <t>|raw-stable|&gt;=5 → update else keep, 53..61 حفظ</t>
        </is>
      </c>
      <c r="C10" s="110" t="inlineStr">
        <is>
          <t>پایدار زرد</t>
        </is>
      </c>
      <c r="D10" s="110" t="inlineStr">
        <is>
          <t>CHARGING_HYSTERESIS 5</t>
        </is>
      </c>
      <c r="E10" s="110" t="inlineStr">
        <is>
          <t>فقط Charging</t>
        </is>
      </c>
      <c r="F10" s="111" t="inlineStr">
        <is>
          <t>UI-011-013</t>
        </is>
      </c>
    </row>
    <row r="11" ht="18" customHeight="1">
      <c r="A11" s="112" t="inlineStr">
        <is>
          <t>Charging yellow</t>
        </is>
      </c>
      <c r="B11" s="112" t="inlineStr">
        <is>
          <t>remaining=100-stable5, On=remaining*10(min10)</t>
        </is>
      </c>
      <c r="C11" s="112" t="inlineStr">
        <is>
          <t>پایدار</t>
        </is>
      </c>
      <c r="D11" s="112" t="inlineStr">
        <is>
          <t>ChargingStable</t>
        </is>
      </c>
      <c r="E11" s="112" t="inlineStr">
        <is>
          <t>Off=1000-On</t>
        </is>
      </c>
      <c r="F11" s="113" t="inlineStr">
        <is>
          <t>UI-011,014</t>
        </is>
      </c>
    </row>
    <row r="12" ht="18" customHeight="1">
      <c r="A12" s="110" t="inlineStr">
        <is>
          <t>Full 100/95</t>
        </is>
      </c>
      <c r="B12" s="110" t="inlineStr">
        <is>
          <t>&gt;=100 InputOk, &lt;95 Charging, else hold</t>
        </is>
      </c>
      <c r="C12" s="110" t="inlineStr">
        <is>
          <t>جلوگیری 28V پرش</t>
        </is>
      </c>
      <c r="D12" s="110" t="inlineStr">
        <is>
          <t>FULL_ENTER 100 FULL_EXIT95</t>
        </is>
      </c>
      <c r="E12" s="110" t="inlineStr">
        <is>
          <t>stateful</t>
        </is>
      </c>
      <c r="F12" s="111" t="inlineStr">
        <is>
          <t>UI-015-017</t>
        </is>
      </c>
    </row>
    <row r="13" ht="18" customHeight="1">
      <c r="A13" s="112" t="inlineStr">
        <is>
          <t>Green phase</t>
        </is>
      </c>
      <c r="B13" s="112" t="inlineStr">
        <is>
          <t>stable تغییر فاز reset نه، از مرز بعدی</t>
        </is>
      </c>
      <c r="C13" s="112" t="inlineStr">
        <is>
          <t>پایدار</t>
        </is>
      </c>
      <c r="D13" s="112" t="inlineStr">
        <is>
          <t>UpdateBatteryRunGreenBlink</t>
        </is>
      </c>
      <c r="E13" s="112" t="inlineStr">
        <is>
          <t>500m hysteresis</t>
        </is>
      </c>
      <c r="F13" s="113" t="inlineStr">
        <is>
          <t>UI-002,018</t>
        </is>
      </c>
    </row>
    <row r="14" ht="18" customHeight="1">
      <c r="A14" s="110" t="inlineStr">
        <is>
          <t>Yellow phase</t>
        </is>
      </c>
      <c r="B14" s="110" t="inlineStr">
        <is>
          <t>stable5 تغییر فاز reset نه</t>
        </is>
      </c>
      <c r="C14" s="110" t="inlineStr">
        <is>
          <t>پایدار</t>
        </is>
      </c>
      <c r="D14" s="110" t="inlineStr">
        <is>
          <t>UpdateChargingYellowBlink</t>
        </is>
      </c>
      <c r="E14" s="110" t="inlineStr">
        <is>
          <t>5%</t>
        </is>
      </c>
      <c r="F14" s="111" t="inlineStr">
        <is>
          <t>UI-011,014</t>
        </is>
      </c>
    </row>
    <row r="15" ht="18" customHeight="1">
      <c r="A15" s="112" t="inlineStr">
        <is>
          <t>Input present</t>
        </is>
      </c>
      <c r="B15" s="112" t="inlineStr">
        <is>
          <t>&gt;=21000 وصل &lt;=20000 قطع</t>
        </is>
      </c>
      <c r="C15" s="112" t="inlineStr">
        <is>
          <t>هیسترزیس20/21</t>
        </is>
      </c>
      <c r="D15" s="112" t="inlineStr">
        <is>
          <t>INPUT_CONNECTED</t>
        </is>
      </c>
      <c r="E15" s="112" t="inlineStr">
        <is>
          <t>1000mV</t>
        </is>
      </c>
      <c r="F15" s="113" t="inlineStr">
        <is>
          <t>UI-024</t>
        </is>
      </c>
    </row>
    <row r="16" ht="18" customHeight="1">
      <c r="A16" s="110" t="inlineStr">
        <is>
          <t>Overvoltage</t>
        </is>
      </c>
      <c r="B16" s="110" t="inlineStr">
        <is>
          <t>&gt;28000 خطا &lt;=27000 پاک</t>
        </is>
      </c>
      <c r="C16" s="110" t="inlineStr">
        <is>
          <t>قرمز50%+بوق10s</t>
        </is>
      </c>
      <c r="D16" s="110" t="inlineStr">
        <is>
          <t>OVERVOLTAGE</t>
        </is>
      </c>
      <c r="E16" s="110" t="inlineStr">
        <is>
          <t>27/28</t>
        </is>
      </c>
      <c r="F16" s="111" t="inlineStr">
        <is>
          <t>UI-021</t>
        </is>
      </c>
    </row>
    <row r="17" ht="18" customHeight="1">
      <c r="A17" s="112" t="inlineStr">
        <is>
          <t>Low Alarm</t>
        </is>
      </c>
      <c r="B17" s="112" t="inlineStr">
        <is>
          <t>&lt;21000 set &gt;=21200 clear</t>
        </is>
      </c>
      <c r="C17" s="112" t="inlineStr">
        <is>
          <t>پیوسته flag</t>
        </is>
      </c>
      <c r="D17" s="112" t="inlineStr">
        <is>
          <t>LOW_BATTERY</t>
        </is>
      </c>
      <c r="E17" s="112" t="inlineStr">
        <is>
          <t>21000/21200</t>
        </is>
      </c>
      <c r="F17" s="113" t="inlineStr">
        <is>
          <t>UI-023</t>
        </is>
      </c>
    </row>
    <row r="18" ht="18" customHeight="1">
      <c r="A18" s="110" t="inlineStr">
        <is>
          <t>0% critical</t>
        </is>
      </c>
      <c r="B18" s="110" t="inlineStr">
        <is>
          <t>&lt;1% 10s یک بار سپس خاموش</t>
        </is>
      </c>
      <c r="C18" s="110" t="inlineStr">
        <is>
          <t>تا خروج 0 تکرار نه</t>
        </is>
      </c>
      <c r="D18" s="110" t="inlineStr">
        <is>
          <t>CRITICAL 1</t>
        </is>
      </c>
      <c r="E18" s="110" t="inlineStr">
        <is>
          <t>stable0</t>
        </is>
      </c>
      <c r="F18" s="111" t="inlineStr">
        <is>
          <t>UI-005,006</t>
        </is>
      </c>
    </row>
    <row r="19" ht="18" customHeight="1">
      <c r="A19" s="112" t="inlineStr">
        <is>
          <t>Snapshot invalid</t>
        </is>
      </c>
      <c r="B19" s="112" t="inlineStr">
        <is>
          <t>valid false/NULL→safe-off</t>
        </is>
      </c>
      <c r="C19" s="112" t="inlineStr">
        <is>
          <t>flag false phase reset</t>
        </is>
      </c>
      <c r="D19" s="112" t="inlineStr">
        <is>
          <t>Ui_Tick</t>
        </is>
      </c>
      <c r="E19" s="112" t="inlineStr">
        <is>
          <t>no stale</t>
        </is>
      </c>
      <c r="F19" s="113" t="inlineStr">
        <is>
          <t>UI-022</t>
        </is>
      </c>
    </row>
    <row r="20" ht="18" customHeight="1">
      <c r="A20" s="110" t="inlineStr">
        <is>
          <t>RTOS static</t>
        </is>
      </c>
      <c r="B20" s="110" t="inlineStr">
        <is>
          <t>DYNAMIC 0 cb/stack</t>
        </is>
      </c>
      <c r="C20" s="110" t="inlineStr">
        <is>
          <t>همه static</t>
        </is>
      </c>
      <c r="D20" s="110" t="inlineStr">
        <is>
          <t>FreeRTOSConfig</t>
        </is>
      </c>
      <c r="E20" s="110" t="inlineStr">
        <is>
          <t>word/byte</t>
        </is>
      </c>
      <c r="F20" s="111" t="inlineStr">
        <is>
          <t>UI-026</t>
        </is>
      </c>
    </row>
    <row r="21" ht="18" customHeight="1">
      <c r="A21" s="112" t="inlineStr">
        <is>
          <t>Stack</t>
        </is>
      </c>
      <c r="B21" s="112" t="inlineStr">
        <is>
          <t>UI128 Meas192 Ctrl256</t>
        </is>
      </c>
      <c r="C21" s="112" t="inlineStr">
        <is>
          <t>high-water&gt;20%</t>
        </is>
      </c>
      <c r="D21" s="112" t="inlineStr">
        <is>
          <t>rtos_config</t>
        </is>
      </c>
      <c r="E21" s="112" t="inlineStr">
        <is>
          <t>512/768/1024B</t>
        </is>
      </c>
      <c r="F21" s="113" t="inlineStr">
        <is>
          <t>UI-026</t>
        </is>
      </c>
    </row>
  </sheetData>
  <mergeCells count="2">
    <mergeCell ref="A2:F2"/>
    <mergeCell ref="A1:F1"/>
  </mergeCells>
  <hyperlinks>
    <hyperlink xmlns:r="http://schemas.openxmlformats.org/officeDocument/2006/relationships" ref="D4" r:id="rId1"/>
    <hyperlink ref="F4" location="'تست‌های آزمایشگاهی'!A5"/>
    <hyperlink ref="F5" location="'تست‌های آزمایشگاهی'!A5"/>
    <hyperlink xmlns:r="http://schemas.openxmlformats.org/officeDocument/2006/relationships" ref="D6" r:id="rId2"/>
    <hyperlink ref="F6" location="'برنامه تست'!A25"/>
    <hyperlink xmlns:r="http://schemas.openxmlformats.org/officeDocument/2006/relationships" ref="D7" r:id="rId3"/>
    <hyperlink ref="F7" location="'تست‌های برنامه‌نویسی'!A5"/>
    <hyperlink ref="F8" location="'برنامه تست'!A5"/>
    <hyperlink ref="F9" location="'برنامه تست'!A5"/>
    <hyperlink ref="F10" location="'برنامه تست'!A14"/>
    <hyperlink ref="F11" location="'برنامه تست'!A14"/>
    <hyperlink ref="F12" location="'برنامه تست'!A17"/>
    <hyperlink ref="F13" location="'برنامه تست'!A5"/>
    <hyperlink ref="F14" location="'برنامه تست'!A14"/>
    <hyperlink ref="F15" location="'برنامه تست'!A25"/>
    <hyperlink ref="F16" location="'برنامه تست'!A22"/>
    <hyperlink ref="F17" location="'برنامه تست'!A24"/>
    <hyperlink ref="F18" location="'برنامه تست'!A8"/>
    <hyperlink ref="F19" location="'برنامه تست'!A23"/>
    <hyperlink ref="F20" location="'تست‌های برنامه‌نویسی'!A5"/>
    <hyperlink ref="F21" location="'تست‌های برنامه‌نویسی'!A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M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79" t="inlineStr">
        <is>
          <t>ثبت ایرادهای مشاهده‌شده — UI هیسترزیس 2%/5%/100.95 و فاز</t>
        </is>
      </c>
      <c r="B1" s="80" t="n"/>
      <c r="C1" s="80" t="n"/>
      <c r="D1" s="80" t="n"/>
      <c r="E1" s="80" t="n"/>
      <c r="F1" s="80" t="n"/>
      <c r="G1" s="80" t="n"/>
      <c r="H1" s="80" t="n"/>
      <c r="I1" s="80" t="n"/>
      <c r="J1" s="80" t="n"/>
      <c r="K1" s="80" t="n"/>
      <c r="L1" s="80" t="n"/>
      <c r="M1" s="80" t="n"/>
    </row>
    <row r="2">
      <c r="A2" s="114" t="inlineStr">
        <is>
          <t>برای هر «رد» یک ردیف؛ فاز چشمک و هیسترزیس 0/1 را با اسکوپ ثبت.</t>
        </is>
      </c>
      <c r="B2" s="80" t="n"/>
      <c r="C2" s="80" t="n"/>
      <c r="D2" s="80" t="n"/>
      <c r="E2" s="80" t="n"/>
      <c r="F2" s="80" t="n"/>
      <c r="G2" s="80" t="n"/>
      <c r="H2" s="80" t="n"/>
      <c r="I2" s="80" t="n"/>
      <c r="J2" s="80" t="n"/>
      <c r="K2" s="80" t="n"/>
      <c r="L2" s="80" t="n"/>
      <c r="M2" s="80" t="n"/>
    </row>
    <row r="3" ht="30" customHeight="1">
      <c r="A3" s="82" t="inlineStr">
        <is>
          <t>شماره ایراد</t>
        </is>
      </c>
      <c r="B3" s="82" t="inlineStr">
        <is>
          <t>شناسه تست</t>
        </is>
      </c>
      <c r="C3" s="82" t="inlineStr">
        <is>
          <t>تاریخ کشف</t>
        </is>
      </c>
      <c r="D3" s="82" t="inlineStr">
        <is>
          <t>شدت</t>
        </is>
      </c>
      <c r="E3" s="82" t="inlineStr">
        <is>
          <t>شرح کوتاه</t>
        </is>
      </c>
      <c r="F3" s="82" t="inlineStr">
        <is>
          <t>مراحل بازتولید</t>
        </is>
      </c>
      <c r="G3" s="82" t="inlineStr">
        <is>
          <t>انتظار</t>
        </is>
      </c>
      <c r="H3" s="82" t="inlineStr">
        <is>
          <t>واقعیت</t>
        </is>
      </c>
      <c r="I3" s="82" t="inlineStr">
        <is>
          <t>مدرک/عکس</t>
        </is>
      </c>
      <c r="J3" s="82" t="inlineStr">
        <is>
          <t>commit</t>
        </is>
      </c>
      <c r="K3" s="82" t="inlineStr">
        <is>
          <t>محل احتمالی</t>
        </is>
      </c>
      <c r="L3" s="82" t="inlineStr">
        <is>
          <t>وضعیت</t>
        </is>
      </c>
      <c r="M3" s="82" t="inlineStr">
        <is>
          <t>تأیید رفع</t>
        </is>
      </c>
    </row>
    <row r="4" ht="16" customHeight="1">
      <c r="A4" s="115" t="inlineStr"/>
      <c r="B4" s="115" t="inlineStr"/>
      <c r="C4" s="115" t="inlineStr"/>
      <c r="D4" s="115" t="inlineStr"/>
      <c r="E4" s="115" t="inlineStr"/>
      <c r="F4" s="115" t="inlineStr"/>
      <c r="G4" s="115" t="inlineStr"/>
      <c r="H4" s="115" t="inlineStr"/>
      <c r="I4" s="115" t="inlineStr"/>
      <c r="J4" s="115" t="inlineStr"/>
      <c r="K4" s="115" t="inlineStr"/>
      <c r="L4" s="115" t="inlineStr"/>
      <c r="M4" s="115" t="inlineStr"/>
    </row>
    <row r="5" ht="16" customHeight="1">
      <c r="A5" s="116" t="inlineStr"/>
      <c r="B5" s="116" t="inlineStr"/>
      <c r="C5" s="116" t="inlineStr"/>
      <c r="D5" s="116" t="inlineStr"/>
      <c r="E5" s="116" t="inlineStr"/>
      <c r="F5" s="116" t="inlineStr"/>
      <c r="G5" s="116" t="inlineStr"/>
      <c r="H5" s="116" t="inlineStr"/>
      <c r="I5" s="116" t="inlineStr"/>
      <c r="J5" s="116" t="inlineStr"/>
      <c r="K5" s="116" t="inlineStr"/>
      <c r="L5" s="116" t="inlineStr"/>
      <c r="M5" s="116" t="inlineStr"/>
    </row>
    <row r="6" ht="16" customHeight="1">
      <c r="A6" s="115" t="inlineStr"/>
      <c r="B6" s="115" t="inlineStr"/>
      <c r="C6" s="115" t="inlineStr"/>
      <c r="D6" s="115" t="inlineStr"/>
      <c r="E6" s="115" t="inlineStr"/>
      <c r="F6" s="115" t="inlineStr"/>
      <c r="G6" s="115" t="inlineStr"/>
      <c r="H6" s="115" t="inlineStr"/>
      <c r="I6" s="115" t="inlineStr"/>
      <c r="J6" s="115" t="inlineStr"/>
      <c r="K6" s="115" t="inlineStr"/>
      <c r="L6" s="115" t="inlineStr"/>
      <c r="M6" s="115" t="inlineStr"/>
    </row>
    <row r="7" ht="16" customHeight="1">
      <c r="A7" s="116" t="inlineStr"/>
      <c r="B7" s="116" t="inlineStr"/>
      <c r="C7" s="116" t="inlineStr"/>
      <c r="D7" s="116" t="inlineStr"/>
      <c r="E7" s="116" t="inlineStr"/>
      <c r="F7" s="116" t="inlineStr"/>
      <c r="G7" s="116" t="inlineStr"/>
      <c r="H7" s="116" t="inlineStr"/>
      <c r="I7" s="116" t="inlineStr"/>
      <c r="J7" s="116" t="inlineStr"/>
      <c r="K7" s="116" t="inlineStr"/>
      <c r="L7" s="116" t="inlineStr"/>
      <c r="M7" s="116" t="inlineStr"/>
    </row>
    <row r="8" ht="16" customHeight="1">
      <c r="A8" s="115" t="inlineStr"/>
      <c r="B8" s="115" t="inlineStr"/>
      <c r="C8" s="115" t="inlineStr"/>
      <c r="D8" s="115" t="inlineStr"/>
      <c r="E8" s="115" t="inlineStr"/>
      <c r="F8" s="115" t="inlineStr"/>
      <c r="G8" s="115" t="inlineStr"/>
      <c r="H8" s="115" t="inlineStr"/>
      <c r="I8" s="115" t="inlineStr"/>
      <c r="J8" s="115" t="inlineStr"/>
      <c r="K8" s="115" t="inlineStr"/>
      <c r="L8" s="115" t="inlineStr"/>
      <c r="M8" s="115" t="inlineStr"/>
    </row>
    <row r="9" ht="16" customHeight="1">
      <c r="A9" s="116" t="inlineStr"/>
      <c r="B9" s="116" t="inlineStr"/>
      <c r="C9" s="116" t="inlineStr"/>
      <c r="D9" s="116" t="inlineStr"/>
      <c r="E9" s="116" t="inlineStr"/>
      <c r="F9" s="116" t="inlineStr"/>
      <c r="G9" s="116" t="inlineStr"/>
      <c r="H9" s="116" t="inlineStr"/>
      <c r="I9" s="116" t="inlineStr"/>
      <c r="J9" s="116" t="inlineStr"/>
      <c r="K9" s="116" t="inlineStr"/>
      <c r="L9" s="116" t="inlineStr"/>
      <c r="M9" s="116" t="inlineStr"/>
    </row>
    <row r="10" ht="16" customHeight="1">
      <c r="A10" s="115" t="inlineStr"/>
      <c r="B10" s="115" t="inlineStr"/>
      <c r="C10" s="115" t="inlineStr"/>
      <c r="D10" s="115" t="inlineStr"/>
      <c r="E10" s="115" t="inlineStr"/>
      <c r="F10" s="115" t="inlineStr"/>
      <c r="G10" s="115" t="inlineStr"/>
      <c r="H10" s="115" t="inlineStr"/>
      <c r="I10" s="115" t="inlineStr"/>
      <c r="J10" s="115" t="inlineStr"/>
      <c r="K10" s="115" t="inlineStr"/>
      <c r="L10" s="115" t="inlineStr"/>
      <c r="M10" s="115" t="inlineStr"/>
    </row>
    <row r="11" ht="16" customHeight="1">
      <c r="A11" s="116" t="inlineStr"/>
      <c r="B11" s="116" t="inlineStr"/>
      <c r="C11" s="116" t="inlineStr"/>
      <c r="D11" s="116" t="inlineStr"/>
      <c r="E11" s="116" t="inlineStr"/>
      <c r="F11" s="116" t="inlineStr"/>
      <c r="G11" s="116" t="inlineStr"/>
      <c r="H11" s="116" t="inlineStr"/>
      <c r="I11" s="116" t="inlineStr"/>
      <c r="J11" s="116" t="inlineStr"/>
      <c r="K11" s="116" t="inlineStr"/>
      <c r="L11" s="116" t="inlineStr"/>
      <c r="M11" s="116" t="inlineStr"/>
    </row>
    <row r="12" ht="16" customHeight="1">
      <c r="A12" s="115" t="inlineStr"/>
      <c r="B12" s="115" t="inlineStr"/>
      <c r="C12" s="115" t="inlineStr"/>
      <c r="D12" s="115" t="inlineStr"/>
      <c r="E12" s="115" t="inlineStr"/>
      <c r="F12" s="115" t="inlineStr"/>
      <c r="G12" s="115" t="inlineStr"/>
      <c r="H12" s="115" t="inlineStr"/>
      <c r="I12" s="115" t="inlineStr"/>
      <c r="J12" s="115" t="inlineStr"/>
      <c r="K12" s="115" t="inlineStr"/>
      <c r="L12" s="115" t="inlineStr"/>
      <c r="M12" s="115" t="inlineStr"/>
    </row>
    <row r="13" ht="16" customHeight="1">
      <c r="A13" s="116" t="inlineStr"/>
      <c r="B13" s="116" t="inlineStr"/>
      <c r="C13" s="116" t="inlineStr"/>
      <c r="D13" s="116" t="inlineStr"/>
      <c r="E13" s="116" t="inlineStr"/>
      <c r="F13" s="116" t="inlineStr"/>
      <c r="G13" s="116" t="inlineStr"/>
      <c r="H13" s="116" t="inlineStr"/>
      <c r="I13" s="116" t="inlineStr"/>
      <c r="J13" s="116" t="inlineStr"/>
      <c r="K13" s="116" t="inlineStr"/>
      <c r="L13" s="116" t="inlineStr"/>
      <c r="M13" s="116" t="inlineStr"/>
    </row>
  </sheetData>
  <mergeCells count="2">
    <mergeCell ref="A2:M2"/>
    <mergeCell ref="A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0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 ht="20" customHeight="1">
      <c r="A1" s="79" t="inlineStr">
        <is>
          <t>تأیید نهایی اعتبارسنجی روی برد — UI — 2%/5%/100.95</t>
        </is>
      </c>
      <c r="B1" s="80" t="n"/>
      <c r="C1" s="80" t="n"/>
      <c r="D1" s="80" t="n"/>
      <c r="E1" s="80" t="n"/>
      <c r="F1" s="80" t="n"/>
    </row>
    <row r="2">
      <c r="A2" s="114" t="inlineStr">
        <is>
          <t>فقط پس از تکمیل تست‌ها و بستن ایرادهای بحرانی/بالا.</t>
        </is>
      </c>
      <c r="B2" s="80" t="n"/>
      <c r="C2" s="80" t="n"/>
      <c r="D2" s="80" t="n"/>
      <c r="E2" s="80" t="n"/>
      <c r="F2" s="80" t="n"/>
    </row>
    <row r="3" ht="16" customHeight="1">
      <c r="A3" s="109" t="inlineStr">
        <is>
          <t>مشخصات تست</t>
        </is>
      </c>
      <c r="B3" s="86" t="n"/>
      <c r="C3" s="86" t="n"/>
      <c r="D3" s="86" t="n"/>
      <c r="E3" s="86" t="n"/>
      <c r="F3" s="87" t="n"/>
    </row>
    <row r="4" ht="16" customHeight="1">
      <c r="A4" s="117" t="inlineStr">
        <is>
          <t>پروژه</t>
        </is>
      </c>
      <c r="B4" s="112" t="inlineStr">
        <is>
          <t>ChangeOver</t>
        </is>
      </c>
      <c r="C4" s="80" t="n"/>
      <c r="D4" s="117" t="inlineStr">
        <is>
          <t>ماژول</t>
        </is>
      </c>
      <c r="E4" s="112" t="inlineStr">
        <is>
          <t>UI — BatteryRun/Charging</t>
        </is>
      </c>
      <c r="F4" s="80" t="n"/>
    </row>
    <row r="5" ht="16" customHeight="1">
      <c r="A5" s="117" t="inlineStr">
        <is>
          <t>تاریخ ساخت فرم</t>
        </is>
      </c>
      <c r="B5" s="112" t="inlineStr">
        <is>
          <t>2026-09-17 (2.2 — 2%+5%+100/95)</t>
        </is>
      </c>
      <c r="C5" s="80" t="n"/>
      <c r="D5" s="117" t="inlineStr">
        <is>
          <t>نسخه فرم</t>
        </is>
      </c>
      <c r="E5" s="112" t="inlineStr">
        <is>
          <t>2.2 — 2%+5%+ فول+فاز</t>
        </is>
      </c>
      <c r="F5" s="80" t="n"/>
    </row>
    <row r="6" ht="16" customHeight="1">
      <c r="A6" s="117" t="inlineStr">
        <is>
          <t>commit firmware</t>
        </is>
      </c>
      <c r="B6" s="112" t="inlineStr">
        <is>
          <t>TESTER: fill</t>
        </is>
      </c>
      <c r="C6" s="80" t="n"/>
      <c r="D6" s="117" t="inlineStr">
        <is>
          <t>شناسه برد</t>
        </is>
      </c>
      <c r="E6" s="112" t="inlineStr"/>
      <c r="F6" s="80" t="n"/>
    </row>
    <row r="7" ht="16" customHeight="1">
      <c r="A7" s="117" t="inlineStr">
        <is>
          <t>تست‌کننده اصلی</t>
        </is>
      </c>
      <c r="B7" s="112" t="inlineStr"/>
      <c r="C7" s="80" t="n"/>
      <c r="D7" s="117" t="inlineStr">
        <is>
          <t>تاریخ شروع</t>
        </is>
      </c>
      <c r="E7" s="112" t="inlineStr"/>
      <c r="F7" s="80" t="n"/>
    </row>
    <row r="8" ht="16" customHeight="1">
      <c r="A8" s="117" t="inlineStr">
        <is>
          <t>تاریخ پایان</t>
        </is>
      </c>
      <c r="B8" s="112" t="inlineStr"/>
      <c r="C8" s="80" t="n"/>
      <c r="D8" s="117" t="inlineStr">
        <is>
          <t>ابزار</t>
        </is>
      </c>
      <c r="E8" s="112" t="inlineStr">
        <is>
          <t>منبع آزمایشگاهی + DMM + اسکوپ + تایمر10ms</t>
        </is>
      </c>
      <c r="F8" s="80" t="n"/>
    </row>
    <row r="9" ht="16" customHeight="1">
      <c r="A9" s="117" t="inlineStr">
        <is>
          <t>فرکانس تیک</t>
        </is>
      </c>
      <c r="B9" s="112" t="inlineStr">
        <is>
          <t>1000Hz (osKernelGetTickFreq)</t>
        </is>
      </c>
      <c r="C9" s="80" t="n"/>
      <c r="D9" s="117" t="inlineStr">
        <is>
          <t>دوره UI</t>
        </is>
      </c>
      <c r="E9" s="112" t="inlineStr">
        <is>
          <t>10ms</t>
        </is>
      </c>
      <c r="F9" s="80" t="n"/>
    </row>
    <row r="10" ht="16" customHeight="1">
      <c r="A10" s="117" t="inlineStr">
        <is>
          <t>آستانه‌ها</t>
        </is>
      </c>
      <c r="B10" s="112" t="inlineStr">
        <is>
          <t>BatteryRun2%+0/1, Charging5%, Full100/95, Low21/21.2</t>
        </is>
      </c>
      <c r="C10" s="80" t="n"/>
      <c r="D10" s="117" t="inlineStr">
        <is>
          <t>فیلتر</t>
        </is>
      </c>
      <c r="E10" s="112" t="inlineStr">
        <is>
          <t>سبزOff(100-stable)*10 زردOn(100-stable5)*10</t>
        </is>
      </c>
      <c r="F10" s="80" t="n"/>
    </row>
    <row r="11" ht="16" customHeight="1">
      <c r="A11" s="117" t="inlineStr"/>
      <c r="B11" s="112" t="inlineStr"/>
      <c r="C11" s="80" t="n"/>
      <c r="D11" s="117" t="inlineStr"/>
      <c r="E11" s="112" t="inlineStr"/>
      <c r="F11" s="80" t="n"/>
    </row>
    <row r="12" ht="16" customHeight="1">
      <c r="A12" s="109" t="inlineStr">
        <is>
          <t>خلاصه وضعیت تست‌ها</t>
        </is>
      </c>
      <c r="B12" s="86" t="n"/>
      <c r="C12" s="86" t="n"/>
      <c r="D12" s="86" t="n"/>
      <c r="E12" s="86" t="n"/>
      <c r="F12" s="87" t="n"/>
    </row>
    <row r="13" ht="16" customHeight="1">
      <c r="A13" s="117" t="inlineStr">
        <is>
          <t>شاخص</t>
        </is>
      </c>
      <c r="B13" s="112" t="inlineStr">
        <is>
          <t>مقدار</t>
        </is>
      </c>
      <c r="C13" s="80" t="n"/>
      <c r="D13" s="117" t="inlineStr">
        <is>
          <t>توضیح</t>
        </is>
      </c>
      <c r="E13" s="112" t="inlineStr"/>
      <c r="F13" s="80" t="n"/>
    </row>
    <row r="14" ht="16" customHeight="1">
      <c r="A14" s="117" t="inlineStr">
        <is>
          <t>کل تست‌ها</t>
        </is>
      </c>
      <c r="B14" s="112" t="inlineStr">
        <is>
          <t>28</t>
        </is>
      </c>
      <c r="C14" s="80" t="n"/>
      <c r="D14" s="118" t="inlineStr">
        <is>
          <t>UI-001 تا UI-028</t>
        </is>
      </c>
      <c r="E14" s="112" t="inlineStr"/>
      <c r="F14" s="80" t="n"/>
    </row>
    <row r="15" ht="16" customHeight="1">
      <c r="A15" s="117" t="inlineStr">
        <is>
          <t>قبول</t>
        </is>
      </c>
      <c r="B15" s="112" t="inlineStr">
        <is>
          <t>0</t>
        </is>
      </c>
      <c r="C15" s="80" t="n"/>
      <c r="D15" s="117" t="inlineStr">
        <is>
          <t>COUNTIF</t>
        </is>
      </c>
      <c r="E15" s="112" t="inlineStr"/>
      <c r="F15" s="80" t="n"/>
    </row>
    <row r="16" ht="16" customHeight="1">
      <c r="A16" s="117" t="inlineStr">
        <is>
          <t>رد</t>
        </is>
      </c>
      <c r="B16" s="112" t="inlineStr">
        <is>
          <t>0</t>
        </is>
      </c>
      <c r="C16" s="80" t="n"/>
      <c r="D16" s="117" t="inlineStr"/>
      <c r="E16" s="112" t="inlineStr"/>
      <c r="F16" s="80" t="n"/>
    </row>
    <row r="17" ht="16" customHeight="1">
      <c r="A17" s="117" t="inlineStr">
        <is>
          <t>در انتظار</t>
        </is>
      </c>
      <c r="B17" s="112" t="inlineStr">
        <is>
          <t>28</t>
        </is>
      </c>
      <c r="C17" s="80" t="n"/>
      <c r="D17" s="117" t="inlineStr"/>
      <c r="E17" s="112" t="inlineStr"/>
      <c r="F17" s="80" t="n"/>
    </row>
    <row r="18" ht="16" customHeight="1">
      <c r="A18" s="117" t="inlineStr">
        <is>
          <t>نرخ قبولی</t>
        </is>
      </c>
      <c r="B18" s="112" t="inlineStr">
        <is>
          <t>0%</t>
        </is>
      </c>
      <c r="C18" s="80" t="n"/>
      <c r="D18" s="117" t="inlineStr"/>
      <c r="E18" s="112" t="inlineStr"/>
      <c r="F18" s="80" t="n"/>
    </row>
    <row r="19">
      <c r="A19" s="80" t="n"/>
      <c r="B19" s="80" t="n"/>
      <c r="C19" s="80" t="n"/>
      <c r="D19" s="80" t="n"/>
      <c r="E19" s="80" t="n"/>
      <c r="F19" s="80" t="n"/>
    </row>
    <row r="20">
      <c r="A20" s="114" t="inlineStr">
        <is>
          <t>امضا: تست‌کننده ________________  سرپرست ________________  تاریخ ________________</t>
        </is>
      </c>
      <c r="B20" s="80" t="n"/>
      <c r="C20" s="80" t="n"/>
      <c r="D20" s="80" t="n"/>
      <c r="E20" s="80" t="n"/>
      <c r="F20" s="80" t="n"/>
    </row>
  </sheetData>
  <mergeCells count="5">
    <mergeCell ref="A2:F2"/>
    <mergeCell ref="A1:F1"/>
    <mergeCell ref="A12:F12"/>
    <mergeCell ref="A3:F3"/>
    <mergeCell ref="A20:F20"/>
  </mergeCells>
  <hyperlinks>
    <hyperlink ref="D14" location="'تست‌های آزمایشگاهی'!A5"/>
  </hyperlinks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A17"/>
  <sheetViews>
    <sheetView rightToLeft="1"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19" t="inlineStr">
        <is>
          <t>وضعیت</t>
        </is>
      </c>
    </row>
    <row r="2">
      <c r="A2" s="120" t="inlineStr">
        <is>
          <t>در انتظار</t>
        </is>
      </c>
    </row>
    <row r="3">
      <c r="A3" s="121" t="inlineStr">
        <is>
          <t>انجام شد</t>
        </is>
      </c>
    </row>
    <row r="4">
      <c r="A4" s="122" t="inlineStr">
        <is>
          <t>قبول</t>
        </is>
      </c>
    </row>
    <row r="5">
      <c r="A5" s="123" t="inlineStr">
        <is>
          <t>رد</t>
        </is>
      </c>
    </row>
    <row r="6">
      <c r="A6" s="123" t="inlineStr">
        <is>
          <t>مسدود</t>
        </is>
      </c>
    </row>
    <row r="7">
      <c r="A7" s="80" t="inlineStr">
        <is>
          <t>نیاز به تکرار</t>
        </is>
      </c>
    </row>
    <row r="8">
      <c r="A8" s="119" t="inlineStr">
        <is>
          <t>اولویت</t>
        </is>
      </c>
    </row>
    <row r="9">
      <c r="A9" s="123" t="inlineStr">
        <is>
          <t>بالا</t>
        </is>
      </c>
    </row>
    <row r="10">
      <c r="A10" s="123" t="inlineStr">
        <is>
          <t>متوسط</t>
        </is>
      </c>
    </row>
    <row r="11">
      <c r="A11" s="123" t="inlineStr">
        <is>
          <t>پایین</t>
        </is>
      </c>
    </row>
    <row r="12">
      <c r="A12" s="80" t="n"/>
    </row>
    <row r="13">
      <c r="A13" s="119" t="inlineStr">
        <is>
          <t>شدت</t>
        </is>
      </c>
    </row>
    <row r="14">
      <c r="A14" s="123" t="inlineStr">
        <is>
          <t>بحرانی</t>
        </is>
      </c>
    </row>
    <row r="15">
      <c r="A15" s="123" t="inlineStr">
        <is>
          <t>بالا</t>
        </is>
      </c>
    </row>
    <row r="16">
      <c r="A16" s="123" t="inlineStr">
        <is>
          <t>متوسط</t>
        </is>
      </c>
    </row>
    <row r="17">
      <c r="A17" s="123" t="inlineStr">
        <is>
          <t>پایین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0" t="inlineStr">
        <is>
          <t>ماشین حالت ماژول نمایش و بوق (UI)</t>
        </is>
      </c>
      <c r="B1" s="80" t="n"/>
      <c r="C1" s="80" t="n"/>
    </row>
    <row r="2">
      <c r="A2" s="80" t="n"/>
      <c r="B2" s="80" t="n"/>
      <c r="C2" s="80" t="n"/>
    </row>
    <row r="3" ht="24" customHeight="1">
      <c r="A3" s="31" t="inlineStr">
        <is>
          <t>حالت‌ها و گذارهای همین ماژول</t>
        </is>
      </c>
      <c r="B3" s="32" t="inlineStr">
        <is>
          <t>Ui_State_Machine.xlsx</t>
        </is>
      </c>
      <c r="C3" s="80" t="n"/>
    </row>
    <row r="4" ht="24" customHeight="1">
      <c r="A4" s="31" t="inlineStr">
        <is>
          <t>ماشین حالت کل برنامه (نمای سیستمی)</t>
        </is>
      </c>
      <c r="B4" s="32" t="inlineStr">
        <is>
          <t>../../../Documentation/System_State_Machine.xlsx</t>
        </is>
      </c>
      <c r="C4" s="80" t="n"/>
    </row>
    <row r="5" ht="24" customHeight="1">
      <c r="A5" s="31" t="inlineStr">
        <is>
          <t>راهنمای رنگ‌ها</t>
        </is>
      </c>
      <c r="B5" s="33" t="inlineStr">
        <is>
          <t>سبز = عادی/سالم · زرد = هشدار یا انتظار · قرمز = خطا یا قفل · نارنجی = در حال کار · خاکستری = بی‌کار · آبی = اطلاعاتی</t>
        </is>
      </c>
      <c r="C5" s="80" t="n"/>
    </row>
    <row r="6" ht="24" customHeight="1">
      <c r="A6" s="31" t="inlineStr">
        <is>
          <t>بازتولید</t>
        </is>
      </c>
      <c r="B6" s="32" t="inlineStr">
        <is>
          <t>python3 tools/make_module_state_machines.py</t>
        </is>
      </c>
      <c r="C6" s="80" t="n"/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2026-09-17T09:22:28Z</dcterms:created>
  <dcterms:modified xsi:type="dcterms:W3CDTF">2026-10-16T18:57:06Z</dcterms:modified>
</cp:coreProperties>
</file>