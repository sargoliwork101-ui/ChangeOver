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برنامه تست" sheetId="2" state="visible" r:id="rId2"/>
    <sheet name="مراجع سناریو" sheetId="3" state="visible" r:id="rId3"/>
    <sheet name="ثبت ایراد" sheetId="4" state="visible" r:id="rId4"/>
    <sheet name="تأیید نهایی" sheetId="5" state="visible" r:id="rId5"/>
    <sheet name="فهرست‌ها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8"/>
      <sz val="14"/>
    </font>
    <font>
      <name val="Calibri"/>
      <i val="1"/>
      <color rgb="00404040"/>
      <sz val="9"/>
    </font>
    <font>
      <b val="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F2CC"/>
        <bgColor rgb="00FFF2CC"/>
      </patternFill>
    </fill>
    <fill>
      <patternFill patternType="solid">
        <fgColor rgb="005B9BD5"/>
        <bgColor rgb="005B9BD5"/>
      </patternFill>
    </fill>
    <fill>
      <patternFill patternType="solid">
        <fgColor rgb="00ED7D31"/>
        <bgColor rgb="00ED7D31"/>
      </patternFill>
    </fill>
    <fill>
      <patternFill patternType="solid">
        <fgColor rgb="008064A2"/>
        <bgColor rgb="008064A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 readingOrder="2"/>
    </xf>
    <xf numFmtId="0" fontId="4" fillId="0" borderId="0" applyAlignment="1" pivotButton="0" quotePrefix="0" xfId="0">
      <alignment horizontal="right" vertical="center" wrapText="1" readingOrder="2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 readingOrder="2"/>
    </xf>
    <xf numFmtId="0" fontId="4" fillId="0" borderId="1" applyAlignment="1" pivotButton="0" quotePrefix="0" xfId="0">
      <alignment horizontal="center" vertical="center" wrapText="1" readingOrder="2"/>
    </xf>
    <xf numFmtId="0" fontId="4" fillId="0" borderId="1" applyAlignment="1" pivotButton="0" quotePrefix="0" xfId="0">
      <alignment horizontal="right" vertical="center" wrapText="1" readingOrder="2"/>
    </xf>
    <xf numFmtId="0" fontId="4" fillId="4" borderId="1" applyAlignment="1" pivotButton="0" quotePrefix="0" xfId="0">
      <alignment horizontal="right" vertical="center" wrapText="1" readingOrder="2"/>
    </xf>
    <xf numFmtId="0" fontId="3" fillId="5" borderId="1" applyAlignment="1" pivotButton="0" quotePrefix="0" xfId="0">
      <alignment horizontal="center" vertical="center" wrapText="1" readingOrder="2"/>
    </xf>
    <xf numFmtId="0" fontId="3" fillId="6" borderId="1" applyAlignment="1" pivotButton="0" quotePrefix="0" xfId="0">
      <alignment horizontal="center" vertical="center" wrapText="1" readingOrder="2"/>
    </xf>
    <xf numFmtId="0" fontId="0" fillId="4" borderId="1" applyAlignment="1" pivotButton="0" quotePrefix="0" xfId="0">
      <alignment horizontal="center" vertical="center" wrapText="1" readingOrder="2"/>
    </xf>
    <xf numFmtId="0" fontId="3" fillId="7" borderId="0" applyAlignment="1" pivotButton="0" quotePrefix="0" xfId="0">
      <alignment horizontal="center" vertical="center" wrapText="1" readingOrder="2"/>
    </xf>
    <xf numFmtId="0" fontId="7" fillId="8" borderId="1" applyAlignment="1" pivotButton="0" quotePrefix="0" xfId="0">
      <alignment horizontal="right" vertical="center" readingOrder="2"/>
    </xf>
    <xf numFmtId="0" fontId="0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right" vertical="center" readingOrder="2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 readingOrder="2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H16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برگه تست و اعتبارسنجی عملی ماژول Changeover — منطق قطع/وصل باتری</t>
        </is>
      </c>
    </row>
    <row r="2" ht="24" customHeight="1">
      <c r="A2" s="2" t="inlineStr">
        <is>
          <t>ChangeOver | PB11 (BSP_GPIO_PROTECT_BATTERY) | آستانه‌ها: 21000/20800/21200 و فیلتر 3000ms | MODULE_CHANGEOVER=0 (تست منطق)</t>
        </is>
      </c>
    </row>
    <row r="4">
      <c r="A4" s="3" t="inlineStr">
        <is>
          <t>هدف فایل</t>
        </is>
      </c>
    </row>
    <row r="5" ht="44" customHeight="1">
      <c r="A5" s="4" t="inlineStr">
        <is>
          <t>این فایل برای اعتبارسنجی منطق Changeover تهیه شده است: بررسی snapshot.valid، fault، آستانه‌های ولتاژ، آلارم UI، تایمر 3000ms و عدم استفاده از PB5/PB7/BSP‌های ممنوع.</t>
        </is>
      </c>
    </row>
    <row r="6" ht="42" customHeight="1">
      <c r="A6" s="4" t="inlineStr">
        <is>
          <t>دامنه: فقط Changeover؛ Measurement برای snapshot، Fault برای fault_mask و UI برای فلگ BOOL__G__UiBatteryAlarmIssued. زمان فقط با rtos_time.h.</t>
        </is>
      </c>
    </row>
    <row r="8">
      <c r="A8" s="3" t="inlineStr">
        <is>
          <t>روش اجرای تست</t>
        </is>
      </c>
    </row>
    <row r="9" ht="36" customHeight="1">
      <c r="A9" s="4" t="inlineStr">
        <is>
          <t>۱) برد را با منبع آزمایشگاهی و رعایت ایمنی تغذیه کن؛ PB11 را با DMM/اسیلوسکوپ نسبت به GND اندازه بگیر (فعال Low، Safe High).</t>
        </is>
      </c>
    </row>
    <row r="10" ht="36" customHeight="1">
      <c r="A10" s="4" t="inlineStr">
        <is>
          <t>۲) firmware موردنظر را پروگرام کن؛ commit و شناسه برد را در «تأیید نهایی» ثبت کن. برای تست‌های زمان‌دار از کرنومتر دقیق استفاده کن.</t>
        </is>
      </c>
    </row>
    <row r="11" ht="36" customHeight="1">
      <c r="A11" s="4" t="inlineStr">
        <is>
          <t>۳) snapshot را تزریق کن: valid، v_bat24_mv، input_present و فلگ UI را ست کن؛ fault_mask را نیز تنظیم کن.</t>
        </is>
      </c>
    </row>
    <row r="12" ht="36" customHeight="1">
      <c r="A12" s="4" t="inlineStr">
        <is>
          <t>۴) برای تست 3000ms: شرط را حداقل 3.5s پایدار نگه دار و سپس PB11 را بخوان؛ برای تست &lt;3s، شرط را 2.5s نگه دار و قطع نشدن را چک کن.</t>
        </is>
      </c>
    </row>
    <row r="13" ht="36" customHeight="1">
      <c r="A13" s="4" t="inlineStr">
        <is>
          <t>۵) برای snapshot نامعتبر: valid=false یا NULL تزریق کن و ببین state و PB11 حفظ می‌شود و تایمر نمی‌شمارد.</t>
        </is>
      </c>
    </row>
    <row r="14" ht="36" customHeight="1">
      <c r="A14" s="4" t="inlineStr">
        <is>
          <t>۶) fault تست: هر fault_mask غیرصفر باید state=FAULT و بدون تغییر PB11 باشد.</t>
        </is>
      </c>
    </row>
    <row r="15" ht="36" customHeight="1">
      <c r="A15" s="4" t="inlineStr">
        <is>
          <t>۷) بررسی PB5/PB7: در هیچ سناریو نباید تغییر کنند (با اسکوپ یا لاگ BSP).</t>
        </is>
      </c>
    </row>
    <row r="16" ht="36" customHeight="1">
      <c r="A16" s="4" t="inlineStr">
        <is>
          <t>۸) نتیجه واقعی را بنویس و در صورت رد، در «ثبت ایراد» ردیف بساز.</t>
        </is>
      </c>
    </row>
  </sheetData>
  <mergeCells count="14">
    <mergeCell ref="A1:H1"/>
    <mergeCell ref="A4:H4"/>
    <mergeCell ref="A9:H9"/>
    <mergeCell ref="A12:H12"/>
    <mergeCell ref="A15:H15"/>
    <mergeCell ref="A2:H2"/>
    <mergeCell ref="A16:H16"/>
    <mergeCell ref="A10:H10"/>
    <mergeCell ref="A13:H13"/>
    <mergeCell ref="A11:H11"/>
    <mergeCell ref="A14:H14"/>
    <mergeCell ref="A5:H5"/>
    <mergeCell ref="A8:H8"/>
    <mergeCell ref="A6:H6"/>
  </mergeCells>
  <pageMargins left="0.25" right="0.25" top="0.5" bottom="0.5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T2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34" customWidth="1" min="4" max="4"/>
    <col width="13" customWidth="1" min="5" max="5"/>
    <col width="13" customWidth="1" min="6" max="6"/>
    <col width="12" customWidth="1" min="7" max="7"/>
    <col width="10" customWidth="1" min="8" max="8"/>
    <col width="14" customWidth="1" min="9" max="9"/>
    <col width="16" customWidth="1" min="10" max="10"/>
    <col width="16" customWidth="1" min="11" max="11"/>
    <col width="18" customWidth="1" min="12" max="12"/>
    <col width="32" customWidth="1" min="13" max="13"/>
    <col width="42" customWidth="1" min="14" max="14"/>
    <col width="40" customWidth="1" min="15" max="15"/>
    <col width="16" customWidth="1" min="16" max="16"/>
    <col width="42" customWidth="1" min="17" max="17"/>
    <col width="14" customWidth="1" min="18" max="18"/>
    <col width="16" customWidth="1" min="19" max="19"/>
  </cols>
  <sheetData>
    <row r="1" ht="30" customHeight="1">
      <c r="A1" s="5" t="inlineStr">
        <is>
          <t>برنامهٔ تست عملی — ماژول Changeover (قطع/وصل باتری با 3000ms)</t>
        </is>
      </c>
    </row>
    <row r="2" ht="24" customHeight="1">
      <c r="A2" s="2" t="inlineStr">
        <is>
          <t>ورودی‌ها بر حسب mV/V؛ زمان‌ها بر حسب ms. PB11 فقط از BSP_GPIO_PROTECT_BATTERY (فعال Low) — PB5/PB7 ممنوع.</t>
        </is>
      </c>
    </row>
    <row r="3" ht="28" customHeight="1">
      <c r="A3" s="6" t="inlineStr">
        <is>
          <t>برای هر ردیف: snapshot.valid، v_bat24_mv، input_present، BOOL__G__UiBatteryAlarmIssued و fault_mask را اعمال کن؛ سپس PB11 و state را بخوان.</t>
        </is>
      </c>
    </row>
    <row r="4" ht="48" customHeight="1">
      <c r="A4" s="7" t="inlineStr">
        <is>
          <t>شناسه</t>
        </is>
      </c>
      <c r="B4" s="7" t="inlineStr">
        <is>
          <t>دسته</t>
        </is>
      </c>
      <c r="C4" s="7" t="inlineStr">
        <is>
          <t>اولویت</t>
        </is>
      </c>
      <c r="D4" s="7" t="inlineStr">
        <is>
          <t>پیش‌شرط / روش اعمال</t>
        </is>
      </c>
      <c r="E4" s="7" t="inlineStr">
        <is>
          <t>v_bat (mV)</t>
        </is>
      </c>
      <c r="F4" s="7" t="inlineStr">
        <is>
          <t>input_present</t>
        </is>
      </c>
      <c r="G4" s="7" t="inlineStr">
        <is>
          <t>UI فلگ</t>
        </is>
      </c>
      <c r="H4" s="7" t="inlineStr">
        <is>
          <t>fault_mask</t>
        </is>
      </c>
      <c r="I4" s="7" t="inlineStr">
        <is>
          <t>مدت پایدار</t>
        </is>
      </c>
      <c r="J4" s="7" t="inlineStr">
        <is>
          <t>PB11 — انتظار</t>
        </is>
      </c>
      <c r="K4" s="7" t="inlineStr">
        <is>
          <t>state — انتظار</t>
        </is>
      </c>
      <c r="L4" s="7" t="inlineStr">
        <is>
          <t>معیار قبول</t>
        </is>
      </c>
      <c r="M4" s="7" t="inlineStr">
        <is>
          <t>نتیجهٔ واقعی / اندازه‌گیری</t>
        </is>
      </c>
      <c r="N4" s="7" t="inlineStr">
        <is>
          <t>وضعیت</t>
        </is>
      </c>
      <c r="O4" s="7" t="inlineStr">
        <is>
          <t>شرح ایراد / تفاوت</t>
        </is>
      </c>
      <c r="P4" s="7" t="inlineStr">
        <is>
          <t>شماره ایراد</t>
        </is>
      </c>
      <c r="Q4" s="7" t="inlineStr">
        <is>
          <t>تست‌کننده</t>
        </is>
      </c>
      <c r="R4" s="7" t="inlineStr">
        <is>
          <t>تاریخ تست</t>
        </is>
      </c>
      <c r="S4" s="7" t="inlineStr">
        <is>
          <t>تأیید</t>
        </is>
      </c>
    </row>
    <row r="5" ht="54" customHeight="1">
      <c r="A5" s="8" t="inlineStr">
        <is>
          <t>CO-001</t>
        </is>
      </c>
      <c r="B5" s="8" t="inlineStr">
        <is>
          <t>Snapshot نامعتبر</t>
        </is>
      </c>
      <c r="C5" s="8" t="inlineStr">
        <is>
          <t>بالا</t>
        </is>
      </c>
      <c r="D5" s="8" t="inlineStr">
        <is>
          <t>Init → BOOT؛ سپس snapshot.valid=false با v_bat=24000، input=true، fault=0</t>
        </is>
      </c>
      <c r="E5" s="8" t="inlineStr">
        <is>
          <t>24000</t>
        </is>
      </c>
      <c r="F5" s="8" t="inlineStr">
        <is>
          <t>true</t>
        </is>
      </c>
      <c r="G5" s="8" t="inlineStr">
        <is>
          <t>false</t>
        </is>
      </c>
      <c r="H5" s="8" t="inlineStr">
        <is>
          <t>0</t>
        </is>
      </c>
      <c r="I5" s="8" t="inlineStr">
        <is>
          <t>—</t>
        </is>
      </c>
      <c r="J5" s="8" t="inlineStr">
        <is>
          <t>PB11 حفظ (High-safe)</t>
        </is>
      </c>
      <c r="K5" s="8" t="inlineStr">
        <is>
          <t>BOOT/IDLE حفظ</t>
        </is>
      </c>
      <c r="L5" s="8" t="inlineStr">
        <is>
          <t>هیچ تصمیمی نگیرد؛ زمان نامعتبر شمرده نشود</t>
        </is>
      </c>
      <c r="M5" s="9" t="inlineStr"/>
      <c r="N5" s="10" t="inlineStr">
        <is>
          <t>در انتظار</t>
        </is>
      </c>
      <c r="O5" s="9" t="inlineStr"/>
      <c r="P5" s="9" t="inlineStr"/>
      <c r="Q5" s="9" t="inlineStr"/>
      <c r="R5" s="9" t="inlineStr"/>
      <c r="S5" s="9" t="inlineStr"/>
      <c r="T5" s="9" t="inlineStr">
        <is>
          <t>در انتظار</t>
        </is>
      </c>
    </row>
    <row r="6" ht="54" customHeight="1">
      <c r="A6" s="8" t="inlineStr">
        <is>
          <t>CO-002</t>
        </is>
      </c>
      <c r="B6" s="8" t="inlineStr">
        <is>
          <t>Snapshot نامعتبر + تایمر</t>
        </is>
      </c>
      <c r="C6" s="8" t="inlineStr">
        <is>
          <t>بالا</t>
        </is>
      </c>
      <c r="D6" s="8" t="inlineStr">
        <is>
          <t>2s شرط قطع (v=20900+فلگ) → 1s invalid → 2s قطع دوباره</t>
        </is>
      </c>
      <c r="E6" s="8" t="inlineStr">
        <is>
          <t>20900</t>
        </is>
      </c>
      <c r="F6" s="8" t="inlineStr">
        <is>
          <t>false</t>
        </is>
      </c>
      <c r="G6" s="8" t="inlineStr">
        <is>
          <t>true</t>
        </is>
      </c>
      <c r="H6" s="8" t="inlineStr">
        <is>
          <t>0</t>
        </is>
      </c>
      <c r="I6" s="8" t="inlineStr">
        <is>
          <t>2s+1s_invalid+2s</t>
        </is>
      </c>
      <c r="J6" s="8" t="inlineStr">
        <is>
          <t>PB11 بدون تغییر تا 3s پیوسته تکمیل شود</t>
        </is>
      </c>
      <c r="K6" s="8" t="inlineStr">
        <is>
          <t>حفظ</t>
        </is>
      </c>
      <c r="L6" s="8" t="inlineStr">
        <is>
          <t>invalid تایمر را reset کند</t>
        </is>
      </c>
      <c r="M6" s="9" t="inlineStr"/>
      <c r="N6" s="10" t="inlineStr">
        <is>
          <t>در انتظار</t>
        </is>
      </c>
      <c r="O6" s="9" t="inlineStr"/>
      <c r="P6" s="9" t="inlineStr"/>
      <c r="Q6" s="9" t="inlineStr"/>
      <c r="R6" s="9" t="inlineStr"/>
      <c r="S6" s="9" t="inlineStr"/>
      <c r="T6" s="9" t="inlineStr">
        <is>
          <t>در انتظار</t>
        </is>
      </c>
    </row>
    <row r="7" ht="54" customHeight="1">
      <c r="A7" s="8" t="inlineStr">
        <is>
          <t>CO-003</t>
        </is>
      </c>
      <c r="B7" s="8" t="inlineStr">
        <is>
          <t>ورودی قطع + باتری فول</t>
        </is>
      </c>
      <c r="C7" s="8" t="inlineStr">
        <is>
          <t>بالا</t>
        </is>
      </c>
      <c r="D7" s="8" t="inlineStr">
        <is>
          <t>snapshot.valid=true، v_bat=28000، input=false، فلگ false، fault=0</t>
        </is>
      </c>
      <c r="E7" s="8" t="inlineStr">
        <is>
          <t>28000</t>
        </is>
      </c>
      <c r="F7" s="8" t="inlineStr">
        <is>
          <t>false</t>
        </is>
      </c>
      <c r="G7" s="8" t="inlineStr">
        <is>
          <t>false</t>
        </is>
      </c>
      <c r="H7" s="8" t="inlineStr">
        <is>
          <t>0</t>
        </is>
      </c>
      <c r="I7" s="8" t="inlineStr">
        <is>
          <t>5s</t>
        </is>
      </c>
      <c r="J7" s="8" t="inlineStr">
        <is>
          <t>PB11 High (متصل)</t>
        </is>
      </c>
      <c r="K7" s="8" t="inlineStr">
        <is>
          <t>IDLE/BATTERY</t>
        </is>
      </c>
      <c r="L7" s="8" t="inlineStr">
        <is>
          <t>قطع نشود؛ شرط ولتاژ برقرار نیست</t>
        </is>
      </c>
      <c r="M7" s="9" t="inlineStr"/>
      <c r="N7" s="10" t="inlineStr">
        <is>
          <t>در انتظار</t>
        </is>
      </c>
      <c r="O7" s="9" t="inlineStr"/>
      <c r="P7" s="9" t="inlineStr"/>
      <c r="Q7" s="9" t="inlineStr"/>
      <c r="R7" s="9" t="inlineStr"/>
      <c r="S7" s="9" t="inlineStr"/>
      <c r="T7" s="9" t="inlineStr">
        <is>
          <t>در انتظار</t>
        </is>
      </c>
    </row>
    <row r="8" ht="54" customHeight="1">
      <c r="A8" s="8" t="inlineStr">
        <is>
          <t>CO-004</t>
        </is>
      </c>
      <c r="B8" s="8" t="inlineStr">
        <is>
          <t>قطع با 21000 + آلارم</t>
        </is>
      </c>
      <c r="C8" s="8" t="inlineStr">
        <is>
          <t>بالا</t>
        </is>
      </c>
      <c r="D8" s="8" t="inlineStr">
        <is>
          <t>v_bat=20900 (&lt;21000)، فلگ true، input=false، valid=true</t>
        </is>
      </c>
      <c r="E8" s="8" t="inlineStr">
        <is>
          <t>20900</t>
        </is>
      </c>
      <c r="F8" s="8" t="inlineStr">
        <is>
          <t>false</t>
        </is>
      </c>
      <c r="G8" s="8" t="inlineStr">
        <is>
          <t>true</t>
        </is>
      </c>
      <c r="H8" s="8" t="inlineStr">
        <is>
          <t>0</t>
        </is>
      </c>
      <c r="I8" s="8" t="inlineStr">
        <is>
          <t>3500ms پیوسته</t>
        </is>
      </c>
      <c r="J8" s="8" t="inlineStr">
        <is>
          <t>PB11 Low (قطع)</t>
        </is>
      </c>
      <c r="K8" s="8" t="inlineStr">
        <is>
          <t>SAFE</t>
        </is>
      </c>
      <c r="L8" s="8" t="inlineStr">
        <is>
          <t>پس از 3000ms PB11 قطع شود</t>
        </is>
      </c>
      <c r="M8" s="9" t="inlineStr"/>
      <c r="N8" s="10" t="inlineStr">
        <is>
          <t>در انتظار</t>
        </is>
      </c>
      <c r="O8" s="9" t="inlineStr"/>
      <c r="P8" s="9" t="inlineStr"/>
      <c r="Q8" s="9" t="inlineStr"/>
      <c r="R8" s="9" t="inlineStr"/>
      <c r="S8" s="9" t="inlineStr"/>
      <c r="T8" s="9" t="inlineStr">
        <is>
          <t>در انتظار</t>
        </is>
      </c>
    </row>
    <row r="9" ht="54" customHeight="1">
      <c r="A9" s="8" t="inlineStr">
        <is>
          <t>CO-005</t>
        </is>
      </c>
      <c r="B9" s="8" t="inlineStr">
        <is>
          <t>عدم قطع بدون آلارم</t>
        </is>
      </c>
      <c r="C9" s="8" t="inlineStr">
        <is>
          <t>بالا</t>
        </is>
      </c>
      <c r="D9" s="8" t="inlineStr">
        <is>
          <t>v_bat=20900 (&lt;21000) اما فلگ false</t>
        </is>
      </c>
      <c r="E9" s="8" t="inlineStr">
        <is>
          <t>20900</t>
        </is>
      </c>
      <c r="F9" s="8" t="inlineStr">
        <is>
          <t>false</t>
        </is>
      </c>
      <c r="G9" s="8" t="inlineStr">
        <is>
          <t>false</t>
        </is>
      </c>
      <c r="H9" s="8" t="inlineStr">
        <is>
          <t>0</t>
        </is>
      </c>
      <c r="I9" s="8" t="inlineStr">
        <is>
          <t>3500ms</t>
        </is>
      </c>
      <c r="J9" s="8" t="inlineStr">
        <is>
          <t>PB11 High حفظ</t>
        </is>
      </c>
      <c r="K9" s="8" t="inlineStr">
        <is>
          <t>حفظ</t>
        </is>
      </c>
      <c r="L9" s="8" t="inlineStr">
        <is>
          <t>بدون فلگ، قطع 21000 نباید رخ دهد</t>
        </is>
      </c>
      <c r="M9" s="9" t="inlineStr"/>
      <c r="N9" s="10" t="inlineStr">
        <is>
          <t>در انتظار</t>
        </is>
      </c>
      <c r="O9" s="9" t="inlineStr"/>
      <c r="P9" s="9" t="inlineStr"/>
      <c r="Q9" s="9" t="inlineStr"/>
      <c r="R9" s="9" t="inlineStr"/>
      <c r="S9" s="9" t="inlineStr"/>
      <c r="T9" s="9" t="inlineStr">
        <is>
          <t>در انتظار</t>
        </is>
      </c>
    </row>
    <row r="10" ht="54" customHeight="1">
      <c r="A10" s="8" t="inlineStr">
        <is>
          <t>CO-006</t>
        </is>
      </c>
      <c r="B10" s="8" t="inlineStr">
        <is>
          <t>قطع مستقل 20800</t>
        </is>
      </c>
      <c r="C10" s="8" t="inlineStr">
        <is>
          <t>بالا</t>
        </is>
      </c>
      <c r="D10" s="8" t="inlineStr">
        <is>
          <t>v_bat=20700 (&lt;20800)، فلگ false، valid=true</t>
        </is>
      </c>
      <c r="E10" s="8" t="inlineStr">
        <is>
          <t>20700</t>
        </is>
      </c>
      <c r="F10" s="8" t="inlineStr">
        <is>
          <t>false</t>
        </is>
      </c>
      <c r="G10" s="8" t="inlineStr">
        <is>
          <t>false</t>
        </is>
      </c>
      <c r="H10" s="8" t="inlineStr">
        <is>
          <t>0</t>
        </is>
      </c>
      <c r="I10" s="8" t="inlineStr">
        <is>
          <t>3500ms</t>
        </is>
      </c>
      <c r="J10" s="8" t="inlineStr">
        <is>
          <t>PB11 Low (قطع)</t>
        </is>
      </c>
      <c r="K10" s="8" t="inlineStr">
        <is>
          <t>SAFE</t>
        </is>
      </c>
      <c r="L10" s="8" t="inlineStr">
        <is>
          <t>بدون آلارم هم قطع شود</t>
        </is>
      </c>
      <c r="M10" s="9" t="inlineStr"/>
      <c r="N10" s="10" t="inlineStr">
        <is>
          <t>در انتظار</t>
        </is>
      </c>
      <c r="O10" s="9" t="inlineStr"/>
      <c r="P10" s="9" t="inlineStr"/>
      <c r="Q10" s="9" t="inlineStr"/>
      <c r="R10" s="9" t="inlineStr"/>
      <c r="S10" s="9" t="inlineStr"/>
      <c r="T10" s="9" t="inlineStr">
        <is>
          <t>در انتظار</t>
        </is>
      </c>
    </row>
    <row r="11" ht="54" customHeight="1">
      <c r="A11" s="8" t="inlineStr">
        <is>
          <t>CO-007</t>
        </is>
      </c>
      <c r="B11" s="8" t="inlineStr">
        <is>
          <t>مرز 20800</t>
        </is>
      </c>
      <c r="C11" s="8" t="inlineStr">
        <is>
          <t>متوسط</t>
        </is>
      </c>
      <c r="D11" s="8" t="inlineStr">
        <is>
          <t>v_bat=20800 دقیق (نه کمتر)</t>
        </is>
      </c>
      <c r="E11" s="8" t="inlineStr">
        <is>
          <t>20800</t>
        </is>
      </c>
      <c r="F11" s="8" t="inlineStr">
        <is>
          <t>false</t>
        </is>
      </c>
      <c r="G11" s="8" t="inlineStr">
        <is>
          <t>false</t>
        </is>
      </c>
      <c r="H11" s="8" t="inlineStr">
        <is>
          <t>0</t>
        </is>
      </c>
      <c r="I11" s="8" t="inlineStr">
        <is>
          <t>3500ms</t>
        </is>
      </c>
      <c r="J11" s="8" t="inlineStr">
        <is>
          <t>PB11 High حفظ</t>
        </is>
      </c>
      <c r="K11" s="8" t="inlineStr">
        <is>
          <t>حفظ</t>
        </is>
      </c>
      <c r="L11" s="8" t="inlineStr">
        <is>
          <t>در 20800 دقیق قطع نشود (&lt;20800)</t>
        </is>
      </c>
      <c r="M11" s="9" t="inlineStr"/>
      <c r="N11" s="10" t="inlineStr">
        <is>
          <t>در انتظار</t>
        </is>
      </c>
      <c r="O11" s="9" t="inlineStr"/>
      <c r="P11" s="9" t="inlineStr"/>
      <c r="Q11" s="9" t="inlineStr"/>
      <c r="R11" s="9" t="inlineStr"/>
      <c r="S11" s="9" t="inlineStr"/>
      <c r="T11" s="9" t="inlineStr">
        <is>
          <t>در انتظار</t>
        </is>
      </c>
    </row>
    <row r="12" ht="54" customHeight="1">
      <c r="A12" s="8" t="inlineStr">
        <is>
          <t>CO-008</t>
        </is>
      </c>
      <c r="B12" s="8" t="inlineStr">
        <is>
          <t>افت کمتر از 3s</t>
        </is>
      </c>
      <c r="C12" s="8" t="inlineStr">
        <is>
          <t>بالا</t>
        </is>
      </c>
      <c r="D12" s="8" t="inlineStr">
        <is>
          <t>v_bat=20700 برای 2500ms سپس 23000</t>
        </is>
      </c>
      <c r="E12" s="8" t="inlineStr">
        <is>
          <t>20700→23000</t>
        </is>
      </c>
      <c r="F12" s="8" t="inlineStr">
        <is>
          <t>false</t>
        </is>
      </c>
      <c r="G12" s="8" t="inlineStr">
        <is>
          <t>true</t>
        </is>
      </c>
      <c r="H12" s="8" t="inlineStr">
        <is>
          <t>0</t>
        </is>
      </c>
      <c r="I12" s="8" t="inlineStr">
        <is>
          <t>2500ms</t>
        </is>
      </c>
      <c r="J12" s="8" t="inlineStr">
        <is>
          <t>PB11 High حفظ</t>
        </is>
      </c>
      <c r="K12" s="8" t="inlineStr">
        <is>
          <t>حفظ</t>
        </is>
      </c>
      <c r="L12" s="8" t="inlineStr">
        <is>
          <t>افت ناپایدار &lt;3s نباید قطع کند</t>
        </is>
      </c>
      <c r="M12" s="9" t="inlineStr"/>
      <c r="N12" s="10" t="inlineStr">
        <is>
          <t>در انتظار</t>
        </is>
      </c>
      <c r="O12" s="9" t="inlineStr"/>
      <c r="P12" s="9" t="inlineStr"/>
      <c r="Q12" s="9" t="inlineStr"/>
      <c r="R12" s="9" t="inlineStr"/>
      <c r="S12" s="9" t="inlineStr"/>
      <c r="T12" s="9" t="inlineStr">
        <is>
          <t>در انتظار</t>
        </is>
      </c>
    </row>
    <row r="13" ht="54" customHeight="1">
      <c r="A13" s="8" t="inlineStr">
        <is>
          <t>CO-009</t>
        </is>
      </c>
      <c r="B13" s="8" t="inlineStr">
        <is>
          <t>افت پیوسته 3s</t>
        </is>
      </c>
      <c r="C13" s="8" t="inlineStr">
        <is>
          <t>بالا</t>
        </is>
      </c>
      <c r="D13" s="8" t="inlineStr">
        <is>
          <t>v_bat=20700 برای 3100ms پیوسته</t>
        </is>
      </c>
      <c r="E13" s="8" t="inlineStr">
        <is>
          <t>20700</t>
        </is>
      </c>
      <c r="F13" s="8" t="inlineStr">
        <is>
          <t>false</t>
        </is>
      </c>
      <c r="G13" s="8" t="inlineStr">
        <is>
          <t>false</t>
        </is>
      </c>
      <c r="H13" s="8" t="inlineStr">
        <is>
          <t>0</t>
        </is>
      </c>
      <c r="I13" s="8" t="inlineStr">
        <is>
          <t>3100ms</t>
        </is>
      </c>
      <c r="J13" s="8" t="inlineStr">
        <is>
          <t>PB11 Low</t>
        </is>
      </c>
      <c r="K13" s="8" t="inlineStr">
        <is>
          <t>SAFE</t>
        </is>
      </c>
      <c r="L13" s="8" t="inlineStr">
        <is>
          <t>پس از 3000ms پیوسته قطع شود</t>
        </is>
      </c>
      <c r="M13" s="9" t="inlineStr"/>
      <c r="N13" s="10" t="inlineStr">
        <is>
          <t>در انتظار</t>
        </is>
      </c>
      <c r="O13" s="9" t="inlineStr"/>
      <c r="P13" s="9" t="inlineStr"/>
      <c r="Q13" s="9" t="inlineStr"/>
      <c r="R13" s="9" t="inlineStr"/>
      <c r="S13" s="9" t="inlineStr"/>
      <c r="T13" s="9" t="inlineStr">
        <is>
          <t>در انتظار</t>
        </is>
      </c>
    </row>
    <row r="14" ht="54" customHeight="1">
      <c r="A14" s="8" t="inlineStr">
        <is>
          <t>CO-010</t>
        </is>
      </c>
      <c r="B14" s="8" t="inlineStr">
        <is>
          <t>Reconnect معتبر</t>
        </is>
      </c>
      <c r="C14" s="8" t="inlineStr">
        <is>
          <t>بالا</t>
        </is>
      </c>
      <c r="D14" s="8" t="inlineStr">
        <is>
          <t>پس از قطع (CO-009): input=true و v_bat=21300 (≥21200) برای 3500ms</t>
        </is>
      </c>
      <c r="E14" s="8" t="inlineStr">
        <is>
          <t>21300</t>
        </is>
      </c>
      <c r="F14" s="8" t="inlineStr">
        <is>
          <t>true</t>
        </is>
      </c>
      <c r="G14" s="8" t="inlineStr">
        <is>
          <t>false</t>
        </is>
      </c>
      <c r="H14" s="8" t="inlineStr">
        <is>
          <t>0</t>
        </is>
      </c>
      <c r="I14" s="8" t="inlineStr">
        <is>
          <t>3500ms</t>
        </is>
      </c>
      <c r="J14" s="8" t="inlineStr">
        <is>
          <t>PB11 High (وصل مجدد)</t>
        </is>
      </c>
      <c r="K14" s="8" t="inlineStr">
        <is>
          <t>IDLE</t>
        </is>
      </c>
      <c r="L14" s="8" t="inlineStr">
        <is>
          <t>وصل مجدد پس از 3s</t>
        </is>
      </c>
      <c r="M14" s="9" t="inlineStr"/>
      <c r="N14" s="10" t="inlineStr">
        <is>
          <t>در انتظار</t>
        </is>
      </c>
      <c r="O14" s="9" t="inlineStr"/>
      <c r="P14" s="9" t="inlineStr"/>
      <c r="Q14" s="9" t="inlineStr"/>
      <c r="R14" s="9" t="inlineStr"/>
      <c r="S14" s="9" t="inlineStr"/>
      <c r="T14" s="9" t="inlineStr">
        <is>
          <t>در انتظار</t>
        </is>
      </c>
    </row>
    <row r="15" ht="54" customHeight="1">
      <c r="A15" s="8" t="inlineStr">
        <is>
          <t>CO-011</t>
        </is>
      </c>
      <c r="B15" s="8" t="inlineStr">
        <is>
          <t>قطع Reconnect &lt;3s</t>
        </is>
      </c>
      <c r="C15" s="8" t="inlineStr">
        <is>
          <t>بالا</t>
        </is>
      </c>
      <c r="D15" s="8" t="inlineStr">
        <is>
          <t>شرط reconnect 2500ms سپس input=false یا v&lt;21200</t>
        </is>
      </c>
      <c r="E15" s="8" t="inlineStr">
        <is>
          <t>21200→21000</t>
        </is>
      </c>
      <c r="F15" s="8" t="inlineStr">
        <is>
          <t>true→false</t>
        </is>
      </c>
      <c r="G15" s="8" t="inlineStr">
        <is>
          <t>false</t>
        </is>
      </c>
      <c r="H15" s="8" t="inlineStr">
        <is>
          <t>0</t>
        </is>
      </c>
      <c r="I15" s="8" t="inlineStr">
        <is>
          <t>2500ms</t>
        </is>
      </c>
      <c r="J15" s="8" t="inlineStr">
        <is>
          <t>PB11 Low حفظ (قطع)</t>
        </is>
      </c>
      <c r="K15" s="8" t="inlineStr">
        <is>
          <t>SAFE حفظ</t>
        </is>
      </c>
      <c r="L15" s="8" t="inlineStr">
        <is>
          <t>قطع شرط قبل از 3s: وصل نشود</t>
        </is>
      </c>
      <c r="M15" s="9" t="inlineStr"/>
      <c r="N15" s="10" t="inlineStr">
        <is>
          <t>در انتظار</t>
        </is>
      </c>
      <c r="O15" s="9" t="inlineStr"/>
      <c r="P15" s="9" t="inlineStr"/>
      <c r="Q15" s="9" t="inlineStr"/>
      <c r="R15" s="9" t="inlineStr"/>
      <c r="S15" s="9" t="inlineStr"/>
      <c r="T15" s="9" t="inlineStr">
        <is>
          <t>در انتظار</t>
        </is>
      </c>
    </row>
    <row r="16" ht="54" customHeight="1">
      <c r="A16" s="8" t="inlineStr">
        <is>
          <t>CO-012</t>
        </is>
      </c>
      <c r="B16" s="8" t="inlineStr">
        <is>
          <t>مرز Reconnect</t>
        </is>
      </c>
      <c r="C16" s="8" t="inlineStr">
        <is>
          <t>متوسط</t>
        </is>
      </c>
      <c r="D16" s="8" t="inlineStr">
        <is>
          <t>v_bat=21200 دقیق با input=true برای 3500ms</t>
        </is>
      </c>
      <c r="E16" s="8" t="inlineStr">
        <is>
          <t>21200</t>
        </is>
      </c>
      <c r="F16" s="8" t="inlineStr">
        <is>
          <t>true</t>
        </is>
      </c>
      <c r="G16" s="8" t="inlineStr">
        <is>
          <t>false</t>
        </is>
      </c>
      <c r="H16" s="8" t="inlineStr">
        <is>
          <t>0</t>
        </is>
      </c>
      <c r="I16" s="8" t="inlineStr">
        <is>
          <t>3500ms</t>
        </is>
      </c>
      <c r="J16" s="8" t="inlineStr">
        <is>
          <t>PB11 High (وصل)</t>
        </is>
      </c>
      <c r="K16" s="8" t="inlineStr">
        <is>
          <t>IDLE</t>
        </is>
      </c>
      <c r="L16" s="8" t="inlineStr">
        <is>
          <t>در ≥21200 وصل شود</t>
        </is>
      </c>
      <c r="M16" s="9" t="inlineStr"/>
      <c r="N16" s="10" t="inlineStr">
        <is>
          <t>در انتظار</t>
        </is>
      </c>
      <c r="O16" s="9" t="inlineStr"/>
      <c r="P16" s="9" t="inlineStr"/>
      <c r="Q16" s="9" t="inlineStr"/>
      <c r="R16" s="9" t="inlineStr"/>
      <c r="S16" s="9" t="inlineStr"/>
      <c r="T16" s="9" t="inlineStr">
        <is>
          <t>در انتظار</t>
        </is>
      </c>
    </row>
    <row r="17" ht="54" customHeight="1">
      <c r="A17" s="8" t="inlineStr">
        <is>
          <t>CO-013</t>
        </is>
      </c>
      <c r="B17" s="8" t="inlineStr">
        <is>
          <t>مرز قطع 21000</t>
        </is>
      </c>
      <c r="C17" s="8" t="inlineStr">
        <is>
          <t>متوسط</t>
        </is>
      </c>
      <c r="D17" s="8" t="inlineStr">
        <is>
          <t>v_bat=21000 دقیق با فلگ true برای 3500ms</t>
        </is>
      </c>
      <c r="E17" s="8" t="inlineStr">
        <is>
          <t>21000</t>
        </is>
      </c>
      <c r="F17" s="8" t="inlineStr">
        <is>
          <t>false</t>
        </is>
      </c>
      <c r="G17" s="8" t="inlineStr">
        <is>
          <t>true</t>
        </is>
      </c>
      <c r="H17" s="8" t="inlineStr">
        <is>
          <t>0</t>
        </is>
      </c>
      <c r="I17" s="8" t="inlineStr">
        <is>
          <t>3500ms</t>
        </is>
      </c>
      <c r="J17" s="8" t="inlineStr">
        <is>
          <t>PB11 High حفظ</t>
        </is>
      </c>
      <c r="K17" s="8" t="inlineStr">
        <is>
          <t>حفظ</t>
        </is>
      </c>
      <c r="L17" s="8" t="inlineStr">
        <is>
          <t>در 21000 دقیق (&lt;21000) قطع نشود</t>
        </is>
      </c>
      <c r="M17" s="9" t="inlineStr"/>
      <c r="N17" s="10" t="inlineStr">
        <is>
          <t>در انتظار</t>
        </is>
      </c>
      <c r="O17" s="9" t="inlineStr"/>
      <c r="P17" s="9" t="inlineStr"/>
      <c r="Q17" s="9" t="inlineStr"/>
      <c r="R17" s="9" t="inlineStr"/>
      <c r="S17" s="9" t="inlineStr"/>
      <c r="T17" s="9" t="inlineStr">
        <is>
          <t>در انتظار</t>
        </is>
      </c>
    </row>
    <row r="18" ht="54" customHeight="1">
      <c r="A18" s="8" t="inlineStr">
        <is>
          <t>CO-014</t>
        </is>
      </c>
      <c r="B18" s="8" t="inlineStr">
        <is>
          <t>Fault غیرصفر</t>
        </is>
      </c>
      <c r="C18" s="8" t="inlineStr">
        <is>
          <t>بالا</t>
        </is>
      </c>
      <c r="D18" s="8" t="inlineStr">
        <is>
          <t>هر fault_mask≠0 (مثلا FAULT_ADC) با v_bat=20700 و فلگ true</t>
        </is>
      </c>
      <c r="E18" s="8" t="inlineStr">
        <is>
          <t>20700</t>
        </is>
      </c>
      <c r="F18" s="8" t="inlineStr">
        <is>
          <t>false</t>
        </is>
      </c>
      <c r="G18" s="8" t="inlineStr">
        <is>
          <t>true</t>
        </is>
      </c>
      <c r="H18" s="8" t="inlineStr">
        <is>
          <t>FAULT_ADC</t>
        </is>
      </c>
      <c r="I18" s="8" t="inlineStr">
        <is>
          <t>3500ms</t>
        </is>
      </c>
      <c r="J18" s="8" t="inlineStr">
        <is>
          <t>PB11 بدون تغییر</t>
        </is>
      </c>
      <c r="K18" s="8" t="inlineStr">
        <is>
          <t>FAULT</t>
        </is>
      </c>
      <c r="L18" s="8" t="inlineStr">
        <is>
          <t>state=FAULT و هیچ pin تغییری نکند</t>
        </is>
      </c>
      <c r="M18" s="9" t="inlineStr"/>
      <c r="N18" s="10" t="inlineStr">
        <is>
          <t>در انتظار</t>
        </is>
      </c>
      <c r="O18" s="9" t="inlineStr"/>
      <c r="P18" s="9" t="inlineStr"/>
      <c r="Q18" s="9" t="inlineStr"/>
      <c r="R18" s="9" t="inlineStr"/>
      <c r="S18" s="9" t="inlineStr"/>
      <c r="T18" s="9" t="inlineStr">
        <is>
          <t>در انتظار</t>
        </is>
      </c>
    </row>
    <row r="19" ht="54" customHeight="1">
      <c r="A19" s="8" t="inlineStr">
        <is>
          <t>CO-015</t>
        </is>
      </c>
      <c r="B19" s="8" t="inlineStr">
        <is>
          <t>Fault + قطع همزمان</t>
        </is>
      </c>
      <c r="C19" s="8" t="inlineStr">
        <is>
          <t>بالا</t>
        </is>
      </c>
      <c r="D19" s="8" t="inlineStr">
        <is>
          <t>fault=FAULT_OVERCURRENT_1 و شرط قطع مستقل</t>
        </is>
      </c>
      <c r="E19" s="8" t="inlineStr">
        <is>
          <t>20700</t>
        </is>
      </c>
      <c r="F19" s="8" t="inlineStr">
        <is>
          <t>false</t>
        </is>
      </c>
      <c r="G19" s="8" t="inlineStr">
        <is>
          <t>false</t>
        </is>
      </c>
      <c r="H19" s="8" t="inlineStr">
        <is>
          <t>OVERCURRENT</t>
        </is>
      </c>
      <c r="I19" s="8" t="inlineStr">
        <is>
          <t>3500ms</t>
        </is>
      </c>
      <c r="J19" s="8" t="inlineStr">
        <is>
          <t>PB11 حفظ High</t>
        </is>
      </c>
      <c r="K19" s="8" t="inlineStr">
        <is>
          <t>FAULT</t>
        </is>
      </c>
      <c r="L19" s="8" t="inlineStr">
        <is>
          <t>اولویت Fault بالاتر از قطع</t>
        </is>
      </c>
      <c r="M19" s="9" t="inlineStr"/>
      <c r="N19" s="10" t="inlineStr">
        <is>
          <t>در انتظار</t>
        </is>
      </c>
      <c r="O19" s="9" t="inlineStr"/>
      <c r="P19" s="9" t="inlineStr"/>
      <c r="Q19" s="9" t="inlineStr"/>
      <c r="R19" s="9" t="inlineStr"/>
      <c r="S19" s="9" t="inlineStr"/>
      <c r="T19" s="9" t="inlineStr">
        <is>
          <t>در انتظار</t>
        </is>
      </c>
    </row>
    <row r="20" ht="54" customHeight="1">
      <c r="A20" s="8" t="inlineStr">
        <is>
          <t>CO-016</t>
        </is>
      </c>
      <c r="B20" s="8" t="inlineStr">
        <is>
          <t>عدم تغییر PB5/PB7</t>
        </is>
      </c>
      <c r="C20" s="8" t="inlineStr">
        <is>
          <t>بالا</t>
        </is>
      </c>
      <c r="D20" s="8" t="inlineStr">
        <is>
          <t>در تمام سناریوهای بالا PB5/BT_SWITCH و PB7/RELAY را مانیتور کن</t>
        </is>
      </c>
      <c r="E20" s="8" t="inlineStr">
        <is>
          <t>—</t>
        </is>
      </c>
      <c r="F20" s="8" t="inlineStr">
        <is>
          <t>—</t>
        </is>
      </c>
      <c r="G20" s="8" t="inlineStr">
        <is>
          <t>—</t>
        </is>
      </c>
      <c r="H20" s="8" t="inlineStr">
        <is>
          <t>0</t>
        </is>
      </c>
      <c r="I20" s="8" t="inlineStr">
        <is>
          <t>—</t>
        </is>
      </c>
      <c r="J20" s="8" t="inlineStr">
        <is>
          <t>PB5=High حفظ، PB7=Low حفظ</t>
        </is>
      </c>
      <c r="K20" s="8" t="inlineStr">
        <is>
          <t>—</t>
        </is>
      </c>
      <c r="L20" s="8" t="inlineStr">
        <is>
          <t>هیچ سناریو PB5/PB7 را تغییر ندهد</t>
        </is>
      </c>
      <c r="M20" s="9" t="inlineStr"/>
      <c r="N20" s="10" t="inlineStr">
        <is>
          <t>در انتظار</t>
        </is>
      </c>
      <c r="O20" s="9" t="inlineStr"/>
      <c r="P20" s="9" t="inlineStr"/>
      <c r="Q20" s="9" t="inlineStr"/>
      <c r="R20" s="9" t="inlineStr"/>
      <c r="S20" s="9" t="inlineStr"/>
      <c r="T20" s="9" t="inlineStr">
        <is>
          <t>در انتظار</t>
        </is>
      </c>
    </row>
    <row r="21" ht="54" customHeight="1">
      <c r="A21" s="8" t="inlineStr">
        <is>
          <t>CO-017</t>
        </is>
      </c>
      <c r="B21" s="8" t="inlineStr">
        <is>
          <t>حفظ PB11 در invalid</t>
        </is>
      </c>
      <c r="C21" s="8" t="inlineStr">
        <is>
          <t>بالا</t>
        </is>
      </c>
      <c r="D21" s="8" t="inlineStr">
        <is>
          <t>پس از قطع (PB11 Low)، snapshot invalid برای 2s</t>
        </is>
      </c>
      <c r="E21" s="8" t="inlineStr">
        <is>
          <t>—</t>
        </is>
      </c>
      <c r="F21" s="8" t="inlineStr">
        <is>
          <t>—</t>
        </is>
      </c>
      <c r="G21" s="8" t="inlineStr">
        <is>
          <t>—</t>
        </is>
      </c>
      <c r="H21" s="8" t="inlineStr">
        <is>
          <t>0</t>
        </is>
      </c>
      <c r="I21" s="8" t="inlineStr">
        <is>
          <t>2s invalid</t>
        </is>
      </c>
      <c r="J21" s="8" t="inlineStr">
        <is>
          <t>PB11 Low حفظ</t>
        </is>
      </c>
      <c r="K21" s="8" t="inlineStr">
        <is>
          <t>حفظ</t>
        </is>
      </c>
      <c r="L21" s="8" t="inlineStr">
        <is>
          <t>invalid باعث تغییر PB11 نشود</t>
        </is>
      </c>
      <c r="M21" s="9" t="inlineStr"/>
      <c r="N21" s="10" t="inlineStr">
        <is>
          <t>در انتظار</t>
        </is>
      </c>
      <c r="O21" s="9" t="inlineStr"/>
      <c r="P21" s="9" t="inlineStr"/>
      <c r="Q21" s="9" t="inlineStr"/>
      <c r="R21" s="9" t="inlineStr"/>
      <c r="S21" s="9" t="inlineStr"/>
      <c r="T21" s="9" t="inlineStr">
        <is>
          <t>در انتظار</t>
        </is>
      </c>
    </row>
    <row r="22" ht="54" customHeight="1">
      <c r="A22" s="8" t="inlineStr">
        <is>
          <t>CO-018</t>
        </is>
      </c>
      <c r="B22" s="8" t="inlineStr">
        <is>
          <t>حفظ PB11 در fault</t>
        </is>
      </c>
      <c r="C22" s="8" t="inlineStr">
        <is>
          <t>بالا</t>
        </is>
      </c>
      <c r="D22" s="8" t="inlineStr">
        <is>
          <t>پس از قطع، fault≠0 برای 2s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FAULT</t>
        </is>
      </c>
      <c r="I22" s="8" t="inlineStr">
        <is>
          <t>2s</t>
        </is>
      </c>
      <c r="J22" s="8" t="inlineStr">
        <is>
          <t>PB11 Low حفظ</t>
        </is>
      </c>
      <c r="K22" s="8" t="inlineStr">
        <is>
          <t>FAULT</t>
        </is>
      </c>
      <c r="L22" s="8" t="inlineStr">
        <is>
          <t>fault باعث تغییر PB11 نشود</t>
        </is>
      </c>
      <c r="M22" s="9" t="inlineStr"/>
      <c r="N22" s="10" t="inlineStr">
        <is>
          <t>در انتظار</t>
        </is>
      </c>
      <c r="O22" s="9" t="inlineStr"/>
      <c r="P22" s="9" t="inlineStr"/>
      <c r="Q22" s="9" t="inlineStr"/>
      <c r="R22" s="9" t="inlineStr"/>
      <c r="S22" s="9" t="inlineStr"/>
      <c r="T22" s="9" t="inlineStr">
        <is>
          <t>در انتظار</t>
        </is>
      </c>
    </row>
    <row r="23" ht="54" customHeight="1">
      <c r="A23" s="8" t="inlineStr">
        <is>
          <t>CO-019</t>
        </is>
      </c>
      <c r="B23" s="8" t="inlineStr">
        <is>
          <t>کارکرد rtos_time</t>
        </is>
      </c>
      <c r="C23" s="8" t="inlineStr">
        <is>
          <t>متوسط</t>
        </is>
      </c>
      <c r="D23" s="8" t="inlineStr">
        <is>
          <t>فرکانس تیک غیر 1KHz (مثلا 500Hz)؛ 3000ms را تست کن</t>
        </is>
      </c>
      <c r="E23" s="8" t="inlineStr">
        <is>
          <t>20700</t>
        </is>
      </c>
      <c r="F23" s="8" t="inlineStr">
        <is>
          <t>false</t>
        </is>
      </c>
      <c r="G23" s="8" t="inlineStr">
        <is>
          <t>false</t>
        </is>
      </c>
      <c r="H23" s="8" t="inlineStr">
        <is>
          <t>0</t>
        </is>
      </c>
      <c r="I23" s="8" t="inlineStr">
        <is>
          <t>3000ms</t>
        </is>
      </c>
      <c r="J23" s="8" t="inlineStr">
        <is>
          <t>PB11 Low پس از معادل تیک‌ها</t>
        </is>
      </c>
      <c r="K23" s="8" t="inlineStr">
        <is>
          <t>SAFE</t>
        </is>
      </c>
      <c r="L23" s="8" t="inlineStr">
        <is>
          <t>بدون فرض tick=1ms</t>
        </is>
      </c>
      <c r="M23" s="9" t="inlineStr"/>
      <c r="N23" s="10" t="inlineStr">
        <is>
          <t>در انتظار</t>
        </is>
      </c>
      <c r="O23" s="9" t="inlineStr"/>
      <c r="P23" s="9" t="inlineStr"/>
      <c r="Q23" s="9" t="inlineStr"/>
      <c r="R23" s="9" t="inlineStr"/>
      <c r="S23" s="9" t="inlineStr"/>
      <c r="T23" s="9" t="inlineStr">
        <is>
          <t>در انتظار</t>
        </is>
      </c>
    </row>
    <row r="24" ht="54" customHeight="1">
      <c r="A24" s="8" t="inlineStr">
        <is>
          <t>CO-020</t>
        </is>
      </c>
      <c r="B24" s="8" t="inlineStr">
        <is>
          <t>وابستگی فقط مجاز</t>
        </is>
      </c>
      <c r="C24" s="8" t="inlineStr">
        <is>
          <t>بالا</t>
        </is>
      </c>
      <c r="D24" s="8" t="inlineStr">
        <is>
          <t>بررسی که changeover.c فقط snapshot.valid/v_bat/input_present/fault/flag و BSP_PROTECT را استفاده می‌کند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—</t>
        </is>
      </c>
      <c r="I24" s="8" t="inlineStr">
        <is>
          <t>—</t>
        </is>
      </c>
      <c r="J24" s="8" t="inlineStr">
        <is>
          <t>—</t>
        </is>
      </c>
      <c r="K24" s="8" t="inlineStr">
        <is>
          <t>—</t>
        </is>
      </c>
      <c r="L24" s="8" t="inlineStr">
        <is>
          <t>board_pins/HAL/PB5/PB7/float/queue استفاده نشده</t>
        </is>
      </c>
      <c r="M24" s="9" t="inlineStr"/>
      <c r="N24" s="10" t="inlineStr">
        <is>
          <t>در انتظار</t>
        </is>
      </c>
      <c r="O24" s="9" t="inlineStr"/>
      <c r="P24" s="9" t="inlineStr"/>
      <c r="Q24" s="9" t="inlineStr"/>
      <c r="R24" s="9" t="inlineStr"/>
      <c r="S24" s="9" t="inlineStr"/>
      <c r="T24" s="9" t="inlineStr">
        <is>
          <t>در انتظار</t>
        </is>
      </c>
    </row>
  </sheetData>
  <mergeCells count="3">
    <mergeCell ref="A3:S3"/>
    <mergeCell ref="A2:S2"/>
    <mergeCell ref="A1:S1"/>
  </mergeCells>
  <dataValidations count="2">
    <dataValidation sqref="N5:N45" showDropDown="0" showInputMessage="0" showErrorMessage="0" allowBlank="1" type="list">
      <formula1>"در انتظار,قبول,رد,مسدود,نیاز به تکرار"</formula1>
    </dataValidation>
    <dataValidation sqref="S5:S45" showDropDown="0" showInputMessage="0" showErrorMessage="0" allowBlank="1" type="list">
      <formula1>"در انتظار,قبول,رد"</formula1>
    </dataValidation>
  </dataValidations>
  <pageMargins left="0.25" right="0.25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F15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36" customWidth="1" min="3" max="3"/>
    <col width="38" customWidth="1" min="4" max="4"/>
    <col width="24" customWidth="1" min="5" max="5"/>
    <col width="40" customWidth="1" min="6" max="6"/>
  </cols>
  <sheetData>
    <row r="1">
      <c r="A1" s="5" t="inlineStr">
        <is>
          <t>مرجع سریع سناریوهای Changeover</t>
        </is>
      </c>
    </row>
    <row r="2">
      <c r="A2" s="2" t="inlineStr">
        <is>
          <t>آستانه‌ها: 21000 (گیت)، 20800 (مستقل)، 21200 (وصل) — فیلتر 3000ms پیوسته — فقط PB11 منطقی</t>
        </is>
      </c>
    </row>
    <row r="5">
      <c r="A5" s="11" t="inlineStr">
        <is>
          <t>موضوع</t>
        </is>
      </c>
      <c r="B5" s="11" t="inlineStr">
        <is>
          <t>شرط / مقدار</t>
        </is>
      </c>
      <c r="C5" s="11" t="inlineStr">
        <is>
          <t>رفتار مورد انتظار</t>
        </is>
      </c>
      <c r="D5" s="11" t="inlineStr">
        <is>
          <t>ثابت / محل کد</t>
        </is>
      </c>
      <c r="E5" s="11" t="inlineStr">
        <is>
          <t>توضیح</t>
        </is>
      </c>
      <c r="F5" s="11" t="inlineStr">
        <is>
          <t>وابستگی</t>
        </is>
      </c>
    </row>
    <row r="6" ht="30" customHeight="1">
      <c r="A6" s="9" t="inlineStr">
        <is>
          <t>Snapshot نامعتبر</t>
        </is>
      </c>
      <c r="B6" s="9" t="inlineStr">
        <is>
          <t>valid==false یا NULL</t>
        </is>
      </c>
      <c r="C6" s="9" t="inlineStr">
        <is>
          <t>state حفظ، PB11 حفظ، تایمر reset</t>
        </is>
      </c>
      <c r="D6" s="9" t="inlineStr">
        <is>
          <t>changeover.c:valid check</t>
        </is>
      </c>
      <c r="E6" s="9" t="inlineStr">
        <is>
          <t>زمان نامعتبر شمرده نشود</t>
        </is>
      </c>
      <c r="F6" s="9" t="inlineStr">
        <is>
          <t>CO-001,002,017</t>
        </is>
      </c>
    </row>
    <row r="7" ht="30" customHeight="1">
      <c r="A7" s="9" t="inlineStr">
        <is>
          <t>Fault</t>
        </is>
      </c>
      <c r="B7" s="9" t="inlineStr">
        <is>
          <t>fault_mask !=0</t>
        </is>
      </c>
      <c r="C7" s="9" t="inlineStr">
        <is>
          <t>state=FAULT، هیچ pin تغییر نکند</t>
        </is>
      </c>
      <c r="D7" s="9" t="inlineStr">
        <is>
          <t>FAULT_NONE</t>
        </is>
      </c>
      <c r="E7" s="9" t="inlineStr">
        <is>
          <t>بالاترین اولویت</t>
        </is>
      </c>
      <c r="F7" s="9" t="inlineStr">
        <is>
          <t>CO-014,015,018</t>
        </is>
      </c>
    </row>
    <row r="8" ht="30" customHeight="1">
      <c r="A8" s="9" t="inlineStr">
        <is>
          <t>قطع با آلارم</t>
        </is>
      </c>
      <c r="B8" s="9" t="inlineStr">
        <is>
          <t>v&lt;21000 و فلگ true</t>
        </is>
      </c>
      <c r="C8" s="9" t="inlineStr">
        <is>
          <t>پس از 3000ms PB11 Low (قطع)</t>
        </is>
      </c>
      <c r="D8" s="9" t="inlineStr">
        <is>
          <t>CHANGEOVER_BAT_LOW_ALARM_CUT_MV</t>
        </is>
      </c>
      <c r="E8" s="9" t="inlineStr">
        <is>
          <t>پیوسته</t>
        </is>
      </c>
      <c r="F8" s="9" t="inlineStr">
        <is>
          <t>CO-004,005,013</t>
        </is>
      </c>
    </row>
    <row r="9" ht="30" customHeight="1">
      <c r="A9" s="9" t="inlineStr">
        <is>
          <t>قطع مستقل</t>
        </is>
      </c>
      <c r="B9" s="9" t="inlineStr">
        <is>
          <t>v&lt;20800 (بدون فلگ)</t>
        </is>
      </c>
      <c r="C9" s="9" t="inlineStr">
        <is>
          <t>پس از 3000ms PB11 Low</t>
        </is>
      </c>
      <c r="D9" s="9" t="inlineStr">
        <is>
          <t>CHANGEOVER_BAT_CRITICAL_CUT_MV</t>
        </is>
      </c>
      <c r="E9" s="9" t="inlineStr">
        <is>
          <t>مستقل</t>
        </is>
      </c>
      <c r="F9" s="9" t="inlineStr">
        <is>
          <t>CO-006,007,009</t>
        </is>
      </c>
    </row>
    <row r="10" ht="30" customHeight="1">
      <c r="A10" s="9" t="inlineStr">
        <is>
          <t>فیلتر زمان</t>
        </is>
      </c>
      <c r="B10" s="9" t="inlineStr">
        <is>
          <t>هر شرط &lt;3000ms</t>
        </is>
      </c>
      <c r="C10" s="9" t="inlineStr">
        <is>
          <t>عدم قطع/وصل</t>
        </is>
      </c>
      <c r="D10" s="9" t="inlineStr">
        <is>
          <t>CHANGEOVER_DURATION_MS=3000</t>
        </is>
      </c>
      <c r="E10" s="9" t="inlineStr">
        <is>
          <t>از rtos_time</t>
        </is>
      </c>
      <c r="F10" s="9" t="inlineStr">
        <is>
          <t>CO-008,011</t>
        </is>
      </c>
    </row>
    <row r="11" ht="30" customHeight="1">
      <c r="A11" s="9" t="inlineStr">
        <is>
          <t>وصل مجدد</t>
        </is>
      </c>
      <c r="B11" s="9" t="inlineStr">
        <is>
          <t>input==true و v≥21200</t>
        </is>
      </c>
      <c r="C11" s="9" t="inlineStr">
        <is>
          <t>پس از 3000ms PB11 High</t>
        </is>
      </c>
      <c r="D11" s="9" t="inlineStr">
        <is>
          <t>CHANGEOVER_BAT_RECONNECT_MV</t>
        </is>
      </c>
      <c r="E11" s="9" t="inlineStr">
        <is>
          <t>هر دو پیوسته</t>
        </is>
      </c>
      <c r="F11" s="9" t="inlineStr">
        <is>
          <t>CO-010,012</t>
        </is>
      </c>
    </row>
    <row r="12" ht="30" customHeight="1">
      <c r="A12" s="9" t="inlineStr">
        <is>
          <t>قطع وصل &lt;3s</t>
        </is>
      </c>
      <c r="B12" s="9" t="inlineStr">
        <is>
          <t>شرط وصل قبل از 3s قطع شود</t>
        </is>
      </c>
      <c r="C12" s="9" t="inlineStr">
        <is>
          <t>PB11 حفظ (قطع)</t>
        </is>
      </c>
      <c r="D12" s="9" t="inlineStr">
        <is>
          <t>Timers reset</t>
        </is>
      </c>
      <c r="E12" s="9" t="inlineStr">
        <is>
          <t>ناپایدار</t>
        </is>
      </c>
      <c r="F12" s="9" t="inlineStr">
        <is>
          <t>CO-011</t>
        </is>
      </c>
    </row>
    <row r="13" ht="30" customHeight="1">
      <c r="A13" s="9" t="inlineStr">
        <is>
          <t>PB5/PB7</t>
        </is>
      </c>
      <c r="B13" s="9" t="inlineStr">
        <is>
          <t>هیچ‌گاه</t>
        </is>
      </c>
      <c r="C13" s="9" t="inlineStr">
        <is>
          <t>بدون تغییر</t>
        </is>
      </c>
      <c r="D13" s="9" t="inlineStr">
        <is>
          <t>bsp_gpio.h:Forbidden</t>
        </is>
      </c>
      <c r="E13" s="9" t="inlineStr">
        <is>
          <t>فقط PROTECT_BATTERY</t>
        </is>
      </c>
      <c r="F13" s="9" t="inlineStr">
        <is>
          <t>CO-016</t>
        </is>
      </c>
    </row>
    <row r="14" ht="30" customHeight="1">
      <c r="A14" s="9" t="inlineStr">
        <is>
          <t>زمان</t>
        </is>
      </c>
      <c r="B14" s="9" t="inlineStr">
        <is>
          <t>tticks→ms via rtos_time</t>
        </is>
      </c>
      <c r="C14" s="9" t="inlineStr">
        <is>
          <t>بدون فرض 1ms</t>
        </is>
      </c>
      <c r="D14" s="9" t="inlineStr">
        <is>
          <t>func__Rtos_TicksToMilliseconds</t>
        </is>
      </c>
      <c r="E14" s="9" t="inlineStr">
        <is>
          <t>قابل‌حمل</t>
        </is>
      </c>
      <c r="F14" s="9" t="inlineStr">
        <is>
          <t>CO-019</t>
        </is>
      </c>
    </row>
    <row r="15" ht="30" customHeight="1">
      <c r="A15" s="9" t="inlineStr">
        <is>
          <t>منبع داده</t>
        </is>
      </c>
      <c r="B15" s="9" t="inlineStr">
        <is>
          <t>فقط 5 ورودی مجاز</t>
        </is>
      </c>
      <c r="C15" s="9" t="inlineStr">
        <is>
          <t>عدم استفاده از v_in/v_bat12 و ...</t>
        </is>
      </c>
      <c r="D15" s="9" t="inlineStr">
        <is>
          <t>app_types.h</t>
        </is>
      </c>
      <c r="E15" s="9" t="inlineStr">
        <is>
          <t>محدودیت</t>
        </is>
      </c>
      <c r="F15" s="9" t="inlineStr">
        <is>
          <t>CO-020</t>
        </is>
      </c>
    </row>
  </sheetData>
  <mergeCells count="2">
    <mergeCell ref="A2:F2"/>
    <mergeCell ref="A1:F1"/>
  </mergeCells>
  <pageMargins left="0.25" right="0.25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M14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4" customWidth="1" min="3" max="3"/>
    <col width="14" customWidth="1" min="4" max="4"/>
    <col width="28" customWidth="1" min="5" max="5"/>
    <col width="38" customWidth="1" min="6" max="6"/>
    <col width="30" customWidth="1" min="7" max="7"/>
    <col width="34" customWidth="1" min="8" max="8"/>
    <col width="28" customWidth="1" min="9" max="9"/>
    <col width="22" customWidth="1" min="10" max="10"/>
    <col width="22" customWidth="1" min="11" max="11"/>
    <col width="18" customWidth="1" min="12" max="12"/>
    <col width="40" customWidth="1" min="13" max="13"/>
  </cols>
  <sheetData>
    <row r="1">
      <c r="A1" s="5" t="inlineStr">
        <is>
          <t>ثبت ایرادهای مشاهده‌شده — Changeover</t>
        </is>
      </c>
    </row>
    <row r="2">
      <c r="A2" s="2" t="inlineStr">
        <is>
          <t>برای هر وضعیت «رد» یا تفاوت مهم، یک ردیف با شناسهٔ یکتا ثبت کن؛ پس از رفع، تست را دوباره اجرا کن.</t>
        </is>
      </c>
    </row>
    <row r="4">
      <c r="A4" s="12" t="inlineStr">
        <is>
          <t>شماره ایراد</t>
        </is>
      </c>
      <c r="B4" s="12" t="inlineStr">
        <is>
          <t>شناسه تست</t>
        </is>
      </c>
      <c r="C4" s="12" t="inlineStr">
        <is>
          <t>تاریخ کشف</t>
        </is>
      </c>
      <c r="D4" s="12" t="inlineStr">
        <is>
          <t>شدت</t>
        </is>
      </c>
      <c r="E4" s="12" t="inlineStr">
        <is>
          <t>شرح کوتاه ایراد</t>
        </is>
      </c>
      <c r="F4" s="12" t="inlineStr">
        <is>
          <t>مراحل بازتولید</t>
        </is>
      </c>
      <c r="G4" s="12" t="inlineStr">
        <is>
          <t>انتظار</t>
        </is>
      </c>
      <c r="H4" s="12" t="inlineStr">
        <is>
          <t>واقعیت</t>
        </is>
      </c>
      <c r="I4" s="12" t="inlineStr">
        <is>
          <t>مدرک/مسیر عکس یا scope</t>
        </is>
      </c>
      <c r="J4" s="12" t="inlineStr">
        <is>
          <t>commit firmware</t>
        </is>
      </c>
      <c r="K4" s="12" t="inlineStr">
        <is>
          <t>محل احتمالی</t>
        </is>
      </c>
      <c r="L4" s="12" t="inlineStr">
        <is>
          <t>وضعیت ایراد</t>
        </is>
      </c>
      <c r="M4" s="12" t="inlineStr">
        <is>
          <t>تأیید رفع / توضیحات</t>
        </is>
      </c>
    </row>
    <row r="5" ht="46" customHeight="1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</row>
    <row r="6" ht="46" customHeight="1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</row>
    <row r="7" ht="46" customHeight="1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</row>
    <row r="8" ht="46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</row>
    <row r="9" ht="46" customHeight="1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</row>
    <row r="10" ht="46" customHeight="1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</row>
    <row r="11" ht="46" customHeight="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</row>
    <row r="12" ht="46" customHeight="1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</row>
    <row r="13" ht="46" customHeight="1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4" ht="46" customHeight="1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</row>
  </sheetData>
  <mergeCells count="2">
    <mergeCell ref="A2:M2"/>
    <mergeCell ref="A1:M1"/>
  </mergeCells>
  <pageMargins left="0.25" right="0.25" top="0.5" bottom="0.5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8064A2"/>
    <outlinePr summaryBelow="1" summaryRight="1"/>
    <pageSetUpPr fitToPage="1"/>
  </sheetPr>
  <dimension ref="A1:D15"/>
  <sheetViews>
    <sheetView rightToLeft="1"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29" customWidth="1" min="3" max="3"/>
    <col width="34" customWidth="1" min="4" max="4"/>
  </cols>
  <sheetData>
    <row r="1">
      <c r="A1" s="5" t="inlineStr">
        <is>
          <t>تأیید نهایی اعتبارسنجی — Changeover</t>
        </is>
      </c>
    </row>
    <row r="2">
      <c r="A2" s="2" t="inlineStr">
        <is>
          <t>این صفحه فقط پس از تکمیل تست‌ها و بستن ایرادهای باز امضا شود. فقط BSP_GPIO_PROTECT_BATTERY مجاز.</t>
        </is>
      </c>
    </row>
    <row r="4">
      <c r="A4" s="14" t="inlineStr">
        <is>
          <t>مشخصات تست</t>
        </is>
      </c>
    </row>
    <row r="5">
      <c r="A5" s="15" t="inlineStr">
        <is>
          <t>پروژه</t>
        </is>
      </c>
      <c r="B5" s="16" t="inlineStr">
        <is>
          <t>ChangeOver</t>
        </is>
      </c>
      <c r="C5" s="15" t="inlineStr">
        <is>
          <t>ماژول</t>
        </is>
      </c>
      <c r="D5" s="16" t="inlineStr">
        <is>
          <t>Changeover — PB11</t>
        </is>
      </c>
    </row>
    <row r="6">
      <c r="A6" s="15" t="inlineStr">
        <is>
          <t>تاریخ ساخت فرم</t>
        </is>
      </c>
      <c r="B6" s="16" t="inlineStr">
        <is>
          <t>2026-09-16 (v1.0)</t>
        </is>
      </c>
      <c r="C6" s="15" t="inlineStr">
        <is>
          <t>نسخه فرم</t>
        </is>
      </c>
      <c r="D6" s="16" t="inlineStr">
        <is>
          <t>1.0 — فیلتر 3000ms</t>
        </is>
      </c>
    </row>
    <row r="7">
      <c r="A7" s="15" t="inlineStr">
        <is>
          <t>commit firmware</t>
        </is>
      </c>
      <c r="B7" s="16" t="inlineStr"/>
      <c r="C7" s="15" t="inlineStr">
        <is>
          <t>شناسه برد</t>
        </is>
      </c>
      <c r="D7" s="16" t="inlineStr"/>
    </row>
    <row r="8">
      <c r="A8" s="15" t="inlineStr">
        <is>
          <t>تست‌کننده اصلی</t>
        </is>
      </c>
      <c r="B8" s="16" t="inlineStr"/>
      <c r="C8" s="15" t="inlineStr">
        <is>
          <t>تاریخ شروع</t>
        </is>
      </c>
      <c r="D8" s="16" t="inlineStr"/>
    </row>
    <row r="9">
      <c r="A9" s="15" t="inlineStr">
        <is>
          <t>تاریخ پایان</t>
        </is>
      </c>
      <c r="B9" s="16" t="inlineStr"/>
      <c r="C9" s="15" t="inlineStr">
        <is>
          <t>ابزار اندازه‌گیری</t>
        </is>
      </c>
      <c r="D9" s="16" t="inlineStr"/>
    </row>
    <row r="10">
      <c r="A10" s="15" t="inlineStr">
        <is>
          <t>فرکانس تیک</t>
        </is>
      </c>
      <c r="B10" s="16" t="inlineStr">
        <is>
          <t>از osKernelGetTickFreq</t>
        </is>
      </c>
      <c r="C10" s="15" t="inlineStr">
        <is>
          <t>آستانه‌ها</t>
        </is>
      </c>
      <c r="D10" s="16" t="inlineStr">
        <is>
          <t>21000/20800/21200</t>
        </is>
      </c>
    </row>
    <row r="11">
      <c r="A11" s="14" t="inlineStr">
        <is>
          <t>خلاصهٔ خودکار وضعیت تست‌ها</t>
        </is>
      </c>
    </row>
    <row r="12">
      <c r="A12" s="11" t="inlineStr">
        <is>
          <t>شاخص</t>
        </is>
      </c>
      <c r="B12" s="11" t="inlineStr">
        <is>
          <t>مقدار</t>
        </is>
      </c>
      <c r="C12" s="11" t="inlineStr">
        <is>
          <t>توضیح</t>
        </is>
      </c>
      <c r="D12" s="11" t="inlineStr"/>
    </row>
    <row r="13">
      <c r="A13" s="17" t="inlineStr">
        <is>
          <t>تعداد تست</t>
        </is>
      </c>
      <c r="B13" s="18">
        <f>COUNTA('برنامه تست'!A5:A30)</f>
        <v/>
      </c>
      <c r="C13" s="19" t="inlineStr">
        <is>
          <t>تست‌ها</t>
        </is>
      </c>
      <c r="D13" s="20" t="n"/>
    </row>
    <row r="14">
      <c r="A14" s="17" t="inlineStr">
        <is>
          <t>قبول</t>
        </is>
      </c>
      <c r="B14" s="18">
        <f>COUNTIF('برنامه تست'!N5:N30,"قبول")</f>
        <v/>
      </c>
      <c r="C14" s="19" t="inlineStr"/>
      <c r="D14" s="20" t="n"/>
    </row>
    <row r="15">
      <c r="A15" s="17" t="inlineStr">
        <is>
          <t>رد</t>
        </is>
      </c>
      <c r="B15" s="18">
        <f>COUNTIF('برنامه تست'!N5:N30,"رد")</f>
        <v/>
      </c>
      <c r="C15" s="19" t="inlineStr"/>
      <c r="D15" s="20" t="n"/>
    </row>
  </sheetData>
  <mergeCells count="4">
    <mergeCell ref="A1:D1"/>
    <mergeCell ref="A4:D4"/>
    <mergeCell ref="A2:D2"/>
    <mergeCell ref="A11:D11"/>
  </mergeCells>
  <pageMargins left="0.25" right="0.25" top="0.5" bottom="0.5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در انتظار</t>
        </is>
      </c>
    </row>
    <row r="2">
      <c r="A2" t="inlineStr">
        <is>
          <t>قبول</t>
        </is>
      </c>
    </row>
    <row r="3">
      <c r="A3" t="inlineStr">
        <is>
          <t>رد</t>
        </is>
      </c>
    </row>
    <row r="4">
      <c r="A4" t="inlineStr">
        <is>
          <t>مسدود</t>
        </is>
      </c>
    </row>
    <row r="5">
      <c r="A5" t="inlineStr">
        <is>
          <t>نیاز به تکرار</t>
        </is>
      </c>
    </row>
    <row r="6">
      <c r="A6" t="inlineStr">
        <is>
          <t>تأیید شد</t>
        </is>
      </c>
    </row>
    <row r="7">
      <c r="A7" t="inlineStr">
        <is>
          <t>تأیید نشد</t>
        </is>
      </c>
    </row>
    <row r="8">
      <c r="A8" t="inlineStr">
        <is>
          <t>بالا</t>
        </is>
      </c>
    </row>
    <row r="9">
      <c r="A9" t="inlineStr">
        <is>
          <t>متوسط</t>
        </is>
      </c>
    </row>
    <row r="10">
      <c r="A10" t="inlineStr">
        <is>
          <t>پایین</t>
        </is>
      </c>
    </row>
    <row r="11">
      <c r="A11" t="inlineStr">
        <is>
          <t>بحرانی</t>
        </is>
      </c>
    </row>
    <row r="12">
      <c r="A12" t="inlineStr">
        <is>
          <t>باز</t>
        </is>
      </c>
    </row>
    <row r="13">
      <c r="A13" t="inlineStr">
        <is>
          <t>در حال بررسی</t>
        </is>
      </c>
    </row>
    <row r="14">
      <c r="A14" t="inlineStr">
        <is>
          <t>رفع شد</t>
        </is>
      </c>
    </row>
    <row r="15">
      <c r="A15" t="inlineStr">
        <is>
          <t>بسته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2026-09-16T15:21:12Z</dcterms:created>
  <dcterms:modified xsi:type="dcterms:W3CDTF">2026-09-16T15:21:12Z</dcterms:modified>
</cp:coreProperties>
</file>