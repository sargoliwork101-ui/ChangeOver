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آزمایشگاهی" sheetId="3" state="visible" r:id="rId3"/>
    <sheet xmlns:r="http://schemas.openxmlformats.org/officeDocument/2006/relationships" name="تست‌های برنامه‌نویسی" sheetId="4" state="visible" r:id="rId4"/>
    <sheet xmlns:r="http://schemas.openxmlformats.org/officeDocument/2006/relationships" name="مراجع سناریو" sheetId="5" state="visible" r:id="rId5"/>
    <sheet xmlns:r="http://schemas.openxmlformats.org/officeDocument/2006/relationships" name="ثبت ایراد" sheetId="6" state="visible" r:id="rId6"/>
    <sheet xmlns:r="http://schemas.openxmlformats.org/officeDocument/2006/relationships" name="تأیید نهایی" sheetId="7" state="visible" r:id="rId7"/>
    <sheet xmlns:r="http://schemas.openxmlformats.org/officeDocument/2006/relationships" name="فهرست‌ها" sheetId="8" state="hidden" r:id="rId8"/>
    <sheet xmlns:r="http://schemas.openxmlformats.org/officeDocument/2006/relationships"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6" fillId="13" borderId="1" applyAlignment="1" pivotButton="0" quotePrefix="0" xfId="0">
      <alignment horizontal="center" vertical="center" wrapText="1"/>
    </xf>
    <xf numFmtId="0" fontId="48" fillId="13" borderId="0" applyAlignment="1" pivotButton="0" quotePrefix="0" xfId="0">
      <alignment horizontal="right" vertical="center" wrapText="1"/>
    </xf>
    <xf numFmtId="0" fontId="48" fillId="13" borderId="0" applyAlignment="1" pivotButton="0" quotePrefix="0" xfId="0">
      <alignment horizontal="center" vertical="center" wrapText="1"/>
    </xf>
    <xf numFmtId="0" fontId="49" fillId="13" borderId="1" applyAlignment="1" pivotButton="0" quotePrefix="0" xfId="0">
      <alignment horizontal="center" vertical="center" wrapText="1"/>
    </xf>
    <xf numFmtId="0" fontId="46" fillId="13" borderId="1" pivotButton="0" quotePrefix="0" xfId="0"/>
    <xf numFmtId="0" fontId="20" fillId="14" borderId="1" applyAlignment="1" pivotButton="0" quotePrefix="0" xfId="0">
      <alignment horizontal="right" vertical="center" wrapText="1"/>
    </xf>
    <xf numFmtId="0" fontId="20" fillId="14" borderId="1" applyAlignment="1" pivotButton="0" quotePrefix="0" xfId="0">
      <alignment horizontal="center" vertical="center" wrapText="1"/>
    </xf>
    <xf numFmtId="0" fontId="19" fillId="14" borderId="1" applyAlignment="1" pivotButton="0" quotePrefix="0" xfId="0">
      <alignment horizontal="right" vertical="center" wrapText="1"/>
    </xf>
    <xf numFmtId="0" fontId="17" fillId="8" borderId="0" pivotButton="0" quotePrefix="0" xfId="0"/>
    <xf numFmtId="0" fontId="54" fillId="14" borderId="1" applyAlignment="1" pivotButton="0" quotePrefix="0" xfId="0">
      <alignment horizontal="center" vertical="center" wrapText="1"/>
    </xf>
    <xf numFmtId="164" fontId="20" fillId="14" borderId="1" applyAlignment="1" pivotButton="0" quotePrefix="0" xfId="0">
      <alignment horizontal="center" vertical="center" wrapText="1"/>
    </xf>
    <xf numFmtId="0" fontId="17" fillId="8" borderId="1" applyAlignment="1" pivotButton="0" quotePrefix="0" xfId="0">
      <alignment horizontal="center" vertical="center" wrapText="1"/>
    </xf>
    <xf numFmtId="0" fontId="55" fillId="10" borderId="1" applyAlignment="1" pivotButton="0" quotePrefix="0" xfId="0">
      <alignment horizontal="center" vertical="center" wrapText="1"/>
    </xf>
    <xf numFmtId="0" fontId="47" fillId="14" borderId="1" applyAlignment="1" pivotButton="0" quotePrefix="0" xfId="0">
      <alignment horizontal="center" vertical="center" wrapText="1"/>
    </xf>
    <xf numFmtId="0" fontId="47" fillId="10" borderId="1" applyAlignment="1" pivotButton="0" quotePrefix="0" xfId="0">
      <alignment horizontal="center" vertical="center" wrapText="1"/>
    </xf>
    <xf numFmtId="0" fontId="47" fillId="9" borderId="1" applyAlignment="1" pivotButton="0" quotePrefix="0" xfId="0">
      <alignment horizontal="center" vertical="center" wrapText="1"/>
    </xf>
    <xf numFmtId="0" fontId="53" fillId="9" borderId="0" applyAlignment="1" pivotButton="0" quotePrefix="0" xfId="0">
      <alignment horizontal="center" vertical="center" wrapText="1"/>
    </xf>
    <xf numFmtId="0" fontId="59" fillId="9" borderId="1" applyAlignment="1" pivotButton="0" quotePrefix="0" xfId="0">
      <alignment horizontal="center" vertical="center" wrapText="1"/>
    </xf>
    <xf numFmtId="0" fontId="46" fillId="13" borderId="1" applyAlignment="1" pivotButton="0" quotePrefix="0" xfId="0">
      <alignment horizontal="right" vertical="center" wrapText="1"/>
    </xf>
    <xf numFmtId="0" fontId="60" fillId="0" borderId="1" applyAlignment="1" pivotButton="0" quotePrefix="0" xfId="0">
      <alignment horizontal="right" vertical="center" wrapText="1"/>
    </xf>
    <xf numFmtId="0" fontId="46" fillId="8" borderId="0" applyAlignment="1" pivotButton="0" quotePrefix="0" xfId="0">
      <alignment horizontal="center" vertical="center" wrapText="1"/>
    </xf>
    <xf numFmtId="0" fontId="61" fillId="10" borderId="1" applyAlignment="1" pivotButton="0" quotePrefix="0" xfId="0">
      <alignment horizontal="right" vertical="center" wrapText="1"/>
    </xf>
    <xf numFmtId="0" fontId="61" fillId="15" borderId="1" applyAlignment="1" pivotButton="0" quotePrefix="0" xfId="0">
      <alignment horizontal="center" vertical="center"/>
    </xf>
    <xf numFmtId="0" fontId="62" fillId="0" borderId="0" applyAlignment="1" pivotButton="0" quotePrefix="0" xfId="0">
      <alignment horizontal="right" vertical="center" wrapText="1"/>
    </xf>
    <xf numFmtId="0" fontId="55" fillId="10" borderId="1" applyAlignment="1" pivotButton="0" quotePrefix="0" xfId="0">
      <alignment horizontal="right" vertical="center"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Relationship Type="http://schemas.openxmlformats.org/officeDocument/2006/relationships/hyperlink" Target="../../Config/Inc/app_types.h" TargetMode="External" Id="rId2"/><Relationship Type="http://schemas.openxmlformats.org/officeDocument/2006/relationships/hyperlink" Target="../../Bsp/Inc/bsp_gpio.h" TargetMode="External" Id="rId3"/><Relationship Type="http://schemas.openxmlformats.org/officeDocument/2006/relationships/hyperlink" Target="changeover.c" TargetMode="External" Id="rId4"/><Relationship Type="http://schemas.openxmlformats.org/officeDocument/2006/relationships/hyperlink" Target="../../Config/Inc/app_types.h" TargetMode="External" Id="rId5"/></Relationships>
</file>

<file path=xl/worksheets/_rels/sheet9.xml.rels><Relationships xmlns="http://schemas.openxmlformats.org/package/2006/relationships"><Relationship Type="http://schemas.openxmlformats.org/officeDocument/2006/relationships/hyperlink" Target="Changeover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fitToPage="1"/>
  </sheetPr>
  <dimension ref="A1:P29"/>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37"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آستانهٔ استراحت باتری: 25000 میلی‌ولت. نسخه 2.2.
پایهٔ دیگری اینجا دست نمی‌خورد؛ فقط PB11.</t>
        </is>
      </c>
    </row>
    <row r="3" ht="30" customHeight="1">
      <c r="A3" s="138"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139"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139"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140" t="inlineStr">
        <is>
          <t>تاریخچه نسخه</t>
        </is>
      </c>
    </row>
    <row r="21">
      <c r="A21" s="141" t="inlineStr">
        <is>
          <t>تاریخ</t>
        </is>
      </c>
      <c r="B21" s="141" t="inlineStr">
        <is>
          <t>نسخه</t>
        </is>
      </c>
      <c r="C21" s="141" t="inlineStr">
        <is>
          <t>شرح تغییر</t>
        </is>
      </c>
      <c r="D21" s="141" t="inlineStr">
        <is>
          <t>نسخهٔ برنامه</t>
        </is>
      </c>
      <c r="E21" s="142"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6">
      <c r="A26" t="inlineStr">
        <is>
          <t>2026-10-23</t>
        </is>
      </c>
      <c r="B26" t="inlineStr">
        <is>
          <t>2.2</t>
        </is>
      </c>
      <c r="C26" t="inlineStr">
        <is>
          <t>آستانهٔ استراحت باتری (شناسهٔ ۱۶۵، پیش‌فرض ۲۵٬۰۰۰ mV): زیر آن بدون برق شهر هیچ وصل و هیچ حکمی نیست. سقف تلاش بدون برق شهر یک است. حکم باتری فرسوده فقط بدون برق شهر نمایش داده می‌شود. در حالت قطع بدون برق شهر، هر سه چراغ و بوق خاموش‌اند. قطع سیم باتری بدون برق شهر بی‌صدا است. شناسه‌های تست یکسان شد: هر شناسه در «برنامه تست» نسخهٔ عملی و در «تست‌های آزمایشگاهی» نسخهٔ دقیق همان تست است، و CO-020..CO-023 فقط در «تست‌های برنامه‌نویسی» می‌آیند. CO-032/CO-033/CO-034/CO-035 اضافه شدند.</t>
        </is>
      </c>
      <c r="D26" t="inlineStr">
        <is>
          <t>a07719c</t>
        </is>
      </c>
    </row>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9">
      <c r="A29" s="156" t="inlineStr">
        <is>
          <t>پیش‌بینی زندهٔ برنامه</t>
        </is>
      </c>
      <c r="B29" s="15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7" t="inlineStr">
        <is>
          <t>برنامه تست عملی — ماژول Changeover (قطع/وصل باتری با 3000ms)</t>
        </is>
      </c>
      <c r="Q1" s="82" t="n"/>
      <c r="T1" s="158" t="inlineStr">
        <is>
          <t>ورودی‌های پیش‌بینی — خانه‌های زرد را عوض کن و ستون «پیش‌بینی زنده» را ببین</t>
        </is>
      </c>
    </row>
    <row r="2" ht="30" customHeight="1">
      <c r="A2" s="96" t="inlineStr">
        <is>
          <t>ورودی‌ها بر حسب mV؛ زمان‌ها بر حسب ms. PB11 فقط از BSP_GPIO_PROTECT_BATTERY (فعال Low) — PB5/PB7 ممنوع. ورودی‌ها: valid، v_bat، input_present، flag، fault.</t>
        </is>
      </c>
      <c r="Q2" s="82" t="n"/>
      <c r="T2" s="159" t="inlineStr">
        <is>
          <t>ولتاژ باتری (میلی‌ولت)</t>
        </is>
      </c>
      <c r="U2" s="160" t="n">
        <v>24000</v>
      </c>
    </row>
    <row r="3" ht="32" customHeight="1">
      <c r="A3" s="97" t="inlineStr">
        <is>
          <t>snapshot نامعتبر → «state فعلی حفظ شود» (نه IDLE ثابت). CO-010/012 باید INPUT باشد. معیار قبولی هر ردیف توضیح می‌دهد PASS چیست و FAIL چیست.</t>
        </is>
      </c>
      <c r="Q3" s="82" t="n"/>
      <c r="T3" s="159" t="inlineStr">
        <is>
          <t>ورودی حاضر است؟ (1/0)</t>
        </is>
      </c>
      <c r="U3" s="160" t="n">
        <v>1</v>
      </c>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چه چیزی باید ببینید تا بگویید درست است</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c r="R4" s="138" t="inlineStr">
        <is>
          <t>پیش‌بینی زندهٔ برنامه (فرمول)</t>
        </is>
      </c>
      <c r="T4" s="159" t="inlineStr">
        <is>
          <t>خطا هست؟ fault (1/0)</t>
        </is>
      </c>
      <c r="U4" s="160" t="n">
        <v>0</v>
      </c>
    </row>
    <row r="5" ht="54" customHeight="1">
      <c r="A5" s="99" t="inlineStr">
        <is>
          <t>CO-008</t>
        </is>
      </c>
      <c r="B5" s="104" t="inlineStr">
        <is>
          <t>عملکرد واقعی خروجی</t>
        </is>
      </c>
      <c r="C5" s="105" t="inlineStr">
        <is>
          <t>بالا</t>
        </is>
      </c>
      <c r="D5" s="104" t="inlineStr">
        <is>
          <t>دستگاه روشن با باتری و یک بار روی خروجی</t>
        </is>
      </c>
      <c r="E5" s="104" t="inlineStr">
        <is>
          <t>گام ۱: دستگاه را فقط با باتری روشن کن و مطمئن شو بار روشن است.
گام ۲: ولتاژ باتری را آرام پایین بیاور تا زیر ۲۱ ولت برسد.
گام ۳: چند ثانیه صبر کن و بار و چراغ‌ها را نگاه کن.</t>
        </is>
      </c>
      <c r="F5" s="104" t="inlineStr">
        <is>
          <t>باتری از ۲۴ ولت تا زیر ۲۱ ولت</t>
        </is>
      </c>
      <c r="G5" s="105" t="inlineStr">
        <is>
          <t>چند ثانیه</t>
        </is>
      </c>
      <c r="H5" s="104" t="inlineStr">
        <is>
          <t>خروجی بعد از ۳ ثانیه قطع می‌شود و بار خاموش می‌ماند</t>
        </is>
      </c>
      <c r="I5" s="104" t="inlineStr">
        <is>
          <t>باید ببینید:
با افت باتری زیر حد، خروجی بعد از ۳ ثانیهٔ پیوسته قطع می‌شود و بار خاموش می‌ماند.
تا وقتی باتری بالای حد است، بار روشن می‌ماند.
اگر زود قطع کرد یا اصلاً قطع نکرد، قبول نیست.</t>
        </is>
      </c>
      <c r="J5" s="104" t="inlineStr">
        <is>
          <t>بار قطع شود؛ قطع زودهنگام وقتی باتری بالای حد است = رد</t>
        </is>
      </c>
      <c r="K5" s="100" t="n"/>
      <c r="L5" s="102" t="inlineStr">
        <is>
          <t>در انتظار</t>
        </is>
      </c>
      <c r="M5" s="100" t="n"/>
      <c r="N5" s="100" t="n"/>
      <c r="O5" s="101" t="n"/>
      <c r="P5" s="105">
        <f>IF(OR(K5="",K5="در انتظار"),"",IF(P5="",TODAY(),P5))</f>
        <v/>
      </c>
      <c r="Q5" s="103" t="n"/>
      <c r="R5"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5" s="159" t="inlineStr">
        <is>
          <t>مدت ماندن شرط (ثانیه)</t>
        </is>
      </c>
      <c r="U5" s="160" t="n">
        <v>4</v>
      </c>
    </row>
    <row r="6" ht="54" customHeight="1">
      <c r="A6" s="99" t="inlineStr">
        <is>
          <t>CO-013</t>
        </is>
      </c>
      <c r="B6" s="104" t="inlineStr">
        <is>
          <t>عملکرد واقعی خروجی</t>
        </is>
      </c>
      <c r="C6" s="105" t="inlineStr">
        <is>
          <t>بالا</t>
        </is>
      </c>
      <c r="D6" s="104" t="inlineStr">
        <is>
          <t>پایان CO-008 (خروجی قطع است)</t>
        </is>
      </c>
      <c r="E6" s="104" t="inlineStr">
        <is>
          <t>گام ۱: از پایان CO-008 شروع کن.
گام ۲: برق شهر را وصل کن و ولتاژ باتری را بالای ۲۱٫۲ ولت نگه دار.
گام ۳: ۳۵ ثانیه صبر کن و بار را نگاه کن.</t>
        </is>
      </c>
      <c r="F6" s="104" t="inlineStr">
        <is>
          <t>برگشت برق شهر + باتری بالای ۲۱٫۲ ولت</t>
        </is>
      </c>
      <c r="G6" s="105" t="inlineStr">
        <is>
          <t>حدود ۳۵ ثانیه</t>
        </is>
      </c>
      <c r="H6" s="104" t="inlineStr">
        <is>
          <t>بعد از ۳۰ ثانیه ورودیِ ثابت و ۳ ثانیه فیلتر، خروجی وصل و بار روشن می‌شود</t>
        </is>
      </c>
      <c r="I6" s="104" t="inlineStr">
        <is>
          <t>باید ببینید:
خروجی فقط بعد از ۳۰ ثانیه ورودیِ ثابت + ۳ ثانیه فیلتر وصل می‌شود.
اگر زودتر وصل شد یا اصلاً وصل نشد، قبول نیست.</t>
        </is>
      </c>
      <c r="J6" s="104" t="inlineStr">
        <is>
          <t>وصل بعد از ۳۳ ثانیه؛ وصل زودتر = رد</t>
        </is>
      </c>
      <c r="K6" s="100" t="n"/>
      <c r="L6" s="102" t="inlineStr">
        <is>
          <t>در انتظار</t>
        </is>
      </c>
      <c r="M6" s="100" t="n"/>
      <c r="N6" s="100" t="n"/>
      <c r="O6" s="101" t="n"/>
      <c r="P6" s="105">
        <f>IF(OR(K6="",K6="در انتظار"),"",IF(P6="",TODAY(),P6))</f>
        <v/>
      </c>
      <c r="Q6" s="103" t="n"/>
      <c r="R6"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6" s="159" t="inlineStr">
        <is>
          <t>داده معتبر است؟ (1/0)</t>
        </is>
      </c>
      <c r="U6" s="160" t="n">
        <v>1</v>
      </c>
    </row>
    <row r="7" ht="54" customHeight="1">
      <c r="A7" s="99" t="inlineStr">
        <is>
          <t>CO-006</t>
        </is>
      </c>
      <c r="B7" s="104" t="inlineStr">
        <is>
          <t>عملکرد واقعی خروجی</t>
        </is>
      </c>
      <c r="C7" s="105" t="inlineStr">
        <is>
          <t>متوسط</t>
        </is>
      </c>
      <c r="D7" s="104" t="inlineStr">
        <is>
          <t>دستگاه با برق شهر و باتری وصل، بار روشن</t>
        </is>
      </c>
      <c r="E7" s="104" t="inlineStr">
        <is>
          <t>گام ۱: دستگاه را با برق شهر روشن کن و بار را روشن ببین.
گام ۲: برق شهر را قطع کن؛ بار باید بی‌وقفه روی باتری بماند.
گام ۳: برق شهر را برگردان و دوباره نگاه کن.</t>
        </is>
      </c>
      <c r="F7" s="104" t="inlineStr">
        <is>
          <t>قطع و وصل برق شهر</t>
        </is>
      </c>
      <c r="G7" s="105" t="inlineStr">
        <is>
          <t>چند ثانیه</t>
        </is>
      </c>
      <c r="H7" s="104" t="inlineStr">
        <is>
          <t>بار در هر دو جابه‌جایی روشن می‌ماند و دستگاه در خطا گیر نمی‌کند</t>
        </is>
      </c>
      <c r="I7" s="104" t="inlineStr">
        <is>
          <t>باید ببینید:
با قطع و وصل برق شهر، بار هرگز خاموش نمی‌شود.
اگر بار لحظه‌ای هم خاموش شد، قبول نیست.</t>
        </is>
      </c>
      <c r="J7" s="104" t="inlineStr">
        <is>
          <t>بار بی‌وقفه روشن بماند</t>
        </is>
      </c>
      <c r="K7" s="100" t="n"/>
      <c r="L7" s="102" t="inlineStr">
        <is>
          <t>در انتظار</t>
        </is>
      </c>
      <c r="M7" s="100" t="n"/>
      <c r="N7" s="100" t="n"/>
      <c r="O7" s="101" t="n"/>
      <c r="P7" s="105">
        <f>IF(OR(K7="",K7="در انتظار"),"",IF(P7="",TODAY(),P7))</f>
        <v/>
      </c>
      <c r="Q7" s="103" t="n"/>
      <c r="R7"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7" s="161" t="inlineStr">
        <is>
          <t>پیش‌بینی برای حالت پایدار است؛ چشمک و زمان‌بندی را با چشم و کرنومتر چک کن و با برد مقایسه کن.</t>
        </is>
      </c>
    </row>
    <row r="8" ht="54" customHeight="1">
      <c r="A8" s="99" t="inlineStr">
        <is>
          <t>CO-018</t>
        </is>
      </c>
      <c r="B8" s="104" t="inlineStr">
        <is>
          <t>عملکرد واقعی خروجی</t>
        </is>
      </c>
      <c r="C8" s="105" t="inlineStr">
        <is>
          <t>متوسط</t>
        </is>
      </c>
      <c r="D8" s="104" t="inlineStr">
        <is>
          <t>دستگاه در حال کار عادی با بار روشن</t>
        </is>
      </c>
      <c r="E8" s="104" t="inlineStr">
        <is>
          <t>گام ۱: دستگاه در حال کار عادی باشد و بار روشن.
گام ۲: حین شارژ سیم باتری را قطع کن تا آلارم قطع باتری بیاید.
گام ۳: چراغ و بوق خطا و هم‌زمان بار را نگاه کن.</t>
        </is>
      </c>
      <c r="F8" s="104" t="inlineStr">
        <is>
          <t>خطای قطع باتری حین شارژ</t>
        </is>
      </c>
      <c r="G8" s="105" t="inlineStr">
        <is>
          <t>چند ثانیه</t>
        </is>
      </c>
      <c r="H8" s="104" t="inlineStr">
        <is>
          <t>آلارم خطا می‌آید ولی خروجی تکان نمی‌خورد</t>
        </is>
      </c>
      <c r="I8" s="104" t="inlineStr">
        <is>
          <t>باید ببینید:
آلارم خطا می‌آید ولی بار بدون هیچ تکانی روشن می‌ماند.
اگر خروجی تکان خورد، قبول نیست.</t>
        </is>
      </c>
      <c r="J8" s="104" t="inlineStr">
        <is>
          <t>بار بدون تکان روشن بماند</t>
        </is>
      </c>
      <c r="K8" s="100" t="n"/>
      <c r="L8" s="102" t="inlineStr">
        <is>
          <t>در انتظار</t>
        </is>
      </c>
      <c r="M8" s="100" t="n"/>
      <c r="N8" s="100" t="n"/>
      <c r="O8" s="101" t="n"/>
      <c r="P8" s="105">
        <f>IF(OR(K8="",K8="در انتظار"),"",IF(P8="",TODAY(),P8))</f>
        <v/>
      </c>
      <c r="Q8" s="103" t="n"/>
      <c r="R8"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row>
    <row r="9" ht="54" customHeight="1">
      <c r="A9" s="99" t="inlineStr">
        <is>
          <t>CO-025</t>
        </is>
      </c>
      <c r="B9" s="104" t="inlineStr">
        <is>
          <t>عملکرد واقعی خروجی</t>
        </is>
      </c>
      <c r="C9" s="105" t="inlineStr">
        <is>
          <t>بالا</t>
        </is>
      </c>
      <c r="D9" s="104" t="inlineStr">
        <is>
          <t>پایان CO-008 (خروجی قطع و برق شهر قطع است)</t>
        </is>
      </c>
      <c r="E9" s="104" t="inlineStr">
        <is>
          <t>گام ۱: از پایان CO-008 شروع کن: برق شهر قطع، خروجی قطع، بار خاموش.
گام ۲: ولتاژ باتری را به ۲۵٫۵ ولت برسان و حدود ۲۰ ثانیه صبر کن.
گام ۳: در ثانیهٔ نهم وضعیت را بخوان و در ثانیهٔ چهاردهم دوباره بخوان.
گام ۴: همین را با ۲۳٫۰ ولت تکرار کن.</t>
        </is>
      </c>
      <c r="F9" s="104" t="inlineStr">
        <is>
          <t>بدون برق شهر: ۲۵٫۵ ولت برای ۲۰ ثانیه، سپس ۲۳٫۰ ولت</t>
        </is>
      </c>
      <c r="G9" s="105" t="inlineStr">
        <is>
          <t>حدود ۲۰ ثانیه + ۳۰ ثانیه</t>
        </is>
      </c>
      <c r="H9" s="104" t="inlineStr">
        <is>
          <t>با ۲۵٫۵ ولت حدود ۱۳ ثانیه بعد وصل می‌شود؛ با ۲۳ ولت هیچ وصل نمی‌شود</t>
        </is>
      </c>
      <c r="I9" s="104" t="inlineStr">
        <is>
          <t>باید ببینید:
در گام ۲ خروجی حدود ۱۳ ثانیه بعد (۱۰ ثانیهٔ سالم + ۳ ثانیه فیلتر) وصل می‌شود و بار روشن می‌ماند.
در گام ۴ با استراحت ۲۳ ولت هیچ وصل و هیچ حکمی نمی‌شود (باتری دشارژ حساب می‌شود).
اگر وسط ۱۰ ثانیه ولتاژ یک لحظه افت کند، شمارش از صفر شروع می‌شود.</t>
        </is>
      </c>
      <c r="J9" s="104" t="inlineStr">
        <is>
          <t>وصل با ۲۵٫۵ ولت و عدم وصل با ۲۳ ولت؛ وصل با ۲۳ ولت = رد</t>
        </is>
      </c>
      <c r="K9" s="100" t="n"/>
      <c r="L9" s="102" t="inlineStr">
        <is>
          <t>در انتظار</t>
        </is>
      </c>
      <c r="M9" s="100" t="n"/>
      <c r="N9" s="100" t="n"/>
      <c r="O9" s="101" t="n"/>
      <c r="P9" s="105">
        <f>IF(OR(K9="",K9="در انتظار"),"",IF(P9="",TODAY(),P9))</f>
        <v/>
      </c>
      <c r="Q9" s="103" t="n"/>
      <c r="R9" s="157" t="inlineStr">
        <is>
          <t>بدون فرمول: آستانهٔ استراحت شناسهٔ ۱۶۵ (۲۵٬۰۰۰ mV) اجازهٔ وصل بدون برق شهر را می‌دهد.</t>
        </is>
      </c>
    </row>
    <row r="10" ht="54" customHeight="1">
      <c r="A10" s="99" t="inlineStr">
        <is>
          <t>CO-026</t>
        </is>
      </c>
      <c r="B10" s="104" t="inlineStr">
        <is>
          <t>عملکرد واقعی خروجی</t>
        </is>
      </c>
      <c r="C10" s="105" t="inlineStr">
        <is>
          <t>بالا</t>
        </is>
      </c>
      <c r="D10" s="104" t="inlineStr">
        <is>
          <t>پس از وصل CO-025</t>
        </is>
      </c>
      <c r="E10" s="104" t="inlineStr">
        <is>
          <t>گام ۱: بعد از وصل CO-025، داخل ۶۰ ثانیه ولتاژ را زیر ۲۱ ولت بیاور تا قطع شود.
گام ۲: ولتاژ را به ۲۵٫۵ ولت برگردان و ۶۰ ثانیه صبر کن.
گام ۳: مسیر باتری، چراغ‌ها و بوق را نگاه کن.</t>
        </is>
      </c>
      <c r="F10" s="104" t="inlineStr">
        <is>
          <t>قطع داخل ۶۰ ثانیه بعد از CO-025، سپس ۲۵٫۵ ولت</t>
        </is>
      </c>
      <c r="G10" s="105" t="inlineStr">
        <is>
          <t>۳۰ ثانیه + ۶۰ ثانیه</t>
        </is>
      </c>
      <c r="H10" s="104" t="inlineStr">
        <is>
          <t>حکم باتری فرسوده قفل می‌شود و مسیر باتری تا برگشت برق شهر بسته می‌ماند</t>
        </is>
      </c>
      <c r="I10" s="104" t="inlineStr">
        <is>
          <t>باید ببینید:
بعد از قطع دوباره، حکم قفل است و بدون برق شهر هیچ وصل خودکار دیگری انجام نمی‌شود (سقف یک تلاش).
با برگشت برق شهر، مسیر از راه ورودی باز می‌شود.</t>
        </is>
      </c>
      <c r="J10" s="104" t="inlineStr">
        <is>
          <t>قفل حکم؛ وصل خودکار دوباره بدون برق شهر = رد</t>
        </is>
      </c>
      <c r="K10" s="100" t="n"/>
      <c r="L10" s="102" t="inlineStr">
        <is>
          <t>در انتظار</t>
        </is>
      </c>
      <c r="M10" s="100" t="n"/>
      <c r="N10" s="100" t="n"/>
      <c r="O10" s="101" t="n"/>
      <c r="P10" s="105">
        <f>IF(OR(K10="",K10="در انتظار"),"",IF(P10="",TODAY(),P10))</f>
        <v/>
      </c>
      <c r="Q10" s="103" t="n"/>
      <c r="R10" s="157" t="inlineStr">
        <is>
          <t>بدون فرمول: سقف تلاش بدون برق شهر یک است؛ حکم با ۱۰ دقیقه سالم یا دکمهٔ کارت ۸ پاک می‌شود.</t>
        </is>
      </c>
    </row>
    <row r="11" ht="54" customHeight="1">
      <c r="A11" s="99" t="inlineStr">
        <is>
          <t>CO-027</t>
        </is>
      </c>
      <c r="B11" s="104" t="inlineStr">
        <is>
          <t>عملکرد واقعی خروجی</t>
        </is>
      </c>
      <c r="C11" s="105" t="inlineStr">
        <is>
          <t>بالا</t>
        </is>
      </c>
      <c r="D11" s="104" t="inlineStr">
        <is>
          <t>حکم قفل (پس از CO-026)</t>
        </is>
      </c>
      <c r="E11" s="104" t="inlineStr">
        <is>
          <t>گام ۱: با حکم قفل و برق شهر قطع، قرمز را ۵ ثانیه نگاه کن.
گام ۲: گوش کن و الگوی بوق را بشمار.
گام ۳: برق شهر را وصل کن و همان دو چراغ و بوق را دوباره نگاه کن.</t>
        </is>
      </c>
      <c r="F11" s="104" t="inlineStr">
        <is>
          <t>پارامترهای ۱۵۱ تا ۱۵۶ با پیش‌فرض کارخانه</t>
        </is>
      </c>
      <c r="G11" s="105" t="inlineStr">
        <is>
          <t>۵ ثانیه + ۱۰ ثانیه</t>
        </is>
      </c>
      <c r="H11" s="104" t="inlineStr">
        <is>
          <t>بدون برق شهر: قرمز چشمک‌زن + بوق، سبز و زرد خاموش؛ با برق شهر: چهرهٔ شارژ عادی</t>
        </is>
      </c>
      <c r="I11" s="104" t="inlineStr">
        <is>
          <t>باید ببینید:
بدون برق شهر قرمز با دوره و سهم خودش چشمک می‌زند و بوق الگوی خودش را دارد؛ سبز و زرد خاموش‌اند.
با برگشت برق شهر چهرهٔ شارژ (زرد چشمک‌زن یا سبز ثابت) می‌آید و بوق قطع می‌شود.</t>
        </is>
      </c>
      <c r="J11" s="104" t="inlineStr">
        <is>
          <t>همان چهرهٔ تعریف‌شده بدون برق شهر و چهرهٔ شارژ با برق شهر</t>
        </is>
      </c>
      <c r="K11" s="100" t="n"/>
      <c r="L11" s="102" t="inlineStr">
        <is>
          <t>در انتظار</t>
        </is>
      </c>
      <c r="M11" s="100" t="n"/>
      <c r="N11" s="100" t="n"/>
      <c r="O11" s="101" t="n"/>
      <c r="P11" s="105">
        <f>IF(OR(K11="",K11="در انتظار"),"",IF(P11="",TODAY(),P11))</f>
        <v/>
      </c>
      <c r="Q11" s="103" t="n"/>
      <c r="R11" s="157" t="inlineStr">
        <is>
          <t>بدون فرمول: نمایش حکم فقط بدون برق ورودی است.</t>
        </is>
      </c>
    </row>
    <row r="12" ht="54" customHeight="1">
      <c r="A12" s="99" t="inlineStr">
        <is>
          <t>CO-028</t>
        </is>
      </c>
      <c r="B12" s="104" t="inlineStr">
        <is>
          <t>عملکرد واقعی خروجی</t>
        </is>
      </c>
      <c r="C12" s="105" t="inlineStr">
        <is>
          <t>بالا</t>
        </is>
      </c>
      <c r="D12" s="104" t="inlineStr">
        <is>
          <t>حکم قفل، شناسهٔ ۱۵۷ = ۱</t>
        </is>
      </c>
      <c r="E12" s="104" t="inlineStr">
        <is>
          <t>گام ۱: با حکم قفل و برق شهر قطع، خروجی را با بار ۱ آمپر بسنج.
گام ۲: حالا شناسهٔ ۱۵۷ را صفر کن و خروجی را دوباره بسنج.
گام ۳: شناسه را به ۱ برگردان.</t>
        </is>
      </c>
      <c r="F12" s="104" t="inlineStr">
        <is>
          <t>۱۵۷ = ۱ سپس ۰ سپس ۱</t>
        </is>
      </c>
      <c r="G12" s="105" t="inlineStr">
        <is>
          <t>۳۰ ثانیه</t>
        </is>
      </c>
      <c r="H12" s="104" t="inlineStr">
        <is>
          <t>با ۱۵۷ = ۱ مسیر بسته می‌ماند؛ با ۱۵۷ = ۰ فقط هشدار می‌ماند و مسیر باز می‌شود</t>
        </is>
      </c>
      <c r="I12" s="104" t="inlineStr">
        <is>
          <t>باید ببینید:
با ۱۵۷ = ۱ خروجی صفر می‌ماند و بار روشن نمی‌شود.
با ۱۵۷ = ۰ چراغ هشدار می‌ماند ولی مسیر باتری باز می‌شود.</t>
        </is>
      </c>
      <c r="J12" s="104" t="inlineStr">
        <is>
          <t>تبعیت دقیق از ۱۵۷؛ بار روی باتری با ۱۵۷ = ۱ = رد</t>
        </is>
      </c>
      <c r="K12" s="100" t="n"/>
      <c r="L12" s="102" t="inlineStr">
        <is>
          <t>در انتظار</t>
        </is>
      </c>
      <c r="M12" s="100" t="n"/>
      <c r="N12" s="100" t="n"/>
      <c r="O12" s="101" t="n"/>
      <c r="P12" s="105">
        <f>IF(OR(K12="",K12="در انتظار"),"",IF(P12="",TODAY(),P12))</f>
        <v/>
      </c>
      <c r="Q12" s="103" t="n"/>
      <c r="R12" s="157" t="inlineStr">
        <is>
          <t>بدون فرمول: شناسهٔ ۱۵۷ تعیین می‌کند حکم مسیر را ببندد یا فقط هشدار بدهد.</t>
        </is>
      </c>
    </row>
    <row r="13" ht="54" customHeight="1">
      <c r="A13" s="99" t="inlineStr">
        <is>
          <t>CO-029</t>
        </is>
      </c>
      <c r="B13" s="104" t="inlineStr">
        <is>
          <t>عملکرد واقعی خروجی</t>
        </is>
      </c>
      <c r="C13" s="105" t="inlineStr">
        <is>
          <t>بالا</t>
        </is>
      </c>
      <c r="D13" s="104" t="inlineStr">
        <is>
          <t>حکم قفل، شناسهٔ ۱۴۸ = ۶۰۰۰۰۰</t>
        </is>
      </c>
      <c r="E13" s="104" t="inlineStr">
        <is>
          <t>گام ۱: با حکم قفل، ولتاژ باتری را روی ۲۵٫۵ ولت پیوسته نگه دار.
گام ۲: در دقیقهٔ ۹ وضعیت را بخوان.
گام ۳: در دقیقهٔ ۱۱ دوباره بخوان و چراغ‌ها را نگاه کن.</t>
        </is>
      </c>
      <c r="F13" s="104" t="inlineStr">
        <is>
          <t>۲۵٫۵ ولت پیوسته برای ۱۰ دقیقه</t>
        </is>
      </c>
      <c r="G13" s="105" t="inlineStr">
        <is>
          <t>۱۰ دقیقه</t>
        </is>
      </c>
      <c r="H13" s="104" t="inlineStr">
        <is>
          <t>حکم فقط بعد از ۱۰ دقیقهٔ سالمِ پیوسته پاک می‌شود و همان یک تلاش آزاد می‌شود</t>
        </is>
      </c>
      <c r="I13" s="104" t="inlineStr">
        <is>
          <t>باید ببینید:
تا دقیقهٔ ۹ حکم قفل است و قرمز چشمک می‌زند.
بعد از ۱۰ دقیقهٔ سالمِ پیوسته حکم پاک می‌شود و یک بار دیگر می‌تواند بدون برق شهر وصل شود.</t>
        </is>
      </c>
      <c r="J13" s="104" t="inlineStr">
        <is>
          <t>پاک‌شدن در دقیقهٔ ۱۰؛ زودتر یا هرگز = رد</t>
        </is>
      </c>
      <c r="K13" s="100" t="n"/>
      <c r="L13" s="102" t="inlineStr">
        <is>
          <t>در انتظار</t>
        </is>
      </c>
      <c r="M13" s="100" t="n"/>
      <c r="N13" s="100" t="n"/>
      <c r="O13" s="101" t="n"/>
      <c r="P13" s="105">
        <f>IF(OR(K13="",K13="در انتظار"),"",IF(P13="",TODAY(),P13))</f>
        <v/>
      </c>
      <c r="Q13" s="103" t="n"/>
      <c r="R13" s="157" t="inlineStr">
        <is>
          <t>بدون فرمول: مدت استراحت سالم شناسهٔ ۱۴۸ (پیش‌فرض ۶۰۰٬۰۰۰ ms) است.</t>
        </is>
      </c>
    </row>
    <row r="14" ht="54" customHeight="1">
      <c r="A14" s="99" t="inlineStr">
        <is>
          <t>CO-030</t>
        </is>
      </c>
      <c r="B14" s="104" t="inlineStr">
        <is>
          <t>عملکرد واقعی خروجی</t>
        </is>
      </c>
      <c r="C14" s="105" t="inlineStr">
        <is>
          <t>بالا</t>
        </is>
      </c>
      <c r="D14" s="104" t="inlineStr">
        <is>
          <t>حکم قفل</t>
        </is>
      </c>
      <c r="E14" s="104" t="inlineStr">
        <is>
          <t>گام ۱: با حکم قفل، برق شهر را وصل کن و ۳۰ ثانیه پایدار نگه دار.
گام ۲: مسیر باتری و چراغ‌ها را نگاه کن.
گام ۳: برق شهر را دوباره قطع کن.</t>
        </is>
      </c>
      <c r="F14" s="104" t="inlineStr">
        <is>
          <t>برگشت برق شهر برای ۳۰ ثانیه، سپس قطع</t>
        </is>
      </c>
      <c r="G14" s="105" t="inlineStr">
        <is>
          <t>۳۵ ثانیه + ۱۰ ثانیه</t>
        </is>
      </c>
      <c r="H14" s="104" t="inlineStr">
        <is>
          <t>برگشت برق شهر حکم را پاک نمی‌کند؛ با قطع دوباره همان چهره برمی‌گردد</t>
        </is>
      </c>
      <c r="I14" s="104" t="inlineStr">
        <is>
          <t>باید ببینید:
با برق شهر، چهرهٔ شارژ می‌آید و خروجی بعد از ۳۰ + ۳ ثانیه وصل می‌شود.
با قطع دوبارهٔ برق شهر، قرمز چشمک‌زن و بوق برمی‌گردند و مسیر باتری بسته می‌ماند.
حکم فقط با ۱۰ دقیقهٔ سالم یا دکمهٔ کارت ۸ پاک می‌شود.</t>
        </is>
      </c>
      <c r="J14" s="104" t="inlineStr">
        <is>
          <t>حکم پس از برق شهر می‌ماند؛ پاک شدن با برق شهر = رد</t>
        </is>
      </c>
      <c r="K14" s="100" t="n"/>
      <c r="L14" s="102" t="inlineStr">
        <is>
          <t>در انتظار</t>
        </is>
      </c>
      <c r="M14" s="100" t="n"/>
      <c r="N14" s="100" t="n"/>
      <c r="O14" s="101" t="n"/>
      <c r="P14" s="105">
        <f>IF(OR(K14="",K14="در انتظار"),"",IF(P14="",TODAY(),P14))</f>
        <v/>
      </c>
      <c r="Q14" s="103" t="n"/>
      <c r="R14" s="157" t="inlineStr">
        <is>
          <t>بدون فرمول: نمایش حکم فقط بدون برق ورودی است؛ خود حکم تا پایان استراحت می‌ماند.</t>
        </is>
      </c>
    </row>
    <row r="15" ht="54" customHeight="1">
      <c r="A15" s="99" t="inlineStr">
        <is>
          <t>CO-032</t>
        </is>
      </c>
      <c r="B15" s="104" t="inlineStr">
        <is>
          <t>عملکرد واقعی خروجی</t>
        </is>
      </c>
      <c r="C15" s="105" t="inlineStr">
        <is>
          <t>متوسط</t>
        </is>
      </c>
      <c r="D15" s="104" t="inlineStr">
        <is>
          <t>حکم قفل + پنل کالیبراسیون باز</t>
        </is>
      </c>
      <c r="E15" s="104" t="inlineStr">
        <is>
          <t>گام ۱: روی برد حکم را قفل کن.
گام ۲: در کارت ۸ دکمهٔ پاک‌کردن حکم را بزن.
گام ۳: خط وضعیت، چراغ قرمز و بوق را نگاه کن.
گام ۴: همان دکمه را دوباره بزن.</t>
        </is>
      </c>
      <c r="F15" s="104" t="inlineStr">
        <is>
          <t>حکم = ۱ → دکمهٔ پاک‌کردن حکم (شناسهٔ ۲۰۴)</t>
        </is>
      </c>
      <c r="G15" s="105" t="inlineStr">
        <is>
          <t>—</t>
        </is>
      </c>
      <c r="H15" s="104" t="inlineStr">
        <is>
          <t>حکم همان لحظه پاک می‌شود، چراغ و بوق خاموش می‌شوند و یک تلاش آزاد می‌شود</t>
        </is>
      </c>
      <c r="I15" s="104" t="inlineStr">
        <is>
          <t>باید ببینید:
خط وضعیت «در حال ارسال…» و بعد «پاک شد» نشان می‌دهد.
قرمز و بوق خاموش می‌شوند و با استراحت بالای ۲۵ ولت یک بار دیگر وصل می‌شود.
زدن دوبارهٔ دکمه خطا نمی‌دهد؛ خود ریست پین را دست نمی‌زند.</t>
        </is>
      </c>
      <c r="J15" s="104" t="inlineStr">
        <is>
          <t>حکم پاک شود و دکمهٔ دوم خطا ندهد</t>
        </is>
      </c>
      <c r="K15" s="100" t="n"/>
      <c r="L15" s="102" t="inlineStr">
        <is>
          <t>در انتظار</t>
        </is>
      </c>
      <c r="M15" s="100" t="n"/>
      <c r="N15" s="100" t="n"/>
      <c r="O15" s="101" t="n"/>
      <c r="P15" s="105">
        <f>IF(OR(K15="",K15="در انتظار"),"",IF(P15="",TODAY(),P15))</f>
        <v/>
      </c>
      <c r="Q15" s="103" t="n"/>
      <c r="R15" s="157" t="inlineStr">
        <is>
          <t>بدون فرمول: شناسهٔ ۲۰۴ دستور است، نه پارامتر؛ ذخیره نمی‌شود.</t>
        </is>
      </c>
    </row>
    <row r="16" ht="54" customHeight="1">
      <c r="A16" s="99" t="inlineStr">
        <is>
          <t>CO-033</t>
        </is>
      </c>
      <c r="B16" s="104" t="inlineStr">
        <is>
          <t>عملکرد واقعی خروجی</t>
        </is>
      </c>
      <c r="C16" s="105" t="inlineStr">
        <is>
          <t>بالا</t>
        </is>
      </c>
      <c r="D16" s="104" t="inlineStr">
        <is>
          <t>دستگاه بدون برق شهر و مسیر باتری بسته</t>
        </is>
      </c>
      <c r="E16" s="104" t="inlineStr">
        <is>
          <t>گام ۱: بگذار باتری زیر ۲۱ ولت برود تا مسیر بسته شود.
گام ۲: ولتاژ را روی ۲۳٫۰ ولت نگه دار و ۶۰ ثانیه نگاه کن.
گام ۳: ولتاژ را به ۲۵٫۵ ولت برسان و ۲۰ ثانیه نگاه کن.
گام ۴: داخل ۶۰ ثانیه بعد از وصل، دوباره زیر ۲۱ ولت بیاور.</t>
        </is>
      </c>
      <c r="F16" s="104" t="inlineStr">
        <is>
          <t>استراحت ۲۳ ولت، سپس ۲۵٫۵ ولت، بدون برق شهر</t>
        </is>
      </c>
      <c r="G16" s="105" t="inlineStr">
        <is>
          <t>حدود دو دقیقه</t>
        </is>
      </c>
      <c r="H16" s="104" t="inlineStr">
        <is>
          <t>با ۲۳ ولت هیچ وصل و هیچ حکمی نمی‌شود؛ با ۲۵٫۵ ولت یک بار وصل و با قطع دوباره حکم قفل می‌شود</t>
        </is>
      </c>
      <c r="I16" s="104" t="inlineStr">
        <is>
          <t>باید ببینید:
در گام ۲ هیچ وصل خودکاری انجام نمی‌شود و حکمی هم زده نمی‌شود (محافظت باتری، مستقل از تیک سناریو).
در گام ۳ فقط یک بار وصل می‌شود.
در گام ۴ دوباره وصل نمی‌شود و حکم باتری فرسوده قفل می‌شود.</t>
        </is>
      </c>
      <c r="J16" s="104" t="inlineStr">
        <is>
          <t>عدم وصل با ۲۳ ولت + یک تلاش با ۲۵٫۵ ولت؛ وصل با ۲۳ ولت = رد</t>
        </is>
      </c>
      <c r="K16" s="100" t="n"/>
      <c r="L16" s="102" t="inlineStr">
        <is>
          <t>در انتظار</t>
        </is>
      </c>
      <c r="M16" s="100" t="n"/>
      <c r="N16" s="100" t="n"/>
      <c r="O16" s="101" t="n"/>
      <c r="P16" s="105">
        <f>IF(OR(K16="",K16="در انتظار"),"",IF(P16="",TODAY(),P16))</f>
        <v/>
      </c>
      <c r="Q16" s="103" t="n"/>
      <c r="R16" s="157" t="inlineStr">
        <is>
          <t>بدون فرمول: آستانهٔ استراحت شناسهٔ ۱۶۵ هم برای اجازهٔ وصل و هم برای حکم استفاده می‌شود.</t>
        </is>
      </c>
    </row>
    <row r="17" ht="54" customHeight="1">
      <c r="A17" s="99" t="inlineStr">
        <is>
          <t>CO-034</t>
        </is>
      </c>
      <c r="B17" s="104" t="inlineStr">
        <is>
          <t>عملکرد واقعی خروجی</t>
        </is>
      </c>
      <c r="C17" s="105" t="inlineStr">
        <is>
          <t>متوسط</t>
        </is>
      </c>
      <c r="D17" s="104" t="inlineStr">
        <is>
          <t>دستگاه بدون برق شهر و مسیر باتری بسته</t>
        </is>
      </c>
      <c r="E17" s="104" t="inlineStr">
        <is>
          <t>گام ۱: بگذار باتری زیر ۲۱ ولت برود تا مسیر بسته شود.
گام ۲: هر سه چراغ و بوق را ۱۰ ثانیه نگاه کن.
گام ۳: برق شهر را برگردان و دوباره نگاه کن.</t>
        </is>
      </c>
      <c r="F17" s="104" t="inlineStr">
        <is>
          <t>قطع ولتاژ پایین، بدون برق شهر</t>
        </is>
      </c>
      <c r="G17" s="105" t="inlineStr">
        <is>
          <t>۱۰ ثانیه</t>
        </is>
      </c>
      <c r="H17" s="104" t="inlineStr">
        <is>
          <t>در حالت قطع، هر سه چراغ و بوق کاملاً خاموش‌اند؛ با برگشت برق، چهرهٔ شارژ برمی‌گردد</t>
        </is>
      </c>
      <c r="I17" s="104" t="inlineStr">
        <is>
          <t>باید ببینید:
بعد از قطع، هیچ چراغی چشمک نمی‌زند و بوق صدا نمی‌دهد.
با برگشت برق شهر، چهرهٔ شارژ عادی برمی‌گردد.</t>
        </is>
      </c>
      <c r="J17" s="104" t="inlineStr">
        <is>
          <t>خاموشی کامل چراغ‌ها و بوق؛ روشن‌ماندن هر چراغ = رد</t>
        </is>
      </c>
      <c r="K17" s="100" t="n"/>
      <c r="L17" s="102" t="inlineStr">
        <is>
          <t>در انتظار</t>
        </is>
      </c>
      <c r="M17" s="100" t="n"/>
      <c r="N17" s="100" t="n"/>
      <c r="O17" s="101" t="n"/>
      <c r="P17" s="105">
        <f>IF(OR(K17="",K17="در انتظار"),"",IF(P17="",TODAY(),P17))</f>
        <v/>
      </c>
      <c r="Q17" s="103" t="n"/>
      <c r="R17" s="157" t="inlineStr">
        <is>
          <t>بدون فرمول: خاموشی فقط وقتی است که مسیر بسته است و برق ورودی نیست.</t>
        </is>
      </c>
    </row>
    <row r="18" ht="54" customHeight="1">
      <c r="A18" s="99" t="inlineStr">
        <is>
          <t>CO-035</t>
        </is>
      </c>
      <c r="B18" s="104" t="inlineStr">
        <is>
          <t>عملکرد واقعی خروجی</t>
        </is>
      </c>
      <c r="C18" s="105" t="inlineStr">
        <is>
          <t>متوسط</t>
        </is>
      </c>
      <c r="D18" s="104" t="inlineStr">
        <is>
          <t>دستگاه بدون برق شهر و مسیر باتری وصل</t>
        </is>
      </c>
      <c r="E18" s="104" t="inlineStr">
        <is>
          <t>گام ۱: برق شهر را قطع کن و مطمئن شو بار از باتری کار می‌کند.
گام ۲: سیم باتری را جدا کن.
گام ۳: چند ثانیه چراغ‌ها و بوق را نگاه کن.</t>
        </is>
      </c>
      <c r="F18" s="104" t="inlineStr">
        <is>
          <t>قطع سیم باتری، بدون برق شهر</t>
        </is>
      </c>
      <c r="G18" s="105" t="inlineStr">
        <is>
          <t>چند ثانیه</t>
        </is>
      </c>
      <c r="H18" s="104" t="inlineStr">
        <is>
          <t>مسیر بعد از ۳ ثانیه بسته می‌شود، همه‌چیز خاموش می‌ماند و هیچ آلارمی نمی‌آید</t>
        </is>
      </c>
      <c r="I18" s="104" t="inlineStr">
        <is>
          <t>باید ببینید:
قطع سیم بدون برق شهر هیچ آلارمی نمی‌دهد و همه‌چیز خاموش است تا برگشت برق ورودی.
این تصمیم ثبت‌شدهٔ ۲۰۲۶-۱۰-۲۳ است.</t>
        </is>
      </c>
      <c r="J18" s="104" t="inlineStr">
        <is>
          <t>سکوت کامل و عدم آلارم؛ روشن‌شدن چراغ یا بوق = رد</t>
        </is>
      </c>
      <c r="K18" s="100" t="n"/>
      <c r="L18" s="102" t="inlineStr">
        <is>
          <t>در انتظار</t>
        </is>
      </c>
      <c r="M18" s="100" t="n"/>
      <c r="N18" s="100" t="n"/>
      <c r="O18" s="101" t="n"/>
      <c r="P18" s="105">
        <f>IF(OR(K18="",K18="در انتظار"),"",IF(P18="",TODAY(),P18))</f>
        <v/>
      </c>
      <c r="Q18" s="103" t="n"/>
      <c r="R18" s="157" t="inlineStr">
        <is>
          <t>بدون فرمول: آلارم قطع باتری عمداً فقط با برق ورودی کار می‌کند.</t>
        </is>
      </c>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5">
    <mergeCell ref="T7:U7"/>
    <mergeCell ref="A1:P1"/>
    <mergeCell ref="T1:U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CO-001</t>
        </is>
      </c>
      <c r="B5" s="104" t="inlineStr">
        <is>
          <t>Snapshot نامعتبر / حفظ</t>
        </is>
      </c>
      <c r="C5" s="114" t="inlineStr">
        <is>
          <t>بالا</t>
        </is>
      </c>
      <c r="D5" s="104" t="inlineStr">
        <is>
          <t>Init → BOOT, PB11 High-safe</t>
        </is>
      </c>
      <c r="E5" s="104"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5" t="inlineStr">
        <is>
          <t>valid=false, v=24000, input=false, flag false, fault0</t>
        </is>
      </c>
      <c r="G5" s="105" t="inlineStr">
        <is>
          <t>500ms</t>
        </is>
      </c>
      <c r="H5" s="104" t="inlineStr">
        <is>
          <t>state حفظ شود: «state فعلی حفظ شود» (BOOT/BATTERY/INPUT/SAFE قبلی) و PB11 حفظ (High-safe). PASS: state و PB11 بدون تغییر. FAIL: هر تغییر به FAULT یا IDLE یا تغییر PB11.</t>
        </is>
      </c>
      <c r="I5" s="104" t="inlineStr">
        <is>
          <t>PASS: state فعلی حفظ. FAIL: تغییر خودبه‌خود.</t>
        </is>
      </c>
      <c r="J5" s="104" t="n"/>
      <c r="K5" s="112" t="inlineStr">
        <is>
          <t>در انتظار</t>
        </is>
      </c>
      <c r="L5" s="113" t="n"/>
      <c r="M5" s="100" t="n"/>
      <c r="N5" s="104" t="inlineStr">
        <is>
          <t>c6b084f28f2c507cfd342e5dbd0dbd8e45686772</t>
        </is>
      </c>
      <c r="O5" s="101" t="n"/>
      <c r="P5" s="101" t="n"/>
      <c r="Q5" s="107">
        <f>IF(OR(L5="",L5="در انتظار"),"",IF(Q5="",TODAY(),Q5))</f>
        <v/>
      </c>
    </row>
    <row r="6" ht="67.5" customHeight="1">
      <c r="A6" s="99" t="inlineStr">
        <is>
          <t>CO-002</t>
        </is>
      </c>
      <c r="B6" s="143" t="inlineStr">
        <is>
          <t>Snapshot نامعتبر / تایمر reset</t>
        </is>
      </c>
      <c r="C6" s="147" t="inlineStr">
        <is>
          <t>بالا</t>
        </is>
      </c>
      <c r="D6" s="143" t="inlineStr">
        <is>
          <t>BATTERY با شرط قطع نیمه‌کاره</t>
        </is>
      </c>
      <c r="E6" s="143"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44" t="inlineStr">
        <is>
          <t>valid true 2s → false 1s → true 2s, v20900 flag true</t>
        </is>
      </c>
      <c r="G6" s="144" t="inlineStr">
        <is>
          <t>2+1+2s</t>
        </is>
      </c>
      <c r="H6" s="143"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43" t="inlineStr">
        <is>
          <t>PASS: reset پس از invalid. FAIL: قطع زود.</t>
        </is>
      </c>
      <c r="J6" s="104" t="n"/>
      <c r="K6" s="143" t="inlineStr">
        <is>
          <t>در انتظار</t>
        </is>
      </c>
      <c r="L6" s="115" t="n"/>
      <c r="M6" s="104" t="n"/>
      <c r="N6" s="143" t="inlineStr">
        <is>
          <t>c6b084f28f2c507cfd342e5dbd0dbd8e45686772</t>
        </is>
      </c>
      <c r="O6" s="105" t="n"/>
      <c r="P6" s="105" t="n"/>
      <c r="Q6" s="148">
        <f>IF(OR(L6="",L6="در انتظار"),"",IF(Q6="",TODAY(),Q6))</f>
        <v/>
      </c>
    </row>
    <row r="7" ht="54" customHeight="1">
      <c r="A7" s="99" t="inlineStr">
        <is>
          <t>CO-003</t>
        </is>
      </c>
      <c r="B7" s="104" t="inlineStr">
        <is>
          <t>Snapshot نامعتبر + Fault</t>
        </is>
      </c>
      <c r="C7" s="114" t="inlineStr">
        <is>
          <t>بالا</t>
        </is>
      </c>
      <c r="D7" s="104" t="inlineStr">
        <is>
          <t>BATTERY</t>
        </is>
      </c>
      <c r="E7" s="104"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5" t="inlineStr">
        <is>
          <t>valid=false, fault=1 (ADC), v25000</t>
        </is>
      </c>
      <c r="G7" s="105" t="inlineStr">
        <is>
          <t>500ms</t>
        </is>
      </c>
      <c r="H7" s="104" t="inlineStr">
        <is>
          <t>state حفظ شود (نه FAULT)، PB11 حفظ، تایمر reset. PASS: fault همراه invalid نباید FAULT شود. FAIL: FAULT شدن.</t>
        </is>
      </c>
      <c r="I7" s="104" t="inlineStr">
        <is>
          <t>PASS: حفظ state قبلی. FAIL: FAULT.</t>
        </is>
      </c>
      <c r="J7" s="104" t="n"/>
      <c r="K7" s="112" t="inlineStr">
        <is>
          <t>در انتظار</t>
        </is>
      </c>
      <c r="L7" s="113" t="n"/>
      <c r="M7" s="100" t="n"/>
      <c r="N7" s="104" t="inlineStr">
        <is>
          <t>c6b084f28f2c507cfd342e5dbd0dbd8e45686772</t>
        </is>
      </c>
      <c r="O7" s="101" t="n"/>
      <c r="P7" s="101" t="n"/>
      <c r="Q7" s="107">
        <f>IF(OR(L7="",L7="در انتظار"),"",IF(Q7="",TODAY(),Q7))</f>
        <v/>
      </c>
    </row>
    <row r="8" ht="54" customHeight="1">
      <c r="A8" s="99" t="inlineStr">
        <is>
          <t>CO-004</t>
        </is>
      </c>
      <c r="B8" s="143" t="inlineStr">
        <is>
          <t>Fault با snapshot معتبر</t>
        </is>
      </c>
      <c r="C8" s="147" t="inlineStr">
        <is>
          <t>بالا</t>
        </is>
      </c>
      <c r="D8" s="143" t="inlineStr">
        <is>
          <t>INPUT/BATTERY</t>
        </is>
      </c>
      <c r="E8" s="143"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44" t="inlineStr">
        <is>
          <t>valid=true, v24000, input true, fault 1</t>
        </is>
      </c>
      <c r="G8" s="144" t="inlineStr">
        <is>
          <t>500ms</t>
        </is>
      </c>
      <c r="H8" s="143" t="inlineStr">
        <is>
          <t>state=FAULT، PB11 حفظ (بدون تغییر High→Low)، تایمر reset. PASS: FAULT بدون تغییر PB11. FAIL: تغییر PB11 یا ماندن در INPUT.</t>
        </is>
      </c>
      <c r="I8" s="143" t="inlineStr">
        <is>
          <t>PASS: FAULT و PB11 حفظ. FAIL: تغییر PB11.</t>
        </is>
      </c>
      <c r="J8" s="104" t="n"/>
      <c r="K8" s="143" t="inlineStr">
        <is>
          <t>در انتظار</t>
        </is>
      </c>
      <c r="L8" s="115" t="n"/>
      <c r="M8" s="104" t="n"/>
      <c r="N8" s="143" t="inlineStr">
        <is>
          <t>c6b084f28f2c507cfd342e5dbd0dbd8e45686772</t>
        </is>
      </c>
      <c r="O8" s="105" t="n"/>
      <c r="P8" s="105" t="n"/>
      <c r="Q8" s="148">
        <f>IF(OR(L8="",L8="در انتظار"),"",IF(Q8="",TODAY(),Q8))</f>
        <v/>
      </c>
    </row>
    <row r="9" ht="54" customHeight="1">
      <c r="A9" s="99" t="inlineStr">
        <is>
          <t>CO-005</t>
        </is>
      </c>
      <c r="B9" s="104" t="inlineStr">
        <is>
          <t>Fault چند بیتی</t>
        </is>
      </c>
      <c r="C9" s="105" t="inlineStr">
        <is>
          <t>متوسط</t>
        </is>
      </c>
      <c r="D9" s="104" t="inlineStr">
        <is>
          <t>FAULT قبلی</t>
        </is>
      </c>
      <c r="E9" s="104"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5" t="inlineStr">
        <is>
          <t>valid true, fault ALL</t>
        </is>
      </c>
      <c r="G9" s="105" t="inlineStr">
        <is>
          <t>500ms</t>
        </is>
      </c>
      <c r="H9" s="104" t="inlineStr">
        <is>
          <t>state=FAULT، هیچ pin (PB11/PB5/PB7) تغییر نکند. PASS: همه fault‌ها → FAULT بدون pin. FAIL: هر تغییر pin.</t>
        </is>
      </c>
      <c r="I9" s="104" t="inlineStr">
        <is>
          <t>PASS: همه fault → FAULT no pin. FAIL: pin change.</t>
        </is>
      </c>
      <c r="J9" s="104" t="n"/>
      <c r="K9" s="112" t="inlineStr">
        <is>
          <t>در انتظار</t>
        </is>
      </c>
      <c r="L9" s="113" t="n"/>
      <c r="M9" s="100" t="n"/>
      <c r="N9" s="104" t="inlineStr">
        <is>
          <t>c6b084f28f2c507cfd342e5dbd0dbd8e45686772</t>
        </is>
      </c>
      <c r="O9" s="101" t="n"/>
      <c r="P9" s="101" t="n"/>
      <c r="Q9" s="107">
        <f>IF(OR(L9="",L9="در انتظار"),"",IF(Q9="",TODAY(),Q9))</f>
        <v/>
      </c>
    </row>
    <row r="10" ht="54" customHeight="1">
      <c r="A10" s="99" t="inlineStr">
        <is>
          <t>CO-006</t>
        </is>
      </c>
      <c r="B10" s="143" t="inlineStr">
        <is>
          <t>ورودی قطع → BATTERY</t>
        </is>
      </c>
      <c r="C10" s="147" t="inlineStr">
        <is>
          <t>بالا</t>
        </is>
      </c>
      <c r="D10" s="143" t="inlineStr">
        <is>
          <t>BOOT با snapshot معتبر</t>
        </is>
      </c>
      <c r="E10" s="143"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44" t="inlineStr">
        <is>
          <t>valid true, v24000, input false</t>
        </is>
      </c>
      <c r="G10" s="144" t="inlineStr">
        <is>
          <t>500ms</t>
        </is>
      </c>
      <c r="H10" s="143" t="inlineStr">
        <is>
          <t>state=BATTERY, PB11 High-safe (متصل). PASS: BATTERY. FAIL: INPUT یا SAFE یا FAULT.</t>
        </is>
      </c>
      <c r="I10" s="143" t="inlineStr">
        <is>
          <t>PASS: BATTERY. FAIL: otherwise.</t>
        </is>
      </c>
      <c r="J10" s="104" t="n"/>
      <c r="K10" s="143" t="inlineStr">
        <is>
          <t>در انتظار</t>
        </is>
      </c>
      <c r="L10" s="115" t="n"/>
      <c r="M10" s="104" t="n"/>
      <c r="N10" s="143" t="inlineStr">
        <is>
          <t>c6b084f28f2c507cfd342e5dbd0dbd8e45686772</t>
        </is>
      </c>
      <c r="O10" s="105" t="n"/>
      <c r="P10" s="105" t="n"/>
      <c r="Q10" s="148">
        <f>IF(OR(L10="",L10="در انتظار"),"",IF(Q10="",TODAY(),Q10))</f>
        <v/>
      </c>
    </row>
    <row r="11" ht="54" customHeight="1">
      <c r="A11" s="99" t="inlineStr">
        <is>
          <t>CO-007</t>
        </is>
      </c>
      <c r="B11" s="104" t="inlineStr">
        <is>
          <t>ورودی حاضر → INPUT</t>
        </is>
      </c>
      <c r="C11" s="114" t="inlineStr">
        <is>
          <t>بالا</t>
        </is>
      </c>
      <c r="D11" s="104" t="inlineStr">
        <is>
          <t>BOOT/BATTERY</t>
        </is>
      </c>
      <c r="E11" s="104"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5" t="inlineStr">
        <is>
          <t>valid true, v24000, input true</t>
        </is>
      </c>
      <c r="G11" s="105" t="inlineStr">
        <is>
          <t>500ms</t>
        </is>
      </c>
      <c r="H11" s="104" t="inlineStr">
        <is>
          <t>state=INPUT, PB11 High-safe. PASS: INPUT. FAIL: BATTERY یا SAFE.</t>
        </is>
      </c>
      <c r="I11" s="104" t="inlineStr">
        <is>
          <t>PASS: INPUT. FAIL: otherwise.</t>
        </is>
      </c>
      <c r="J11" s="104" t="n"/>
      <c r="K11" s="112" t="inlineStr">
        <is>
          <t>در انتظار</t>
        </is>
      </c>
      <c r="L11" s="113" t="n"/>
      <c r="M11" s="100" t="n"/>
      <c r="N11" s="104" t="inlineStr">
        <is>
          <t>c6b084f28f2c507cfd342e5dbd0dbd8e45686772</t>
        </is>
      </c>
      <c r="O11" s="101" t="n"/>
      <c r="P11" s="101" t="n"/>
      <c r="Q11" s="107">
        <f>IF(OR(L11="",L11="در انتظار"),"",IF(Q11="",TODAY(),Q11))</f>
        <v/>
      </c>
    </row>
    <row r="12" ht="54" customHeight="1">
      <c r="A12" s="99" t="inlineStr">
        <is>
          <t>CO-008</t>
        </is>
      </c>
      <c r="B12" s="143" t="inlineStr">
        <is>
          <t>قطع با گیت / 21000 + flag</t>
        </is>
      </c>
      <c r="C12" s="147" t="inlineStr">
        <is>
          <t>بالا</t>
        </is>
      </c>
      <c r="D12" s="143" t="inlineStr">
        <is>
          <t>BATTERY/INPUT, PB11 High</t>
        </is>
      </c>
      <c r="E12" s="143"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44" t="inlineStr">
        <is>
          <t>v20900 (&lt;21000) flag true</t>
        </is>
      </c>
      <c r="G12" s="144" t="inlineStr">
        <is>
          <t>3500ms (≥3000)</t>
        </is>
      </c>
      <c r="H12" s="143" t="inlineStr">
        <is>
          <t>پس از 2500ms هنوز BATTERY/INPUT و PB11 High؛ پس از 3000ms PB11 Low (قطع) و state=SAFE. PASS: قطع فقط پس از 3000ms پیوسته. FAIL: قطع زود یا عدم قطع.</t>
        </is>
      </c>
      <c r="I12" s="143" t="inlineStr">
        <is>
          <t>PASS: 2500 still no cut, 3000 SAFE. FAIL: early or no cut.</t>
        </is>
      </c>
      <c r="J12" s="104" t="n"/>
      <c r="K12" s="143" t="inlineStr">
        <is>
          <t>در انتظار</t>
        </is>
      </c>
      <c r="L12" s="115" t="n"/>
      <c r="M12" s="104" t="n"/>
      <c r="N12" s="143" t="inlineStr">
        <is>
          <t>c6b084f28f2c507cfd342e5dbd0dbd8e45686772</t>
        </is>
      </c>
      <c r="O12" s="105" t="n"/>
      <c r="P12" s="105" t="n"/>
      <c r="Q12" s="148">
        <f>IF(OR(L12="",L12="در انتظار"),"",IF(Q12="",TODAY(),Q12))</f>
        <v/>
      </c>
    </row>
    <row r="13" ht="54" customHeight="1">
      <c r="A13" s="99" t="inlineStr">
        <is>
          <t>CO-009</t>
        </is>
      </c>
      <c r="B13" s="104" t="inlineStr">
        <is>
          <t>قطع مستقل / 20800</t>
        </is>
      </c>
      <c r="C13" s="114" t="inlineStr">
        <is>
          <t>بالا</t>
        </is>
      </c>
      <c r="D13" s="104" t="inlineStr">
        <is>
          <t>BATTERY, flag false</t>
        </is>
      </c>
      <c r="E13" s="104"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5" t="inlineStr">
        <is>
          <t>v20700 (&lt;20800) flag false</t>
        </is>
      </c>
      <c r="G13" s="105" t="inlineStr">
        <is>
          <t>3500ms</t>
        </is>
      </c>
      <c r="H13" s="104" t="inlineStr">
        <is>
          <t>پس از 3000ms SAFE با PB11 Low مستقل از flag. PASS: مستقل cuts. FAIL: عدم قطع به علت flag false.</t>
        </is>
      </c>
      <c r="I13" s="104" t="inlineStr">
        <is>
          <t>PASS: independent cut. FAIL: no cut due flag.</t>
        </is>
      </c>
      <c r="J13" s="104" t="n"/>
      <c r="K13" s="112" t="inlineStr">
        <is>
          <t>در انتظار</t>
        </is>
      </c>
      <c r="L13" s="113" t="n"/>
      <c r="M13" s="100" t="n"/>
      <c r="N13" s="104" t="inlineStr">
        <is>
          <t>c6b084f28f2c507cfd342e5dbd0dbd8e45686772</t>
        </is>
      </c>
      <c r="O13" s="101" t="n"/>
      <c r="P13" s="101" t="n"/>
      <c r="Q13" s="107">
        <f>IF(OR(L13="",L13="در انتظار"),"",IF(Q13="",TODAY(),Q13))</f>
        <v/>
      </c>
    </row>
    <row r="14" ht="54" customHeight="1">
      <c r="A14" s="99" t="inlineStr">
        <is>
          <t>CO-010</t>
        </is>
      </c>
      <c r="B14" s="143" t="inlineStr">
        <is>
          <t>مرز دقیق 21000 نباید cut</t>
        </is>
      </c>
      <c r="C14" s="147" t="inlineStr">
        <is>
          <t>بالا</t>
        </is>
      </c>
      <c r="D14" s="143" t="inlineStr">
        <is>
          <t>BATTERY</t>
        </is>
      </c>
      <c r="E14" s="143"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44" t="inlineStr">
        <is>
          <t>valid=true, v=21000 (دقیق) flag=true, input=true (Vin≥21V)</t>
        </is>
      </c>
      <c r="G14" s="144" t="inlineStr">
        <is>
          <t>3500ms</t>
        </is>
      </c>
      <c r="H14" s="143" t="inlineStr">
        <is>
          <t>هیچ قطع رخ ندهد، state=INPUT (چون input_present=true و بدون cut) و PB11 High-safe بماند. PASS: با input حاضر، بدون قطع باید INPUT باشد، نه BATTERY یا SAFE. FAIL: BATTERY/SAFE یا تغییر PB11.</t>
        </is>
      </c>
      <c r="I14" s="143" t="inlineStr">
        <is>
          <t>PASS: با v=21000 و input true، state=INPUT و PB11 High. FAIL: هر cut یا BATTERY.</t>
        </is>
      </c>
      <c r="J14" s="104" t="n"/>
      <c r="K14" s="143" t="inlineStr">
        <is>
          <t>در انتظار</t>
        </is>
      </c>
      <c r="L14" s="115" t="n"/>
      <c r="M14" s="104" t="n"/>
      <c r="N14" s="143" t="inlineStr">
        <is>
          <t>c6b084f28f2c507cfd342e5dbd0dbd8e45686772</t>
        </is>
      </c>
      <c r="O14" s="105" t="n"/>
      <c r="P14" s="105" t="n"/>
      <c r="Q14" s="148">
        <f>IF(OR(L14="",L14="در انتظار"),"",IF(Q14="",TODAY(),Q14))</f>
        <v/>
      </c>
    </row>
    <row r="15" ht="54" customHeight="1">
      <c r="A15" s="99" t="inlineStr">
        <is>
          <t>CO-011</t>
        </is>
      </c>
      <c r="B15" s="104" t="inlineStr">
        <is>
          <t>مرز دقیق 20800 نباید cut</t>
        </is>
      </c>
      <c r="C15" s="114" t="inlineStr">
        <is>
          <t>بالا</t>
        </is>
      </c>
      <c r="D15" s="104" t="inlineStr">
        <is>
          <t>BATTERY</t>
        </is>
      </c>
      <c r="E15" s="104"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5" t="inlineStr">
        <is>
          <t>v=20800 flag false</t>
        </is>
      </c>
      <c r="G15" s="105" t="inlineStr">
        <is>
          <t>3500ms</t>
        </is>
      </c>
      <c r="H15" s="104" t="inlineStr">
        <is>
          <t>هیچ قطع نشود. PASS: need &lt;20800. FAIL: cut at exact.</t>
        </is>
      </c>
      <c r="I15" s="104" t="inlineStr">
        <is>
          <t>PASS: 20800 no independent cut. FAIL: cut.</t>
        </is>
      </c>
      <c r="J15" s="104" t="n"/>
      <c r="K15" s="112" t="inlineStr">
        <is>
          <t>در انتظار</t>
        </is>
      </c>
      <c r="L15" s="113" t="n"/>
      <c r="M15" s="100" t="n"/>
      <c r="N15" s="104" t="inlineStr">
        <is>
          <t>c6b084f28f2c507cfd342e5dbd0dbd8e45686772</t>
        </is>
      </c>
      <c r="O15" s="101" t="n"/>
      <c r="P15" s="101" t="n"/>
      <c r="Q15" s="107">
        <f>IF(OR(L15="",L15="در انتظار"),"",IF(Q15="",TODAY(),Q15))</f>
        <v/>
      </c>
    </row>
    <row r="16" ht="54" customHeight="1">
      <c r="A16" s="99" t="inlineStr">
        <is>
          <t>CO-012</t>
        </is>
      </c>
      <c r="B16" s="143" t="inlineStr">
        <is>
          <t>قطع &lt;3000ms نباید</t>
        </is>
      </c>
      <c r="C16" s="147" t="inlineStr">
        <is>
          <t>بالا</t>
        </is>
      </c>
      <c r="D16" s="143" t="inlineStr">
        <is>
          <t>BATTERY</t>
        </is>
      </c>
      <c r="E16" s="143"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44" t="inlineStr">
        <is>
          <t>valid=true, v=20900 (&lt;21000) flag=true, input=true, فقط 2500ms (&lt;3000)</t>
        </is>
      </c>
      <c r="G16" s="144" t="inlineStr">
        <is>
          <t>2500ms</t>
        </is>
      </c>
      <c r="H16" s="143" t="inlineStr">
        <is>
          <t>پس از 2500ms هنوز state=INPUT (چون input true و هنوز SAFE نشده) و PB11 High. PASS: &lt;3000ms هنوز INPUT، نه SAFE. FAIL: SAFE زود یا BATTERY.</t>
        </is>
      </c>
      <c r="I16" s="143" t="inlineStr">
        <is>
          <t>PASS: 2500ms still INPUT (no cut). FAIL: early SAFE یا BATTERY.</t>
        </is>
      </c>
      <c r="J16" s="104" t="n"/>
      <c r="K16" s="143" t="inlineStr">
        <is>
          <t>در انتظار</t>
        </is>
      </c>
      <c r="L16" s="115" t="n"/>
      <c r="M16" s="104" t="n"/>
      <c r="N16" s="143" t="inlineStr">
        <is>
          <t>c6b084f28f2c507cfd342e5dbd0dbd8e45686772</t>
        </is>
      </c>
      <c r="O16" s="105" t="n"/>
      <c r="P16" s="105" t="n"/>
      <c r="Q16" s="148">
        <f>IF(OR(L16="",L16="در انتظار"),"",IF(Q16="",TODAY(),Q16))</f>
        <v/>
      </c>
    </row>
    <row r="17" ht="54" customHeight="1">
      <c r="A17" s="99" t="inlineStr">
        <is>
          <t>CO-013</t>
        </is>
      </c>
      <c r="B17" s="104" t="inlineStr">
        <is>
          <t>وصل مجدد / 21200 + input</t>
        </is>
      </c>
      <c r="C17" s="114" t="inlineStr">
        <is>
          <t>بالا</t>
        </is>
      </c>
      <c r="D17" s="104" t="inlineStr">
        <is>
          <t>SAFE, PB11 Low</t>
        </is>
      </c>
      <c r="E17" s="10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5" t="inlineStr">
        <is>
          <t>SAFE, input true, v21300</t>
        </is>
      </c>
      <c r="G17" s="105" t="inlineStr">
        <is>
          <t>3500ms</t>
        </is>
      </c>
      <c r="H17" s="104" t="inlineStr">
        <is>
          <t>قبل از 3000ms: SAFE و PB11 Low؛ بعد از 3000ms: INPUT و PB11 High. PASS: reconnect پس از 3000ms با PB11 High. FAIL: reconnect زود یا PB11 Low ماندن.</t>
        </is>
      </c>
      <c r="I17" s="104" t="inlineStr">
        <is>
          <t>PASS: قبل 3000 SAFE Low، بعد 3000 INPUT High. FAIL: early or no reconnect.</t>
        </is>
      </c>
      <c r="J17" s="104" t="n"/>
      <c r="K17" s="112" t="inlineStr">
        <is>
          <t>در انتظار</t>
        </is>
      </c>
      <c r="L17" s="113" t="n"/>
      <c r="M17" s="100" t="n"/>
      <c r="N17" s="104" t="inlineStr">
        <is>
          <t>c6b084f28f2c507cfd342e5dbd0dbd8e45686772</t>
        </is>
      </c>
      <c r="O17" s="101" t="n"/>
      <c r="P17" s="101" t="n"/>
      <c r="Q17" s="107">
        <f>IF(OR(L17="",L17="در انتظار"),"",IF(Q17="",TODAY(),Q17))</f>
        <v/>
      </c>
    </row>
    <row r="18" ht="54" customHeight="1">
      <c r="A18" s="99" t="inlineStr">
        <is>
          <t>CO-014</t>
        </is>
      </c>
      <c r="B18" s="143" t="inlineStr">
        <is>
          <t>مرز دقیق 21200 باید reconnect</t>
        </is>
      </c>
      <c r="C18" s="147" t="inlineStr">
        <is>
          <t>بالا</t>
        </is>
      </c>
      <c r="D18" s="143" t="inlineStr">
        <is>
          <t>SAFE</t>
        </is>
      </c>
      <c r="E18" s="143" t="inlineStr">
        <is>
          <t>گام ۱: برد در وضعیت امن (SAFE) باشد.
گام ۲: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44" t="inlineStr">
        <is>
          <t>v=21200 input true</t>
        </is>
      </c>
      <c r="G18" s="144" t="inlineStr">
        <is>
          <t>3500ms</t>
        </is>
      </c>
      <c r="H18" s="143" t="inlineStr">
        <is>
          <t>پس از 3000ms INPUT و PB11 High. PASS: ≥21200 reconnect. FAIL: no reconnect at 21200.</t>
        </is>
      </c>
      <c r="I18" s="143" t="inlineStr">
        <is>
          <t>PASS: 21200 reconnects (need ≥). FAIL: no.</t>
        </is>
      </c>
      <c r="J18" s="104" t="n"/>
      <c r="K18" s="143" t="inlineStr">
        <is>
          <t>در انتظار</t>
        </is>
      </c>
      <c r="L18" s="115" t="n"/>
      <c r="M18" s="104" t="n"/>
      <c r="N18" s="143" t="inlineStr">
        <is>
          <t>c6b084f28f2c507cfd342e5dbd0dbd8e45686772</t>
        </is>
      </c>
      <c r="O18" s="105" t="n"/>
      <c r="P18" s="105" t="n"/>
      <c r="Q18" s="148">
        <f>IF(OR(L18="",L18="در انتظار"),"",IF(Q18="",TODAY(),Q18))</f>
        <v/>
      </c>
    </row>
    <row r="19" ht="54" customHeight="1">
      <c r="A19" s="99" t="inlineStr">
        <is>
          <t>CO-015</t>
        </is>
      </c>
      <c r="B19" s="104" t="inlineStr">
        <is>
          <t>reconnect &lt;3000 نباید</t>
        </is>
      </c>
      <c r="C19" s="114" t="inlineStr">
        <is>
          <t>بالا</t>
        </is>
      </c>
      <c r="D19" s="104" t="inlineStr">
        <is>
          <t>SAFE</t>
        </is>
      </c>
      <c r="E19" s="104"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5" t="inlineStr">
        <is>
          <t>v21300 input true</t>
        </is>
      </c>
      <c r="G19" s="105" t="inlineStr">
        <is>
          <t>2500ms</t>
        </is>
      </c>
      <c r="H19" s="104" t="inlineStr">
        <is>
          <t>هنوز SAFE و PB11 Low. PASS: &lt;3s no reconnect. FAIL: زود وصل.</t>
        </is>
      </c>
      <c r="I19" s="104" t="inlineStr">
        <is>
          <t>PASS: 2500 still SAFE. FAIL: INPUT early.</t>
        </is>
      </c>
      <c r="J19" s="104" t="n"/>
      <c r="K19" s="112" t="inlineStr">
        <is>
          <t>در انتظار</t>
        </is>
      </c>
      <c r="L19" s="113" t="n"/>
      <c r="M19" s="100" t="n"/>
      <c r="N19" s="104" t="inlineStr">
        <is>
          <t>c6b084f28f2c507cfd342e5dbd0dbd8e45686772</t>
        </is>
      </c>
      <c r="O19" s="101" t="n"/>
      <c r="P19" s="101" t="n"/>
      <c r="Q19" s="107">
        <f>IF(OR(L19="",L19="در انتظار"),"",IF(Q19="",TODAY(),Q19))</f>
        <v/>
      </c>
    </row>
    <row r="20" ht="40.5" customHeight="1">
      <c r="A20" s="99" t="inlineStr">
        <is>
          <t>CO-016</t>
        </is>
      </c>
      <c r="B20" s="143" t="inlineStr">
        <is>
          <t>پس از reconnect state INPUT</t>
        </is>
      </c>
      <c r="C20" s="147" t="inlineStr">
        <is>
          <t>بالا</t>
        </is>
      </c>
      <c r="D20" s="145" t="inlineStr">
        <is>
          <t>پس از CO-013</t>
        </is>
      </c>
      <c r="E20" s="145"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44" t="inlineStr">
        <is>
          <t>post-reconnect</t>
        </is>
      </c>
      <c r="G20" s="144" t="inlineStr">
        <is>
          <t>100ms</t>
        </is>
      </c>
      <c r="H20" s="143" t="inlineStr">
        <is>
          <t>state=INPUT باشد، نه IDLE (IDLE برای معتبر ممنوع). PASS: INPUT. FAIL: IDLE.</t>
        </is>
      </c>
      <c r="I20" s="143" t="inlineStr">
        <is>
          <t>PASS: INPUT not IDLE. FAIL: IDLE.</t>
        </is>
      </c>
      <c r="J20" s="104" t="n"/>
      <c r="K20" s="143" t="inlineStr">
        <is>
          <t>در انتظار</t>
        </is>
      </c>
      <c r="L20" s="115" t="n"/>
      <c r="M20" s="104" t="n"/>
      <c r="N20" s="143" t="inlineStr">
        <is>
          <t>c6b084f28f2c507cfd342e5dbd0dbd8e45686772</t>
        </is>
      </c>
      <c r="O20" s="105" t="n"/>
      <c r="P20" s="105" t="n"/>
      <c r="Q20" s="148">
        <f>IF(OR(L20="",L20="در انتظار"),"",IF(Q20="",TODAY(),Q20))</f>
        <v/>
      </c>
    </row>
    <row r="21" ht="40.5" customHeight="1">
      <c r="A21" s="99" t="inlineStr">
        <is>
          <t>CO-017</t>
        </is>
      </c>
      <c r="B21" s="104" t="inlineStr">
        <is>
          <t>PB11 در invalid حفظ</t>
        </is>
      </c>
      <c r="C21" s="114" t="inlineStr">
        <is>
          <t>بالا</t>
        </is>
      </c>
      <c r="D21" s="104" t="inlineStr">
        <is>
          <t>INPUT با PB11 High</t>
        </is>
      </c>
      <c r="E21" s="104"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5" t="inlineStr">
        <is>
          <t>valid true→false</t>
        </is>
      </c>
      <c r="G21" s="105" t="inlineStr">
        <is>
          <t>500ms</t>
        </is>
      </c>
      <c r="H21" s="104" t="inlineStr">
        <is>
          <t>PB11 Low-High بدون تغییر بماند (High). PASS: حفظ. FAIL: تغییر.</t>
        </is>
      </c>
      <c r="I21" s="104" t="inlineStr">
        <is>
          <t>PASS: PB11 preserved in invalid. FAIL: change.</t>
        </is>
      </c>
      <c r="J21" s="104" t="n"/>
      <c r="K21" s="112" t="inlineStr">
        <is>
          <t>در انتظار</t>
        </is>
      </c>
      <c r="L21" s="113" t="n"/>
      <c r="M21" s="100" t="n"/>
      <c r="N21" s="104" t="inlineStr">
        <is>
          <t>c6b084f28f2c507cfd342e5dbd0dbd8e45686772</t>
        </is>
      </c>
      <c r="O21" s="101" t="n"/>
      <c r="P21" s="101" t="n"/>
      <c r="Q21" s="107">
        <f>IF(OR(L21="",L21="در انتظار"),"",IF(Q21="",TODAY(),Q21))</f>
        <v/>
      </c>
    </row>
    <row r="22" ht="54" customHeight="1">
      <c r="A22" s="99" t="inlineStr">
        <is>
          <t>CO-018</t>
        </is>
      </c>
      <c r="B22" s="143" t="inlineStr">
        <is>
          <t>PB11 در fault حفظ</t>
        </is>
      </c>
      <c r="C22" s="147" t="inlineStr">
        <is>
          <t>بالا</t>
        </is>
      </c>
      <c r="D22" s="143" t="inlineStr">
        <is>
          <t>INPUT</t>
        </is>
      </c>
      <c r="E22" s="143"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44" t="inlineStr">
        <is>
          <t>valid true fault1</t>
        </is>
      </c>
      <c r="G22" s="144" t="inlineStr">
        <is>
          <t>500ms</t>
        </is>
      </c>
      <c r="H22" s="143" t="inlineStr">
        <is>
          <t>PB11 حفظ (High). PASS. FAIL: Low شدن.</t>
        </is>
      </c>
      <c r="I22" s="143" t="inlineStr">
        <is>
          <t>PASS: PB11 preserved in fault. FAIL: change.</t>
        </is>
      </c>
      <c r="J22" s="104" t="n"/>
      <c r="K22" s="143" t="inlineStr">
        <is>
          <t>در انتظار</t>
        </is>
      </c>
      <c r="L22" s="115" t="n"/>
      <c r="M22" s="104" t="n"/>
      <c r="N22" s="143" t="inlineStr">
        <is>
          <t>c6b084f28f2c507cfd342e5dbd0dbd8e45686772</t>
        </is>
      </c>
      <c r="O22" s="105" t="n"/>
      <c r="P22" s="105" t="n"/>
      <c r="Q22" s="148">
        <f>IF(OR(L22="",L22="در انتظار"),"",IF(Q22="",TODAY(),Q22))</f>
        <v/>
      </c>
    </row>
    <row r="23" ht="40.5" customHeight="1">
      <c r="A23" s="99" t="inlineStr">
        <is>
          <t>CO-019</t>
        </is>
      </c>
      <c r="B23" s="104" t="inlineStr">
        <is>
          <t>PB5 و PB7 هیچ‌گاه تغییر نکنند</t>
        </is>
      </c>
      <c r="C23" s="114" t="inlineStr">
        <is>
          <t>بالا</t>
        </is>
      </c>
      <c r="D23" s="104" t="inlineStr">
        <is>
          <t>هر حالت</t>
        </is>
      </c>
      <c r="E23" s="106" t="inlineStr">
        <is>
          <t>گام ۱: در همهٔ تست‌های CO-001 تا CO-015، سه پایه را با اسکوپ یا لاگ BSP زیر نظر بگیر:
پایهٔ PB11، پایهٔ PB5 (همان BAT_SWITCH) و پایهٔ PB7 (همان RELAY).
گام ۲: این تست ردیف جدا ندارد؛ در تک‌تک تست‌های بالا انجامش بده.
گام ۳: PB5 باید همیشه High و امن بماند (فعال-پایین است) و PB7 همیشه Low بماند.
گام ۴: هر تغییری روی این دو پایه یعنی رد تست.</t>
        </is>
      </c>
      <c r="F23" s="105" t="inlineStr">
        <is>
          <t>تمام حالات</t>
        </is>
      </c>
      <c r="G23" s="105" t="inlineStr">
        <is>
          <t>هر تست</t>
        </is>
      </c>
      <c r="H23" s="104" t="inlineStr">
        <is>
          <t>PB5 و PB7 ثابت بمانند (PB5 High-safe active-low، PB7 Low). PASS: بدون تغییر. FAIL: هر toggle.</t>
        </is>
      </c>
      <c r="I23" s="104" t="inlineStr">
        <is>
          <t>PASS: PB5/PB7 never change. FAIL: any toggle.</t>
        </is>
      </c>
      <c r="J23" s="104" t="n"/>
      <c r="K23" s="112" t="inlineStr">
        <is>
          <t>در انتظار</t>
        </is>
      </c>
      <c r="L23" s="113" t="n"/>
      <c r="M23" s="100" t="n"/>
      <c r="N23" s="104" t="inlineStr">
        <is>
          <t>c6b084f28f2c507cfd342e5dbd0dbd8e45686772</t>
        </is>
      </c>
      <c r="O23" s="101" t="n"/>
      <c r="P23" s="101" t="n"/>
      <c r="Q23" s="107">
        <f>IF(OR(L23="",L23="در انتظار"),"",IF(Q23="",TODAY(),Q23))</f>
        <v/>
      </c>
    </row>
    <row r="24" ht="54" customHeight="1">
      <c r="A24" s="99" t="inlineStr">
        <is>
          <t>CO-024</t>
        </is>
      </c>
      <c r="B24" s="143" t="inlineStr">
        <is>
          <t>وصل مجدد 30s پایداری ورودی</t>
        </is>
      </c>
      <c r="C24" s="147" t="inlineStr">
        <is>
          <t>بالا</t>
        </is>
      </c>
      <c r="D24" s="143" t="inlineStr">
        <is>
          <t>برد در SAFE پس از قطع، v_bat=24V</t>
        </is>
      </c>
      <c r="E24" s="145"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44" t="inlineStr">
        <is>
          <t>input=true v=24000</t>
        </is>
      </c>
      <c r="G24" s="144" t="inlineStr">
        <is>
          <t>33s</t>
        </is>
      </c>
      <c r="H24" s="143" t="inlineStr">
        <is>
          <t>بعد از 30 ثانیه پایداری ورودی و 3 ثانیه ولتاژ 21200، PB11 از Low به High و وضعیت INPUT شود</t>
        </is>
      </c>
      <c r="I24" s="143" t="inlineStr">
        <is>
          <t>PASS: PB11 بعد 33s وصل، قبلش SAFE. FAIL: وصل زودتر از 30s</t>
        </is>
      </c>
      <c r="J24" s="104" t="n"/>
      <c r="K24" s="143" t="inlineStr">
        <is>
          <t>نیاز به تکرار</t>
        </is>
      </c>
      <c r="L24" s="115" t="n"/>
      <c r="M24" s="104" t="n"/>
      <c r="N24" s="143" t="inlineStr">
        <is>
          <t>thermal+30s</t>
        </is>
      </c>
      <c r="O24" s="105" t="n"/>
      <c r="P24" s="105" t="n"/>
      <c r="Q24" s="148">
        <f>IF(OR(L24="",L24="در انتظار"),"",IF(Q24="",TODAY(),Q24))</f>
        <v/>
      </c>
    </row>
    <row r="25" ht="54" customHeight="1">
      <c r="A25" s="99" t="inlineStr">
        <is>
          <t>CO-025</t>
        </is>
      </c>
      <c r="B25" s="143" t="inlineStr">
        <is>
          <t>وصل بدون برق شهر / ۱۰ ثانیه سالم</t>
        </is>
      </c>
      <c r="C25" s="147" t="inlineStr">
        <is>
          <t>بالا</t>
        </is>
      </c>
      <c r="D25" s="143" t="inlineStr">
        <is>
          <t>برد در SAFE، برق شهر قطع، باتری &gt;= 21200 mV</t>
        </is>
      </c>
      <c r="E25" s="145" t="inlineStr">
        <is>
          <t>گام ۱: از تست CO-008 شروع کن تا باتری قطع شود و برد در SAFE باشد؛ برق شهر قطع بماند.
گام ۲: ولتاژ باتری را با یک منبع روی 25500 mV نگه دار (بالای آستانهٔ استراحت ۲۵٬۰۰۰).
گام ۳: در ثانیهٔ ۹ وضعیت را بخوان: باید هنوز SAFE و PB11 قطع باشد.
گام ۴: در ثانیهٔ ۱۴ دوباره بخوان: باید PB11 وصل و وضعیت BATTERY باشد.
گام ۵: وصل زودتر از ۱۰ ثانیهٔ پیوسته یعنی رد.</t>
        </is>
      </c>
      <c r="F25" s="144" t="inlineStr">
        <is>
          <t>input=false, v=25500 برای ۱۳ ثانیه</t>
        </is>
      </c>
      <c r="G25" s="144" t="inlineStr">
        <is>
          <t>۱۳s</t>
        </is>
      </c>
      <c r="H25" s="143" t="inlineStr">
        <is>
          <t>قبل از ۱۰ ثانیه SAFE می‌ماند؛ پس از ۱۰ ثانیه سالمِ پیوسته + ۳ ثانیه فیلتر، PB11 وصل و state=BATTERY. استراحت زیر ۲۵٬۰۰۰ mV اجازهٔ وصل نمی‌دهد (تست CO-031). PASS: وصل فقط پس از ۱۰ ثانیه پیوسته. FAIL: وصل زودتر.</t>
        </is>
      </c>
      <c r="I25" s="143" t="inlineStr">
        <is>
          <t>PASS: 9s SAFE، 13s BATTERY. FAIL: وصل زودتر.</t>
        </is>
      </c>
      <c r="J25" s="104" t="n"/>
      <c r="K25" s="143" t="inlineStr">
        <is>
          <t>در انتظار</t>
        </is>
      </c>
      <c r="L25" s="115" t="n"/>
      <c r="M25" s="104" t="n"/>
      <c r="N25" s="143" t="inlineStr">
        <is>
          <t>2026-10-23</t>
        </is>
      </c>
      <c r="O25" s="82" t="n"/>
      <c r="P25" s="82" t="n"/>
      <c r="Q25" s="98">
        <f>IF(OR(L25="",L25="در انتظار"),"",IF(Q25="",TODAY(),Q25))</f>
        <v/>
      </c>
    </row>
    <row r="26" ht="54" customHeight="1">
      <c r="A26" s="99" t="inlineStr">
        <is>
          <t>CO-026</t>
        </is>
      </c>
      <c r="B26" s="143" t="inlineStr">
        <is>
          <t>محافظ چرخه / قطع دوبارهٔ سریع</t>
        </is>
      </c>
      <c r="C26" s="147" t="inlineStr">
        <is>
          <t>بالا</t>
        </is>
      </c>
      <c r="D26" s="143" t="inlineStr">
        <is>
          <t>پس از CO-025 وصل بدون برق شهر</t>
        </is>
      </c>
      <c r="E26" s="145" t="inlineStr">
        <is>
          <t>گام ۱: بعد از وصلِ CO-025، داخل ۶۰ ثانیه ولتاژ باتری را زیر 21000 mV بیاور تا قطع رخ دهد.
گام ۲: ولتاژ را دوباره به 25500 mV برگردان و ۶۰ ثانیه صبر کن.
گام ۳: برد نباید بدون برق شهر وصل شود؛ باید در SAFE بماند و حکم باتری فرسوده قفل شود.
گام ۴: سقف تلاش بدون برق شهر یک است؛ تلاش دوم نباید انجام شود.</t>
        </is>
      </c>
      <c r="F26" s="144" t="inlineStr">
        <is>
          <t>قطع داخل ۶۰ ثانیه بعد از CO-025، سپس v=25500</t>
        </is>
      </c>
      <c r="G26" s="144" t="inlineStr">
        <is>
          <t>۳۰s + ۳۳s</t>
        </is>
      </c>
      <c r="H26" s="143" t="inlineStr">
        <is>
          <t>حکم باتری فرسوده قفل می‌شود، مسیر باتری بسته می‌ماند و وصل خودکار بدون برق شهر انجام نمی‌شود (سقف یک تلاش)؛ با برگشت برق شهر وصل مجاز است. PASS: قفل محافظ چرخه. FAIL: وصل خودکار بدون برق شهر.</t>
        </is>
      </c>
      <c r="I26" s="143" t="inlineStr">
        <is>
          <t>PASS: بدون وصل تا برگشت برق شهر. FAIL: وصل خودکار.</t>
        </is>
      </c>
      <c r="J26" s="104" t="n"/>
      <c r="K26" s="143" t="inlineStr">
        <is>
          <t>در انتظار</t>
        </is>
      </c>
      <c r="L26" s="115" t="n"/>
      <c r="M26" s="104" t="n"/>
      <c r="N26" s="143" t="inlineStr">
        <is>
          <t>2026-10-23</t>
        </is>
      </c>
      <c r="O26" s="82" t="n"/>
      <c r="P26" s="82" t="n"/>
      <c r="Q26" s="98">
        <f>IF(OR(L26="",L26="در انتظار"),"",IF(Q26="",TODAY(),Q26))</f>
        <v/>
      </c>
    </row>
    <row r="27" ht="54" customHeight="1">
      <c r="A27" s="99" t="inlineStr">
        <is>
          <t>CO-027</t>
        </is>
      </c>
      <c r="B27" s="143" t="inlineStr">
        <is>
          <t>حکم باتری ضعیف / چهرهٔ قرمز و بوق</t>
        </is>
      </c>
      <c r="C27" s="147" t="inlineStr">
        <is>
          <t>بالا</t>
        </is>
      </c>
      <c r="D27" s="143" t="inlineStr">
        <is>
          <t>حکم قفل (پس از CO-026)</t>
        </is>
      </c>
      <c r="E27" s="145" t="inlineStr">
        <is>
          <t>گام ۱: پس از CO-026 برد در وضعیت حکم باتری ضعیف باشد و برق شهر قطع بماند.
گام ۲: چراغ قرمز را ۵ ثانیه نگاه کن: باید با دورهٔ ۵۰۰ میلی‌ثانیه و سهم ۵۰٪ چشمک بزند؛ سبز و زرد باید خاموش باشند.
گام ۳: گوش کن: هر ۳۰۰۰ میلی‌ثانیه سه بوق ۲۰۰ میلی‌ثانیه‌ای با گپ ۱۰۰ میلی‌ثانیه باید شنیده شود.
گام ۴: از پنل دورهٔ قرمز را ۱۰۰۰ و دورهٔ بوق را صفر کن؛ قرمز باید کندتر چشمک بزند و بوق قطع شود.
گام ۵: قرمز ثابت یا بوق با الگوی سناریوی ۵/۶/۷ یعنی رد.</t>
        </is>
      </c>
      <c r="F27" s="144" t="inlineStr">
        <is>
          <t>پارامترهای ۱۵۱..۱۵۶ با پیش‌فرض کارخانه</t>
        </is>
      </c>
      <c r="G27" s="144" t="inlineStr">
        <is>
          <t>۵s + ۱۰s</t>
        </is>
      </c>
      <c r="H27" s="143" t="inlineStr">
        <is>
          <t>قرمز چشمک‌زن با دوره/سهم مستقل و بوق سه‌تایی مستقل؛ سبز و زرد خاموش. PASS: همان چهرهٔ تعریف‌شده. FAIL: قرمز ثابت یا الگوی قرض‌گرفته.</t>
        </is>
      </c>
      <c r="I27" s="143" t="inlineStr">
        <is>
          <t>PASS: چشمک ۵۰۰ms + سه بوق. FAIL: چهرهٔ دیگر.</t>
        </is>
      </c>
      <c r="J27" s="104" t="n"/>
      <c r="K27" s="143" t="inlineStr">
        <is>
          <t>در انتظار</t>
        </is>
      </c>
      <c r="L27" s="115" t="n"/>
      <c r="M27" s="104" t="n"/>
      <c r="N27" s="143" t="inlineStr">
        <is>
          <t>2026-10-23</t>
        </is>
      </c>
      <c r="O27" s="82" t="n"/>
      <c r="P27" s="82" t="n"/>
      <c r="Q27" s="98">
        <f>IF(OR(L27="",L27="در انتظار"),"",IF(Q27="",TODAY(),Q27))</f>
        <v/>
      </c>
    </row>
    <row r="28" ht="54" customHeight="1">
      <c r="A28" s="99" t="inlineStr">
        <is>
          <t>CO-028</t>
        </is>
      </c>
      <c r="B28" s="143" t="inlineStr">
        <is>
          <t>حکم باتری ضعیف / بسته‌ماندن خروجی</t>
        </is>
      </c>
      <c r="C28" s="147" t="inlineStr">
        <is>
          <t>بالا</t>
        </is>
      </c>
      <c r="D28" s="143" t="inlineStr">
        <is>
          <t>حکم قفل، شناسهٔ ۱۵۷ = ۱</t>
        </is>
      </c>
      <c r="E28" s="145" t="inlineStr">
        <is>
          <t>گام ۱: با حکم قفل و برق شهر قطع، خروجی را با بار ۱ آمپر بسنج.
گام ۲: ولتاژ خروجی باید صفر بماند و PB11 باید High (قطع) باشد.
گام ۳: حالا از پنل شناسهٔ ۱۵۷ را صفر کن؛ با حفظ حکم، باتری باید روی خروجی بیاید.
گام ۴: دوباره ۱۵۷ را یک کن؛ مسیر باید بسته شود.
گام ۵: اگر با ۱۵۷ = ۱ بار روی باتری دیده شود، رد است.</t>
        </is>
      </c>
      <c r="F28" s="144" t="inlineStr">
        <is>
          <t>id157 = 1 سپس 0 سپس 1</t>
        </is>
      </c>
      <c r="G28" s="144" t="inlineStr">
        <is>
          <t>۳۰s</t>
        </is>
      </c>
      <c r="H28" s="143" t="inlineStr">
        <is>
          <t>با ۱۵۷ = ۱ مسیر باتری بسته می‌ماند؛ با ۱۵۷ = ۰ فقط هشدار می‌ماند و خروجی برمی‌گردد؛ شارژ قطع نمی‌شود. PASS: تبعیت دقیق از ۱۵۷. FAIL: بار روی باتری با ۱۵۷ = ۱.</t>
        </is>
      </c>
      <c r="I28" s="143" t="inlineStr">
        <is>
          <t>PASS: خروجی صفر با ۱۵۷=۱. FAIL: بار روی باتری.</t>
        </is>
      </c>
      <c r="J28" s="104" t="n"/>
      <c r="K28" s="143" t="inlineStr">
        <is>
          <t>در انتظار</t>
        </is>
      </c>
      <c r="L28" s="115" t="n"/>
      <c r="M28" s="104" t="n"/>
      <c r="N28" s="143" t="inlineStr">
        <is>
          <t>2026-10-23</t>
        </is>
      </c>
      <c r="O28" s="82" t="n"/>
      <c r="P28" s="82" t="n"/>
      <c r="Q28" s="98">
        <f>IF(OR(L28="",L28="در انتظار"),"",IF(Q28="",TODAY(),Q28))</f>
        <v/>
      </c>
    </row>
    <row r="29" ht="54" customHeight="1">
      <c r="A29" s="99" t="inlineStr">
        <is>
          <t>CO-029</t>
        </is>
      </c>
      <c r="B29" s="143" t="inlineStr">
        <is>
          <t>حکم باتری ضعیف / پاک‌شدن پس از استراحت</t>
        </is>
      </c>
      <c r="C29" s="147" t="inlineStr">
        <is>
          <t>بالا</t>
        </is>
      </c>
      <c r="D29" s="143" t="inlineStr">
        <is>
          <t>حکم قفل، شناسهٔ ۱۴۸ = ۶۰۰۰۰۰</t>
        </is>
      </c>
      <c r="E29" s="145" t="inlineStr">
        <is>
          <t>گام ۱: با حکم قفل، ولتاژ باتری را روی 25500 mV و پیوسته نگه دار.
گام ۲: در دقیقهٔ ۹ وضعیت را بخوان: حکم باید هنوز قفل و قرمز چشمک‌زن باشد.
گام ۳: پس از ۱۰ دقیقهٔ پیوسته، حکم باید خودش پاک شود و یک بار دیگر تلاش مجاز باشد.</t>
        </is>
      </c>
      <c r="F29" s="144" t="inlineStr">
        <is>
          <t>v=25500 پیوسته برای ۱۰ دقیقه</t>
        </is>
      </c>
      <c r="G29" s="144" t="inlineStr">
        <is>
          <t>۱۰min</t>
        </is>
      </c>
      <c r="H29" s="143" t="inlineStr">
        <is>
          <t>حکم فقط پس از ۱۰ دقیقهٔ سالمِ پیوسته پاک می‌شود و تنها یک تلاش مجدد انجام می‌شود. PASS: پاک‌شدن در دقیقهٔ ۱۰. FAIL: زودتر یا هرگز.</t>
        </is>
      </c>
      <c r="I29" s="143" t="inlineStr">
        <is>
          <t>PASS: پاک‌شدن در ۱۰ دقیقه. FAIL: زودتر/هرگز.</t>
        </is>
      </c>
      <c r="J29" s="104" t="n"/>
      <c r="K29" s="143" t="inlineStr">
        <is>
          <t>در انتظار</t>
        </is>
      </c>
      <c r="L29" s="115" t="n"/>
      <c r="M29" s="104" t="n"/>
      <c r="N29" s="143" t="inlineStr">
        <is>
          <t>2026-10-23</t>
        </is>
      </c>
      <c r="O29" s="82" t="n"/>
      <c r="P29" s="82" t="n"/>
      <c r="Q29" s="98">
        <f>IF(OR(L29="",L29="در انتظار"),"",IF(Q29="",TODAY(),Q29))</f>
        <v/>
      </c>
    </row>
    <row r="30" ht="54" customHeight="1">
      <c r="A30" s="99" t="inlineStr">
        <is>
          <t>CO-030</t>
        </is>
      </c>
      <c r="B30" s="143" t="inlineStr">
        <is>
          <t>حکم باتری ضعیف / برگشت برق شهر حکم را پاک نمی‌کند</t>
        </is>
      </c>
      <c r="C30" s="147" t="inlineStr">
        <is>
          <t>بالا</t>
        </is>
      </c>
      <c r="D30" s="143" t="inlineStr">
        <is>
          <t>حکم قفل</t>
        </is>
      </c>
      <c r="E30" s="145" t="inlineStr">
        <is>
          <t>گام ۱: با حکم قفل، برق شهر را وصل کن و ۳۰ ثانیه پایدار نگه دار.
گام ۲: مسیر باتری باید وصل شود (چون برق شهر هست) ولی حکم نباید پاک شود.
گام ۳: برق شهر را دوباره قطع کن؛ چراغ قرمز باید همچنان چشمک بزند و مسیر باتری بسته بماند.
گام ۴: پاک‌شدن حکم فقط با شناسهٔ ۱۴۷ = ۰ یا ۱۰ دقیقهٔ سالمِ پیوسته مجاز است.</t>
        </is>
      </c>
      <c r="F30" s="144" t="inlineStr">
        <is>
          <t>input=true برای ۳۰ ثانیه، سپس قطع</t>
        </is>
      </c>
      <c r="G30" s="144" t="inlineStr">
        <is>
          <t>۳۰s + ۱۰s</t>
        </is>
      </c>
      <c r="H30" s="143" t="inlineStr">
        <is>
          <t>برگشت برق شهر حکم را پاک نمی‌کند؛ با قطع دوباره همان چهره و همان بسته‌بودن برمی‌گردد. PASS: حکم پایدار. FAIL: پاک‌شدن با برق شهر.</t>
        </is>
      </c>
      <c r="I30" s="143" t="inlineStr">
        <is>
          <t>PASS: حکم پس از برق شهر می‌ماند. FAIL: پاک شد.</t>
        </is>
      </c>
      <c r="J30" s="104" t="n"/>
      <c r="K30" s="143" t="inlineStr">
        <is>
          <t>در انتظار</t>
        </is>
      </c>
      <c r="L30" s="115" t="n"/>
      <c r="M30" s="104" t="n"/>
      <c r="N30" s="143" t="inlineStr">
        <is>
          <t>2026-10-23</t>
        </is>
      </c>
      <c r="O30" s="82" t="n"/>
      <c r="P30" s="82" t="n"/>
      <c r="Q30" s="98">
        <f>IF(OR(L30="",L30="در انتظار"),"",IF(Q30="",TODAY(),Q30))</f>
        <v/>
      </c>
    </row>
    <row r="31" ht="54" customHeight="1">
      <c r="A31" s="99" t="inlineStr">
        <is>
          <t>CO-032</t>
        </is>
      </c>
      <c r="B31" s="143" t="inlineStr">
        <is>
          <t>حکم باتری ضعیف / پاک‌کردن دستی از پنل</t>
        </is>
      </c>
      <c r="C31" s="147" t="inlineStr">
        <is>
          <t>بالا</t>
        </is>
      </c>
      <c r="D31" s="143" t="inlineStr">
        <is>
          <t>حکم قفل + پنل کالیبراسیون باز</t>
        </is>
      </c>
      <c r="E31" s="145" t="inlineStr">
        <is>
          <t>گام ۱: روی برد حکم را قفل کن: بدون برق شهر وصل شود و داخل پنجرهٔ محافظ دوباره قطع شود.
گام ۲: در کارت ۸ دکمهٔ «پاک‌کردن حکم» را بزن و تأیید کن.
گام ۳: خط وضعیت باید «در حال ارسال…» و بعد «پاک شد» نشان دهد.
گام ۴: چراغ قرمز و بوق باید خاموش شوند.
گام ۵: دوباره همان دکمه را بزن؛ باید بگوید حکمی نیست و خطا ندهد.</t>
        </is>
      </c>
      <c r="F31" s="144" t="inlineStr">
        <is>
          <t>حکم=۱ → دکمهٔ پاک‌کردن حکم</t>
        </is>
      </c>
      <c r="G31" s="144" t="inlineStr">
        <is>
          <t>—</t>
        </is>
      </c>
      <c r="H31" s="143" t="inlineStr">
        <is>
          <t>حکم همان لحظه پاک می‌شود؛ چهره خاموش و یک بار وصل دوباره آزاد می‌شود. زدن دوبارهٔ دکمه خطا نمی‌دهد. PASS: حکم پاک شد. FAIL: حکم ماند یا دکمه خطا داد.</t>
        </is>
      </c>
      <c r="I31" s="143" t="inlineStr">
        <is>
          <t>PASS: حکم پاک. FAIL: حکم ماند.</t>
        </is>
      </c>
      <c r="J31" s="104" t="n"/>
      <c r="K31" s="143" t="inlineStr">
        <is>
          <t>در انتظار</t>
        </is>
      </c>
      <c r="L31" s="115" t="n"/>
      <c r="M31" s="104" t="n"/>
      <c r="N31" s="143" t="inlineStr">
        <is>
          <t>2026-10-23</t>
        </is>
      </c>
      <c r="O31" s="82" t="n"/>
      <c r="P31" s="82" t="n"/>
      <c r="Q31" s="98">
        <f>IF(OR(L31="",L31="در انتظار"),"",IF(Q31="",TODAY(),Q31))</f>
        <v/>
      </c>
    </row>
    <row r="32" ht="54" customHeight="1">
      <c r="A32" s="99" t="inlineStr">
        <is>
          <t>CO-033</t>
        </is>
      </c>
      <c r="B32" s="143" t="inlineStr">
        <is>
          <t>آستانهٔ استراحت ۲۵٬۰۰۰ mV / بستهٔ دشارژ وصل نمی‌شود</t>
        </is>
      </c>
      <c r="C32" s="147" t="inlineStr">
        <is>
          <t>بالا</t>
        </is>
      </c>
      <c r="D32" s="143" t="inlineStr">
        <is>
          <t>برد در SAFE، برق شهر قطع، خروجی قطع</t>
        </is>
      </c>
      <c r="E32" s="145" t="inlineStr">
        <is>
          <t>گام ۱: از تست CO-008 شروع کن تا خروجی قطع شود.
گام ۲: ولتاژ را روی 23000 mV نگه دار و ۶۰ ثانیه بمان.
گام ۳: PB11 و چهرهٔ LED را بخوان: باید بسته و خاموش بماند و حکمی زده نشود.
گام ۴: ولتاژ را به 25500 mV برسان؛ بعد از حدود ۱۳ ثانیه باید یک بار وصل شود.
گام ۵: داخل ۶۰ ثانیه دوباره زیر 21000 mV بیاور؛ باید حکم قفل شود.</t>
        </is>
      </c>
      <c r="F32" s="144" t="inlineStr">
        <is>
          <t>input=false، v=23000 سپس 25500 سپس قطع دوباره</t>
        </is>
      </c>
      <c r="G32" s="144" t="inlineStr">
        <is>
          <t>۶۰s + ۲۰s + ۶۰s</t>
        </is>
      </c>
      <c r="H32" s="143" t="inlineStr">
        <is>
          <t>با استراحت ۲۳ ولت هیچ وصل و هیچ حکمی نمی‌شود؛ با ۲۵٫۵ ولت فقط یک بار وصل می‌شود و قطع دوباره حکم را قفل می‌کند. PASS: عدم وصل با ۲۳ ولت + یک تلاش با ۲۵٫۵ ولت. FAIL: وصل با ۲۳ ولت یا تلاش دوم.</t>
        </is>
      </c>
      <c r="I32" s="143" t="inlineStr">
        <is>
          <t>PASS: ۲۳ ولت بدون وصل، ۲۵٫۵ ولت یک تلاش. FAIL: وصل با ۲۳ ولت.</t>
        </is>
      </c>
      <c r="J32" s="104" t="n"/>
      <c r="K32" s="143" t="inlineStr">
        <is>
          <t>در انتظار</t>
        </is>
      </c>
      <c r="L32" s="115" t="n"/>
      <c r="M32" s="104" t="n"/>
      <c r="N32" s="143" t="inlineStr">
        <is>
          <t>2026-10-23</t>
        </is>
      </c>
      <c r="O32" s="82" t="n"/>
      <c r="P32" s="82" t="n"/>
      <c r="Q32" s="98">
        <f>IF(OR(L32="",L32="در انتظار"),"",IF(Q32="",TODAY(),Q32))</f>
        <v/>
      </c>
    </row>
    <row r="33" ht="54" customHeight="1">
      <c r="A33" s="99" t="inlineStr">
        <is>
          <t>CO-034</t>
        </is>
      </c>
      <c r="B33" s="143" t="inlineStr">
        <is>
          <t>حالت قطع بدون برق شهر / همهٔ چراغ‌ها و بوق خاموش</t>
        </is>
      </c>
      <c r="C33" s="147" t="inlineStr">
        <is>
          <t>متوسط</t>
        </is>
      </c>
      <c r="D33" s="143" t="inlineStr">
        <is>
          <t>برد در SAFE، برق شهر قطع، مسیر باتری بسته</t>
        </is>
      </c>
      <c r="E33" s="145" t="inlineStr">
        <is>
          <t>گام ۱: بگذار باتری زیر ۲۱۰۰۰ mV برود تا مسیر بسته شود.
گام ۲: هر سه چراغ و بوق را ۱۰ ثانیه با چشم و گوش ببین.
گام ۳: برق شهر را وصل کن و چراغ‌ها را دوباره بخوان.</t>
        </is>
      </c>
      <c r="F33" s="144" t="inlineStr">
        <is>
          <t>input=false، مسیر بسته</t>
        </is>
      </c>
      <c r="G33" s="144" t="inlineStr">
        <is>
          <t>۱۰s</t>
        </is>
      </c>
      <c r="H33" s="143" t="inlineStr">
        <is>
          <t>در حالت قطع و بدون برق شهر، هر سه چراغ و بوق کاملاً خاموش‌اند؛ با برگشت برق شهر چهرهٔ شارژ برمی‌گردد. PASS: خاموشی کامل. FAIL: هر چراغ یا بوق روشن.</t>
        </is>
      </c>
      <c r="I33" s="143" t="inlineStr">
        <is>
          <t>PASS: همه خاموش. FAIL: چراغ/بوق روشن.</t>
        </is>
      </c>
      <c r="J33" s="104" t="n"/>
      <c r="K33" s="143" t="inlineStr">
        <is>
          <t>در انتظار</t>
        </is>
      </c>
      <c r="L33" s="115" t="n"/>
      <c r="M33" s="104" t="n"/>
      <c r="N33" s="143" t="inlineStr">
        <is>
          <t>2026-10-23</t>
        </is>
      </c>
      <c r="O33" s="82" t="n"/>
      <c r="P33" s="82" t="n"/>
      <c r="Q33" s="98">
        <f>IF(OR(L33="",L33="در انتظار"),"",IF(Q33="",TODAY(),Q33))</f>
        <v/>
      </c>
    </row>
    <row r="34" ht="54" customHeight="1">
      <c r="A34" s="99" t="inlineStr">
        <is>
          <t>CO-035</t>
        </is>
      </c>
      <c r="B34" s="143" t="inlineStr">
        <is>
          <t>قطع سیم باتری بدون برق شهر / سکوت</t>
        </is>
      </c>
      <c r="C34" s="147" t="inlineStr">
        <is>
          <t>متوسط</t>
        </is>
      </c>
      <c r="D34" s="143" t="inlineStr">
        <is>
          <t>برد در BATTERY، برق شهر قطع، بار روشن</t>
        </is>
      </c>
      <c r="E34" s="145" t="inlineStr">
        <is>
          <t>گام ۱: برق شهر را قطع کن و مطمئن شو بار از باتری کار می‌کند.
گام ۲: سیم باتری را جدا کن تا ولتاژ خوانده‌شده صفر شود.
گام ۳: بعد از ۳ ثانیه PB11 و چهرهٔ LED و بوق را بخوان.
گام ۴: برق شهر را برگردان و ببین چهرهٔ شارژ برمی‌گردد.</t>
        </is>
      </c>
      <c r="F34" s="144" t="inlineStr">
        <is>
          <t>input=false، v≈0</t>
        </is>
      </c>
      <c r="G34" s="144" t="inlineStr">
        <is>
          <t>۵s</t>
        </is>
      </c>
      <c r="H34" s="143" t="inlineStr">
        <is>
          <t>مسیر بسته می‌شود، همه‌چیز خاموش می‌ماند و هیچ آلارمی نمی‌آید (تصمیم ۲۰۲۶-۱۰-۲۳). PASS: سکوت کامل. FAIL: هر آلارم یا چراغ.</t>
        </is>
      </c>
      <c r="I34" s="143" t="inlineStr">
        <is>
          <t>PASS: سکوت کامل. FAIL: آلارم.</t>
        </is>
      </c>
      <c r="J34" s="104" t="n"/>
      <c r="K34" s="143" t="inlineStr">
        <is>
          <t>در انتظار</t>
        </is>
      </c>
      <c r="L34" s="115" t="n"/>
      <c r="M34" s="104" t="n"/>
      <c r="N34" s="143" t="inlineStr">
        <is>
          <t>2026-10-23</t>
        </is>
      </c>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43" t="inlineStr">
        <is>
          <t>زمان از rtos_time</t>
        </is>
      </c>
      <c r="C6" s="144" t="inlineStr">
        <is>
          <t>متوسط</t>
        </is>
      </c>
      <c r="D6" s="143" t="inlineStr">
        <is>
          <t>هر زمان</t>
        </is>
      </c>
      <c r="E6" s="143"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44" t="inlineStr">
        <is>
          <t>کد review</t>
        </is>
      </c>
      <c r="G6" s="144" t="inlineStr">
        <is>
          <t>—</t>
        </is>
      </c>
      <c r="H6" s="143" t="inlineStr">
        <is>
          <t>زمان با rtos_time قابل‌حمل باشد، 3000ms با هر فرکانس تیک درست کار کند. PASS: portable. FAIL: فرض 1ms.</t>
        </is>
      </c>
      <c r="I6" s="143" t="inlineStr">
        <is>
          <t>PASS: portable via rtos_time. FAIL: hardcoded 1ms.</t>
        </is>
      </c>
      <c r="J6" s="104" t="n"/>
      <c r="K6" s="112" t="inlineStr">
        <is>
          <t>در انتظار</t>
        </is>
      </c>
      <c r="L6" s="113" t="n"/>
      <c r="M6" s="100" t="n"/>
      <c r="N6" s="143" t="inlineStr">
        <is>
          <t>c6b084f28f2c507cfd342e5dbd0dbd8e45686772</t>
        </is>
      </c>
      <c r="O6" s="101" t="n"/>
      <c r="P6" s="101" t="n"/>
      <c r="Q6" s="148">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43" t="inlineStr">
        <is>
          <t>snapshot zeroing task_control</t>
        </is>
      </c>
      <c r="C8" s="147" t="inlineStr">
        <is>
          <t>بالا</t>
        </is>
      </c>
      <c r="D8" s="143" t="inlineStr">
        <is>
          <t>MODULE_MEASUREMENT=0 یا GetSnapshot=false</t>
        </is>
      </c>
      <c r="E8" s="143"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44" t="inlineStr">
        <is>
          <t>valid=false</t>
        </is>
      </c>
      <c r="G8" s="144" t="inlineStr">
        <is>
          <t>3500ms</t>
        </is>
      </c>
      <c r="H8" s="143"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43" t="inlineStr">
        <is>
          <t>امن</t>
        </is>
      </c>
      <c r="J8" s="143" t="inlineStr">
        <is>
          <t>بدون تصمیم بر اساس زباله؛ PB11 حفظ</t>
        </is>
      </c>
      <c r="K8" s="100" t="n"/>
      <c r="L8" s="117" t="inlineStr">
        <is>
          <t>نیاز به تکرار</t>
        </is>
      </c>
      <c r="M8" s="100" t="n"/>
      <c r="N8" s="100" t="n"/>
      <c r="O8" s="144" t="inlineStr">
        <is>
          <t>62f3782</t>
        </is>
      </c>
      <c r="P8" s="101" t="n"/>
      <c r="Q8" s="148" t="inlineStr">
        <is>
          <t>2026-10-12</t>
        </is>
      </c>
    </row>
    <row r="9" ht="54" customHeight="1">
      <c r="A9" s="99" t="inlineStr">
        <is>
          <t>CO-031</t>
        </is>
      </c>
      <c r="B9" s="143" t="inlineStr">
        <is>
          <t>نمایش حکم باتری ضعیف در پنل کالیبراسیون و پنل کاربری</t>
        </is>
      </c>
      <c r="C9" s="147" t="inlineStr">
        <is>
          <t>متوسط</t>
        </is>
      </c>
      <c r="D9" s="143" t="inlineStr">
        <is>
          <t>حکم قفل روی برد</t>
        </is>
      </c>
      <c r="E9" s="143" t="inlineStr">
        <is>
          <t>گام ۱: روی برد حکم باتری ضعیف را قفل کن (یا در تست هاست بیت `0x10` را در بایت وضعیت بگذار).
گام ۲: پنل کالیبراسیون را باز کن: چراغ «باتری ضعیف» در نوار خطاهای قفل‌شده باید قرمز شود و کارت ۸ باید بگوید حکم قفل است و مسیر باتری بسته مانده.
گام ۳: روی همان چراغ کلیک کن؛ باید کارت ۸ باز شود.
گام ۴: حکم را پاک کن؛ چراغ باید سبز و خط وضعیت باید بگوید حکم قفل نیست.
گام ۵: در پنل کاربری ESP، پیام بالای صفحه باید «باتری ضعیف» را با همان توضیح نشان دهد.</t>
        </is>
      </c>
      <c r="F9" s="144" t="inlineStr">
        <is>
          <t>bit 0x10 = 1 سپس 0</t>
        </is>
      </c>
      <c r="G9" s="144" t="inlineStr">
        <is>
          <t>—</t>
        </is>
      </c>
      <c r="H9" s="143" t="inlineStr">
        <is>
          <t>هر دو پنل حکم را از همان بیت فریم زنده بخوانند؛ چراغ همیشه سوار باشد (سبز/قرمز) و کلیکش کارت ۸ را باز کند. PASS: نمایش درست در هر دو پنل. FAIL: چراغ نبودن یا متن نادرست.</t>
        </is>
      </c>
      <c r="I9" s="143" t="inlineStr">
        <is>
          <t>PASS: weak lamp + status line in both panels. FAIL: no lamp.</t>
        </is>
      </c>
      <c r="J9" s="143" t="n"/>
      <c r="K9" s="100" t="inlineStr">
        <is>
          <t>در انتظار</t>
        </is>
      </c>
      <c r="L9" s="117" t="n"/>
      <c r="M9" s="100" t="n"/>
      <c r="N9" s="100" t="inlineStr">
        <is>
          <t>2026-10-23</t>
        </is>
      </c>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149"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141" t="inlineStr">
        <is>
          <t>موضوع</t>
        </is>
      </c>
      <c r="B3" s="141" t="inlineStr">
        <is>
          <t>شرط / مقدار (از کد)</t>
        </is>
      </c>
      <c r="C3" s="141" t="inlineStr">
        <is>
          <t>رفتار مورد انتظار</t>
        </is>
      </c>
      <c r="D3" s="141" t="inlineStr">
        <is>
          <t>ثابت / محل کد</t>
        </is>
      </c>
      <c r="E3" s="141" t="inlineStr">
        <is>
          <t>توضیح تکمیلی</t>
        </is>
      </c>
      <c r="F3" s="141"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37" t="inlineStr">
        <is>
          <t>ثبت ایرادهای مشاهده‌شده روی برد</t>
        </is>
      </c>
    </row>
    <row r="2" ht="30" customHeight="1">
      <c r="A2" s="138"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1" t="inlineStr">
        <is>
          <t>شماره ایراد</t>
        </is>
      </c>
      <c r="B3" s="141" t="inlineStr">
        <is>
          <t>شناسه تست</t>
        </is>
      </c>
      <c r="C3" s="141" t="inlineStr">
        <is>
          <t>تاریخ کشف</t>
        </is>
      </c>
      <c r="D3" s="141" t="inlineStr">
        <is>
          <t>شدت</t>
        </is>
      </c>
      <c r="E3" s="141" t="inlineStr">
        <is>
          <t>شرح کوتاه ایراد</t>
        </is>
      </c>
      <c r="F3" s="141" t="inlineStr">
        <is>
          <t>مراحل بازتولید</t>
        </is>
      </c>
      <c r="G3" s="141" t="inlineStr">
        <is>
          <t>انتظار</t>
        </is>
      </c>
      <c r="H3" s="141" t="inlineStr">
        <is>
          <t>واقعیت</t>
        </is>
      </c>
      <c r="I3" s="141" t="inlineStr">
        <is>
          <t>مدرک / مسیر عکس یا scope</t>
        </is>
      </c>
      <c r="J3" s="141" t="inlineStr">
        <is>
          <t>نسخهٔ برنامه</t>
        </is>
      </c>
      <c r="K3" s="141" t="inlineStr">
        <is>
          <t>محل احتمالی</t>
        </is>
      </c>
      <c r="L3" s="141" t="inlineStr">
        <is>
          <t>وضعیت ایراد</t>
        </is>
      </c>
      <c r="M3" s="141" t="inlineStr">
        <is>
          <t>تأیید رفع / توضیحات</t>
        </is>
      </c>
    </row>
    <row r="4" ht="90" customHeight="1">
      <c r="A4" s="162" t="inlineStr">
        <is>
          <t>IR-001</t>
        </is>
      </c>
      <c r="B4" s="162" t="inlineStr">
        <is>
          <t>CO-027</t>
        </is>
      </c>
      <c r="C4" s="162" t="inlineStr">
        <is>
          <t>2026-10-22</t>
        </is>
      </c>
      <c r="D4" s="162" t="inlineStr">
        <is>
          <t>بالا</t>
        </is>
      </c>
      <c r="E4" s="162" t="inlineStr">
        <is>
          <t>قطبیت PB11 برعکس بود: با قطع ورودی، باتری به خروجی نمی‌رسید</t>
        </is>
      </c>
      <c r="F4" s="162" t="inlineStr">
        <is>
          <t>گام ۱: ورودی ۲۴ ولت را جدا کن. گام ۲: باتری سالم (بالای ۲۴ ولت) وصل باشد. گام ۳: خروجی و پایهٔ ۲۲ میکرو را اندازه بگیر.</t>
        </is>
      </c>
      <c r="G4" s="162" t="inlineStr">
        <is>
          <t>باتری روی خروجی بیاید و خروجی ۲۴ ولت شود</t>
        </is>
      </c>
      <c r="H4" s="162" t="inlineStr">
        <is>
          <t>خروجی مرده ماند و پایهٔ ۲۲ حدود ۳٫۳ ولت (سطح بالا) بود</t>
        </is>
      </c>
      <c r="I4" s="162" t="inlineStr">
        <is>
          <t>شماتیک Circuit/ChangeOver(24V_DC).pdf صفحهٔ ChangeOver: PB11 → R45 → بیس Q17</t>
        </is>
      </c>
      <c r="J4" s="162" t="inlineStr">
        <is>
          <t>v2 (بیلد جاری)</t>
        </is>
      </c>
      <c r="K4" s="162" t="inlineStr">
        <is>
          <t>Firmware/Config/Inc/board_pins.h</t>
        </is>
      </c>
      <c r="L4" s="162" t="inlineStr">
        <is>
          <t>رفع شد</t>
        </is>
      </c>
      <c r="M4" s="162" t="inlineStr">
        <is>
          <t>قطبیت PROTECT_BATT به active-high اصلاح شد؛ Init یک‌بار مسیر باتری را وصل می‌کند؛ تست هاست BSP همین قطبیت را می‌سنجد</t>
        </is>
      </c>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50" t="inlineStr"/>
      <c r="B6" s="150" t="inlineStr"/>
      <c r="C6" s="150" t="inlineStr"/>
      <c r="D6" s="150" t="inlineStr"/>
      <c r="E6" s="150" t="inlineStr"/>
      <c r="F6" s="150" t="inlineStr"/>
      <c r="G6" s="150" t="inlineStr"/>
      <c r="H6" s="150" t="inlineStr"/>
      <c r="I6" s="150" t="inlineStr"/>
      <c r="J6" s="150" t="inlineStr"/>
      <c r="K6" s="150" t="inlineStr"/>
      <c r="L6" s="150" t="inlineStr"/>
      <c r="M6" s="150"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50" t="inlineStr"/>
      <c r="B8" s="150" t="inlineStr"/>
      <c r="C8" s="150" t="inlineStr"/>
      <c r="D8" s="150" t="inlineStr"/>
      <c r="E8" s="150" t="inlineStr"/>
      <c r="F8" s="150" t="inlineStr"/>
      <c r="G8" s="150" t="inlineStr"/>
      <c r="H8" s="150" t="inlineStr"/>
      <c r="I8" s="150" t="inlineStr"/>
      <c r="J8" s="150" t="inlineStr"/>
      <c r="K8" s="150" t="inlineStr"/>
      <c r="L8" s="150" t="inlineStr"/>
      <c r="M8" s="150"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50" t="inlineStr"/>
      <c r="B10" s="150" t="inlineStr"/>
      <c r="C10" s="150" t="inlineStr"/>
      <c r="D10" s="150" t="inlineStr"/>
      <c r="E10" s="150" t="inlineStr"/>
      <c r="F10" s="150" t="inlineStr"/>
      <c r="G10" s="150" t="inlineStr"/>
      <c r="H10" s="150" t="inlineStr"/>
      <c r="I10" s="150" t="inlineStr"/>
      <c r="J10" s="150" t="inlineStr"/>
      <c r="K10" s="150" t="inlineStr"/>
      <c r="L10" s="150" t="inlineStr"/>
      <c r="M10" s="150"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50" t="inlineStr"/>
      <c r="B12" s="150" t="inlineStr"/>
      <c r="C12" s="150" t="inlineStr"/>
      <c r="D12" s="150" t="inlineStr"/>
      <c r="E12" s="150" t="inlineStr"/>
      <c r="F12" s="150" t="inlineStr"/>
      <c r="G12" s="150" t="inlineStr"/>
      <c r="H12" s="150" t="inlineStr"/>
      <c r="I12" s="150" t="inlineStr"/>
      <c r="J12" s="150" t="inlineStr"/>
      <c r="K12" s="150" t="inlineStr"/>
      <c r="L12" s="150" t="inlineStr"/>
      <c r="M12" s="150"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37"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140" t="inlineStr">
        <is>
          <t>مشخصات تست</t>
        </is>
      </c>
    </row>
    <row r="4" ht="14" customHeight="1">
      <c r="A4" s="155" t="inlineStr">
        <is>
          <t>پروژه</t>
        </is>
      </c>
      <c r="B4" s="92" t="inlineStr">
        <is>
          <t>ChangeOver</t>
        </is>
      </c>
      <c r="C4" s="155" t="inlineStr">
        <is>
          <t>ماژول</t>
        </is>
      </c>
      <c r="D4" s="92" t="inlineStr">
        <is>
          <t>Changeover — PB11</t>
        </is>
      </c>
      <c r="E4" s="93" t="n"/>
      <c r="F4" s="9" t="n"/>
    </row>
    <row r="5" ht="14" customHeight="1">
      <c r="A5" s="155" t="inlineStr">
        <is>
          <t>تاریخ ساخت فرم</t>
        </is>
      </c>
      <c r="B5" s="92" t="inlineStr">
        <is>
          <t>2026-10-23 (2.2 — آستانهٔ استراحت ۲۵٬۰۰۰ mV)</t>
        </is>
      </c>
      <c r="C5" s="155" t="inlineStr">
        <is>
          <t>2.2</t>
        </is>
      </c>
      <c r="D5" s="92" t="inlineStr">
        <is>
          <t>2.2 — آستانهٔ استراحت ۲۵٬۰۰۰ mV</t>
        </is>
      </c>
      <c r="E5" s="93" t="n"/>
      <c r="F5" s="9" t="n"/>
    </row>
    <row r="6" ht="14" customHeight="1">
      <c r="A6" s="155" t="inlineStr">
        <is>
          <t>نسخهٔ برنامه</t>
        </is>
      </c>
      <c r="B6" s="92" t="inlineStr">
        <is>
          <t>نسخهٔ برنامهٔ فلش‌شده (تست‌کننده پر کند)</t>
        </is>
      </c>
      <c r="C6" s="155" t="inlineStr">
        <is>
          <t>شناسه برد</t>
        </is>
      </c>
      <c r="D6" s="127" t="inlineStr"/>
      <c r="E6" s="93" t="n"/>
      <c r="F6" s="9" t="n"/>
    </row>
    <row r="7" ht="14" customHeight="1">
      <c r="A7" s="155" t="inlineStr">
        <is>
          <t>تست‌کننده اصلی</t>
        </is>
      </c>
      <c r="B7" s="127" t="inlineStr"/>
      <c r="C7" s="155" t="inlineStr">
        <is>
          <t>تاریخ شروع</t>
        </is>
      </c>
      <c r="D7" s="127" t="inlineStr"/>
      <c r="E7" s="93" t="n"/>
      <c r="F7" s="9" t="n"/>
    </row>
    <row r="8" ht="14" customHeight="1">
      <c r="A8" s="155" t="inlineStr">
        <is>
          <t>تاریخ پایان</t>
        </is>
      </c>
      <c r="B8" s="127" t="inlineStr"/>
      <c r="C8" s="155" t="inlineStr">
        <is>
          <t>ابزار اندازه‌گیری</t>
        </is>
      </c>
      <c r="D8" s="151" t="inlineStr">
        <is>
          <t>منبع آزمایشگاهی + DMM + اسیلوسکوپ + تایمر RTOS</t>
        </is>
      </c>
      <c r="E8" s="93" t="n"/>
      <c r="F8" s="9" t="n"/>
    </row>
    <row r="9" ht="14" customHeight="1">
      <c r="A9" s="155" t="inlineStr">
        <is>
          <t>فرکانس تیک</t>
        </is>
      </c>
      <c r="B9" s="152" t="inlineStr">
        <is>
          <t>از osKernelGetTickFreq (قابل‌حمل)</t>
        </is>
      </c>
      <c r="C9" s="155" t="inlineStr"/>
      <c r="D9" s="127" t="inlineStr"/>
      <c r="E9" s="93" t="n"/>
      <c r="F9" s="9" t="n"/>
    </row>
    <row r="10" ht="14" customHeight="1">
      <c r="A10" s="155" t="inlineStr">
        <is>
          <t>فرکانس تیک</t>
        </is>
      </c>
      <c r="B10" s="151" t="inlineStr">
        <is>
          <t>از osKernelGetTickFreq (قابل‌حمل)</t>
        </is>
      </c>
      <c r="C10" s="155" t="inlineStr"/>
      <c r="D10" s="127" t="inlineStr"/>
      <c r="E10" s="93" t="n"/>
      <c r="F10" s="93" t="n"/>
    </row>
    <row r="11" ht="14" customHeight="1">
      <c r="A11" s="155" t="inlineStr">
        <is>
          <t>آستانه‌ها</t>
        </is>
      </c>
      <c r="B11" s="152" t="inlineStr">
        <is>
          <t>21000/20800/21200 + استراحت 25000</t>
        </is>
      </c>
      <c r="C11" s="155" t="inlineStr"/>
      <c r="D11" s="127" t="inlineStr"/>
      <c r="E11" s="93" t="n"/>
      <c r="F11" s="93" t="n"/>
    </row>
    <row r="12" ht="14" customHeight="1">
      <c r="A12" s="155" t="inlineStr">
        <is>
          <t>فیلتر</t>
        </is>
      </c>
      <c r="B12" s="151" t="inlineStr">
        <is>
          <t>3000ms</t>
        </is>
      </c>
      <c r="C12" s="155" t="inlineStr"/>
      <c r="D12" s="127" t="inlineStr"/>
      <c r="E12" s="93" t="n"/>
      <c r="F12" s="93" t="n"/>
    </row>
    <row r="13" ht="14" customHeight="1">
      <c r="A13" s="155" t="inlineStr">
        <is>
          <t>مجاز pin</t>
        </is>
      </c>
      <c r="B13" s="152" t="inlineStr">
        <is>
          <t>فقط BSP_GPIO_PROTECT_BATTERY</t>
        </is>
      </c>
      <c r="C13" s="155" t="inlineStr"/>
      <c r="D13" s="127" t="inlineStr"/>
      <c r="E13" s="93" t="n"/>
      <c r="F13" s="93" t="n"/>
    </row>
    <row r="14" ht="14" customHeight="1">
      <c r="A14" s="155" t="inlineStr">
        <is>
          <t>ممنوع</t>
        </is>
      </c>
      <c r="B14" s="151" t="inlineStr">
        <is>
          <t>PB5/PB7/HAL/board_pins</t>
        </is>
      </c>
      <c r="C14" s="155" t="inlineStr"/>
      <c r="D14" s="127" t="inlineStr"/>
      <c r="E14" s="93" t="n"/>
      <c r="F14" s="93" t="n"/>
    </row>
    <row r="15">
      <c r="A15" s="140" t="inlineStr">
        <is>
          <t>خلاصه خودکار وضعیت تست‌ها (پس از تست برد پر شود)</t>
        </is>
      </c>
    </row>
    <row r="16">
      <c r="A16" s="141" t="inlineStr">
        <is>
          <t>شاخص</t>
        </is>
      </c>
      <c r="B16" s="141" t="inlineStr">
        <is>
          <t>مقدار</t>
        </is>
      </c>
      <c r="C16" s="141" t="inlineStr">
        <is>
          <t>توضیح</t>
        </is>
      </c>
      <c r="D16" s="141" t="inlineStr">
        <is>
          <t>فرمول پیشنهادی</t>
        </is>
      </c>
      <c r="E16" s="8" t="n"/>
      <c r="F16" s="9" t="n"/>
    </row>
    <row r="17" ht="13" customHeight="1">
      <c r="A17" s="153" t="inlineStr">
        <is>
          <t>تعداد کل تست‌ها</t>
        </is>
      </c>
      <c r="B17" s="128">
        <f>COUNTA('برنامه تست'!A5:A200)</f>
        <v/>
      </c>
      <c r="C17" s="152" t="inlineStr">
        <is>
          <t>کل ردیف‌های برنامه تست</t>
        </is>
      </c>
      <c r="D17" s="92" t="inlineStr"/>
      <c r="E17" s="8" t="n"/>
      <c r="F17" s="9" t="n"/>
    </row>
    <row r="18" ht="13" customHeight="1">
      <c r="A18" s="153" t="inlineStr">
        <is>
          <t>تعداد قبول (PASS)</t>
        </is>
      </c>
      <c r="B18" s="128">
        <f>COUNTIF('برنامه تست'!K5:K200,"قبول")</f>
        <v/>
      </c>
      <c r="C18" s="151" t="inlineStr">
        <is>
          <t>تعداد ردیف با وضعیت = قبول</t>
        </is>
      </c>
      <c r="D18" s="151" t="inlineStr">
        <is>
          <t>COUNTIF('برنامه تست'!K5:K200,"قبول")</t>
        </is>
      </c>
      <c r="E18" s="8" t="n"/>
      <c r="F18" s="9" t="n"/>
    </row>
    <row r="19" ht="13" customHeight="1">
      <c r="A19" s="153" t="inlineStr">
        <is>
          <t>تعداد رد (FAIL)</t>
        </is>
      </c>
      <c r="B19" s="128">
        <f>COUNTIF('برنامه تست'!K5:K200,"رد")</f>
        <v/>
      </c>
      <c r="C19" s="152" t="inlineStr">
        <is>
          <t>تعداد ردیف با وضعیت = رد</t>
        </is>
      </c>
      <c r="D19" s="152" t="inlineStr">
        <is>
          <t>COUNTIF('برنامه تست'!K5:K200,"رد")</t>
        </is>
      </c>
      <c r="E19" s="8" t="n"/>
      <c r="F19" s="9" t="n"/>
    </row>
    <row r="20" ht="13" customHeight="1">
      <c r="A20" s="153" t="inlineStr">
        <is>
          <t>تعداد در انتظار</t>
        </is>
      </c>
      <c r="B20" s="128">
        <f>COUNTIF('برنامه تست'!K5:K200,"در انتظار")</f>
        <v/>
      </c>
      <c r="C20" s="151" t="inlineStr">
        <is>
          <t>تعداد ردیف با وضعیت = در انتظار</t>
        </is>
      </c>
      <c r="D20" s="151" t="inlineStr">
        <is>
          <t>COUNTIF('برنامه تست'!K5:K200,"در انتظار")</t>
        </is>
      </c>
      <c r="E20" s="8" t="n"/>
      <c r="F20" s="9" t="n"/>
    </row>
    <row r="21" ht="13" customHeight="1">
      <c r="A21" s="153" t="inlineStr">
        <is>
          <t>تعداد مسدود</t>
        </is>
      </c>
      <c r="B21" s="128">
        <f>COUNTIF('برنامه تست'!K5:K200,"مسدود")</f>
        <v/>
      </c>
      <c r="C21" s="152" t="inlineStr">
        <is>
          <t>تعداد ردیف با وضعیت = مسدود</t>
        </is>
      </c>
      <c r="D21" s="92" t="inlineStr"/>
      <c r="E21" s="8" t="n"/>
      <c r="F21" s="9" t="n"/>
    </row>
    <row r="22" ht="13" customHeight="1">
      <c r="A22" s="153" t="inlineStr">
        <is>
          <t>نرخ قبولی</t>
        </is>
      </c>
      <c r="B22" s="128">
        <f>IF(B17=0,"",TEXT(B18/B17,"0%"))</f>
        <v/>
      </c>
      <c r="C22" s="151" t="inlineStr">
        <is>
          <t>PASS / TOTAL</t>
        </is>
      </c>
      <c r="D22" s="92" t="inlineStr"/>
      <c r="E22" s="8" t="n"/>
      <c r="F22" s="9" t="n"/>
    </row>
    <row r="23">
      <c r="A23" s="140" t="inlineStr">
        <is>
          <t>امضاها</t>
        </is>
      </c>
    </row>
    <row r="24" ht="18" customHeight="1">
      <c r="A24" s="141" t="inlineStr">
        <is>
          <t>نقش</t>
        </is>
      </c>
      <c r="B24" s="141" t="inlineStr">
        <is>
          <t>نام و نام خانوادگی</t>
        </is>
      </c>
      <c r="C24" s="141" t="inlineStr">
        <is>
          <t>تاریخ</t>
        </is>
      </c>
      <c r="D24" s="141" t="inlineStr">
        <is>
          <t>امضا</t>
        </is>
      </c>
      <c r="E24" s="141" t="inlineStr">
        <is>
          <t>توضیحات</t>
        </is>
      </c>
      <c r="F24" s="9" t="n"/>
    </row>
    <row r="25" ht="22" customHeight="1">
      <c r="A25" s="153" t="inlineStr">
        <is>
          <t>تست‌کننده</t>
        </is>
      </c>
      <c r="B25" s="92" t="inlineStr"/>
      <c r="C25" s="92" t="inlineStr"/>
      <c r="D25" s="92" t="inlineStr"/>
      <c r="E25" s="92" t="inlineStr"/>
      <c r="F25" s="9" t="n"/>
    </row>
    <row r="26" ht="22" customHeight="1">
      <c r="A26" s="153" t="inlineStr">
        <is>
          <t>بازبین فنی</t>
        </is>
      </c>
      <c r="B26" s="92" t="inlineStr"/>
      <c r="C26" s="92" t="inlineStr"/>
      <c r="D26" s="92" t="inlineStr"/>
      <c r="E26" s="92" t="inlineStr"/>
      <c r="F26" s="9" t="n"/>
    </row>
    <row r="27" ht="22" customHeight="1">
      <c r="A27" s="153" t="inlineStr">
        <is>
          <t>تأیید نهایی</t>
        </is>
      </c>
      <c r="B27" s="92" t="inlineStr"/>
      <c r="C27" s="92" t="inlineStr"/>
      <c r="D27" s="92" t="inlineStr"/>
      <c r="E27" s="92" t="inlineStr"/>
      <c r="F27" s="9" t="n"/>
    </row>
    <row r="28">
      <c r="A28" s="154"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0"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140"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140"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140"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3" ht="24" customHeight="1">
      <c r="A3" s="32" t="inlineStr">
        <is>
          <t>حالت‌ها و گذارهای همین ماژول</t>
        </is>
      </c>
      <c r="B3" s="33" t="inlineStr">
        <is>
          <t>Changeover_State_Machine.xlsx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2026-09-16T16:35:39Z</dcterms:created>
  <dcterms:modified xmlns:dcterms="http://purl.org/dc/terms/" xmlns:xsi="http://www.w3.org/2001/XMLSchema-instance" xsi:type="dcterms:W3CDTF">2026-10-23T08:52:45Z</dcterms:modified>
</cp:coreProperties>
</file>