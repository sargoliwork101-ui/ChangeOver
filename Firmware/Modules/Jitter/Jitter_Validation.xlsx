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visible" r:id="rId6"/>
    <sheet name="ماشین حالت" sheetId="7" state="visible" r:id="rId7"/>
  </sheets>
  <definedNames>
    <definedName name="_xlnm._FilterDatabase" localSheetId="1" hidden="1">'برنامه تست'!$A$4:$Q$12</definedName>
    <definedName name="_xlnm.Print_Titles" localSheetId="1">'برنامه تست'!$4:$4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8"/>
    </font>
    <font>
      <name val="Calibri"/>
      <b val="1"/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  <font>
      <name val="Tahoma"/>
      <b val="1"/>
      <sz val="10"/>
    </font>
    <font>
      <name val="Tahoma"/>
      <sz val="8"/>
    </font>
    <font>
      <name val="Tahoma"/>
      <b val="1"/>
      <sz val="8"/>
    </font>
    <font>
      <name val="Tahoma"/>
      <color theme="1"/>
      <sz val="11"/>
    </font>
    <font>
      <name val="Tahoma"/>
      <b val="1"/>
      <color rgb="00FFFFFF"/>
      <sz val="14"/>
    </font>
    <font>
      <name val="Tahoma"/>
      <color rgb="000563C1"/>
      <sz val="10"/>
      <u val="single"/>
    </font>
    <font>
      <name val="Tahoma"/>
      <sz val="10"/>
    </font>
    <font>
      <name val="Tahoma"/>
      <b val="1"/>
      <color rgb="00FFFFFF"/>
      <sz val="11"/>
    </font>
    <font>
      <name val="Tahoma"/>
      <b val="1"/>
      <color rgb="001F3864"/>
      <sz val="13"/>
    </font>
    <font>
      <name val="Tahoma"/>
      <b val="1"/>
      <color rgb="00C00000"/>
      <sz val="10"/>
    </font>
    <font>
      <name val="Tahoma"/>
      <color rgb="000563C1"/>
      <sz val="8"/>
      <u val="single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F2F6F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8" fillId="5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right" vertical="center" wrapText="1"/>
    </xf>
    <xf numFmtId="0" fontId="17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164" fontId="14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right" vertical="center" wrapText="1"/>
    </xf>
    <xf numFmtId="0" fontId="17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164" fontId="14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13" fillId="0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2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../Config/Inc/board_pins.h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../../Config/Inc/board_pins.h" TargetMode="External" Id="rId1" /><Relationship Type="http://schemas.openxmlformats.org/officeDocument/2006/relationships/hyperlink" Target="../Charger/charger.c" TargetMode="External" Id="rId2" /><Relationship Type="http://schemas.openxmlformats.org/officeDocument/2006/relationships/hyperlink" Target="../../Bsp/Src/bsp_exti.c" TargetMode="External" Id="rId3" /><Relationship Type="http://schemas.openxmlformats.org/officeDocument/2006/relationships/hyperlink" Target="../Charger/charger.c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Jitter_State_Machine.xlsx" TargetMode="External" Id="rId1" /><Relationship Type="http://schemas.openxmlformats.org/officeDocument/2006/relationships/hyperlink" Target="../../../Documentation/System_State_Machine.xlsx" TargetMode="External" Id="rId2" /><Relationship Type="http://schemas.openxmlformats.org/officeDocument/2006/relationships/hyperlink" Target="../../../tools/make_module_state_machines.py" TargetMode="External" Id="rId3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برگه تست و اعتبارسنجی عملی ماژول Jitter</t>
        </is>
      </c>
    </row>
    <row r="2">
      <c r="A2" s="13" t="inlineStr">
        <is>
          <t>Jitter | مصرف رویدادهای EXTI مقایسه‌گر LM393 (PB2/PB6) و صف احیای تک‌تک JIT شارژر</t>
        </is>
      </c>
    </row>
    <row r="3" ht="30" customHeight="1">
      <c r="A3" s="14" t="inlineStr">
        <is>
          <t>هدف فایل</t>
        </is>
      </c>
    </row>
    <row r="4">
      <c r="A4" s="2" t="inlineStr"/>
    </row>
    <row r="5">
      <c r="A5" s="13" t="inlineStr">
        <is>
          <t>ورودی‌های open-collector LM393 با عبور جریان از آستانه low می‌شوند؛ firmware روی falling edge تنظیم و low بودن پایه را دوباره چک می‌کند.</t>
        </is>
      </c>
    </row>
    <row r="6">
      <c r="A6" s="13" t="inlineStr">
        <is>
          <t>func__BspExti_TakeEvent اتمیک است (PRIMASK)؛ رویداد گم نمی‌شود.</t>
        </is>
      </c>
    </row>
    <row r="7">
      <c r="A7" s="13" t="inlineStr">
        <is>
          <t>احیای کانال‌های تریپ‌شده تک‌تک و به ترتیب انجام می‌شود.</t>
        </is>
      </c>
    </row>
    <row r="8">
      <c r="A8" s="2" t="inlineStr"/>
    </row>
    <row r="9">
      <c r="A9" s="13" t="inlineStr">
        <is>
          <t>هشدار: تریپ عمدی JIT با جریان واقعی فقط با منبع محدودشده و زیر نظارت.</t>
        </is>
      </c>
    </row>
  </sheetData>
  <mergeCells count="9">
    <mergeCell ref="A8"/>
    <mergeCell ref="A6"/>
    <mergeCell ref="A9"/>
    <mergeCell ref="A4"/>
    <mergeCell ref="A3"/>
    <mergeCell ref="A7"/>
    <mergeCell ref="A2"/>
    <mergeCell ref="A5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52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15" t="inlineStr">
        <is>
          <t>برنامهٔ تست عملی — ماژول Jitter</t>
        </is>
      </c>
    </row>
    <row r="2">
      <c r="A2" s="13" t="inlineStr">
        <is>
          <t>وضعیت فقط یکی از: در انتظار / قبول / رد / مسدود / نیاز به تکرار. تست Host جایگزین تست برد نیست.</t>
        </is>
      </c>
    </row>
    <row r="3">
      <c r="A3" s="13" t="inlineStr">
        <is>
          <t>برای هر ردیف پیش‌شرط، ورودی، انتظار و معیار قبولی صریح است؛ نتیجهٔ واقعی فقط با اندازه‌گیری روی برد پر می‌شود.</t>
        </is>
      </c>
    </row>
    <row r="4" ht="30" customHeight="1">
      <c r="A4" s="14" t="inlineStr">
        <is>
          <t>شناسه</t>
        </is>
      </c>
      <c r="B4" s="14" t="inlineStr">
        <is>
          <t>دسته</t>
        </is>
      </c>
      <c r="C4" s="14" t="inlineStr">
        <is>
          <t>اولویت</t>
        </is>
      </c>
      <c r="D4" s="14" t="inlineStr">
        <is>
          <t>پیش‌شرط</t>
        </is>
      </c>
      <c r="E4" s="14" t="inlineStr">
        <is>
          <t>روش اجرای دقیق</t>
        </is>
      </c>
      <c r="F4" s="14" t="inlineStr">
        <is>
          <t>ورودی‌ها / شرایط</t>
        </is>
      </c>
      <c r="G4" s="14" t="inlineStr">
        <is>
          <t>مدت مشاهده</t>
        </is>
      </c>
      <c r="H4" s="14" t="inlineStr">
        <is>
          <t>رفتار مورد انتظار</t>
        </is>
      </c>
      <c r="I4" s="14" t="inlineStr">
        <is>
          <t>وضعیت حفظ / latch</t>
        </is>
      </c>
      <c r="J4" s="14" t="inlineStr">
        <is>
          <t>معیار قبولی</t>
        </is>
      </c>
      <c r="K4" s="14" t="inlineStr">
        <is>
          <t>نتیجهٔ واقعی / اندازه‌گیری</t>
        </is>
      </c>
      <c r="L4" s="14" t="inlineStr">
        <is>
          <t>وضعیت</t>
        </is>
      </c>
      <c r="M4" s="14" t="inlineStr">
        <is>
          <t>شرح ایراد / تفاوت</t>
        </is>
      </c>
      <c r="N4" s="14" t="inlineStr">
        <is>
          <t>مدرک تست / scope</t>
        </is>
      </c>
      <c r="O4" s="14" t="inlineStr">
        <is>
          <t>commit</t>
        </is>
      </c>
      <c r="P4" s="14" t="inlineStr">
        <is>
          <t>نام تست‌کننده</t>
        </is>
      </c>
      <c r="Q4" s="14" t="inlineStr">
        <is>
          <t>تاریخ</t>
        </is>
      </c>
    </row>
    <row r="5" ht="54" customHeight="1">
      <c r="A5" s="16" t="inlineStr">
        <is>
          <t>JT-001</t>
        </is>
      </c>
      <c r="B5" s="17" t="inlineStr">
        <is>
          <t>نگاشت EXTI</t>
        </is>
      </c>
      <c r="C5" s="18" t="inlineStr">
        <is>
          <t>بالا</t>
        </is>
      </c>
      <c r="D5" s="17" t="inlineStr">
        <is>
          <t>برد خاموش</t>
        </is>
      </c>
      <c r="E5" s="40" t="inlineStr">
        <is>
          <t>گام ۱: شماتیک برد و فایل board_pins.h را کنار کد بگذار.
گام ۲: این نگاشت‌ها را یکی‌یکی چک کن: PB2 = JITTER1 و PB6 = JITTER2.
گام ۳: قطبیت را هم چک کن: هر دو باید لبهٔ پایین‌رونده (falling) و active-low باشند.
گام ۴: قبولی فقط با تطابق کامل هر دو پایه است.</t>
        </is>
      </c>
      <c r="F5" s="19" t="inlineStr">
        <is>
          <t>PB2=JITTER1، PB6=JITTER2</t>
        </is>
      </c>
      <c r="G5" s="19" t="inlineStr">
        <is>
          <t>—</t>
        </is>
      </c>
      <c r="H5" s="17" t="inlineStr">
        <is>
          <t>نگاشت درست؛ falling edge؛ active-low</t>
        </is>
      </c>
      <c r="I5" s="17" t="inlineStr">
        <is>
          <t>ثابت</t>
        </is>
      </c>
      <c r="J5" s="17" t="inlineStr">
        <is>
          <t>PASS: تطابق</t>
        </is>
      </c>
      <c r="K5" s="17" t="inlineStr"/>
      <c r="L5" s="20" t="inlineStr">
        <is>
          <t>در انتظار</t>
        </is>
      </c>
      <c r="M5" s="17" t="inlineStr"/>
      <c r="N5" s="17" t="inlineStr"/>
      <c r="O5" s="19" t="inlineStr">
        <is>
          <t>TESTER: fill</t>
        </is>
      </c>
      <c r="P5" s="19" t="inlineStr"/>
      <c r="Q5" s="21" t="inlineStr">
        <is>
          <t>2026-09-23</t>
        </is>
      </c>
    </row>
    <row r="6" ht="40.5" customHeight="1">
      <c r="A6" s="16" t="inlineStr">
        <is>
          <t>JT-002</t>
        </is>
      </c>
      <c r="B6" s="22" t="inlineStr">
        <is>
          <t>رویداد → تریپ شارژر</t>
        </is>
      </c>
      <c r="C6" s="23" t="inlineStr">
        <is>
          <t>بالا</t>
        </is>
      </c>
      <c r="D6" s="22" t="inlineStr">
        <is>
          <t>شارژ فعال کانال ۱</t>
        </is>
      </c>
      <c r="E6" s="22" t="inlineStr">
        <is>
          <t>گام ۱: شارژ کانال ۱ را فعال کن.
گام ۲: ورودی JIT1 را یک لبهٔ پایین‌رونده بده تا آستانهٔ LM393 (اضافه‌جریان واقعی) رد شود.
گام ۳: 10 ثانیه نگاه کن: PWM کانال ۱ باید صفر شود، وضعیت کانال 1 بشود 5 (state=5) و کانال وارد صف احیا شود.</t>
        </is>
      </c>
      <c r="F6" s="24" t="inlineStr">
        <is>
          <t>JIT1 falling</t>
        </is>
      </c>
      <c r="G6" s="24" t="inlineStr">
        <is>
          <t>10s</t>
        </is>
      </c>
      <c r="H6" s="22" t="inlineStr">
        <is>
          <t>HandleJitTrip کانال ۱: PWM صفر + ورود به صف احیا</t>
        </is>
      </c>
      <c r="I6" s="22" t="inlineStr">
        <is>
          <t>—</t>
        </is>
      </c>
      <c r="J6" s="22" t="inlineStr">
        <is>
          <t>state=5 کانال ۱</t>
        </is>
      </c>
      <c r="K6" s="22" t="inlineStr"/>
      <c r="L6" s="20" t="inlineStr">
        <is>
          <t>در انتظار</t>
        </is>
      </c>
      <c r="M6" s="22" t="inlineStr"/>
      <c r="N6" s="22" t="inlineStr"/>
      <c r="O6" s="24" t="inlineStr">
        <is>
          <t>TESTER: fill</t>
        </is>
      </c>
      <c r="P6" s="24" t="inlineStr"/>
      <c r="Q6" s="25" t="inlineStr">
        <is>
          <t>2026-09-23</t>
        </is>
      </c>
    </row>
    <row r="7" ht="40.5" customHeight="1">
      <c r="A7" s="16" t="inlineStr">
        <is>
          <t>JT-003</t>
        </is>
      </c>
      <c r="B7" s="17" t="inlineStr">
        <is>
          <t>اتمیک TakeEvent</t>
        </is>
      </c>
      <c r="C7" s="18" t="inlineStr">
        <is>
          <t>بالا</t>
        </is>
      </c>
      <c r="D7" s="17" t="inlineStr">
        <is>
          <t>شارژ فعال</t>
        </is>
      </c>
      <c r="E7" s="17" t="inlineStr">
        <is>
          <t>گام ۱: شارژ فعال باشد.
گام ۲: دقیقاً حین پردازش تسک کنترل، یک رویداد JIT تزریق کن (هم‌زمان با پاس تسک).
گام ۳: ببین تریپ در همان پاس ثبت شده باشد؛ بخش بحرانی با PRIMASK نباید هیچ رویدادی را گم کند.</t>
        </is>
      </c>
      <c r="F7" s="19" t="inlineStr">
        <is>
          <t>رویداد هم‌زمان</t>
        </is>
      </c>
      <c r="G7" s="19" t="inlineStr">
        <is>
          <t>—</t>
        </is>
      </c>
      <c r="H7" s="17" t="inlineStr">
        <is>
          <t>هیچ رویدادی گم نمی‌شود (بخش بحرانی PRIMASK)</t>
        </is>
      </c>
      <c r="I7" s="17" t="inlineStr">
        <is>
          <t>—</t>
        </is>
      </c>
      <c r="J7" s="17" t="inlineStr">
        <is>
          <t>تریپ در همان پاس ثبت</t>
        </is>
      </c>
      <c r="K7" s="17" t="inlineStr"/>
      <c r="L7" s="20" t="inlineStr">
        <is>
          <t>در انتظار</t>
        </is>
      </c>
      <c r="M7" s="17" t="inlineStr"/>
      <c r="N7" s="17" t="inlineStr"/>
      <c r="O7" s="19" t="inlineStr">
        <is>
          <t>TESTER: fill</t>
        </is>
      </c>
      <c r="P7" s="19" t="inlineStr"/>
      <c r="Q7" s="21" t="inlineStr">
        <is>
          <t>2026-09-23</t>
        </is>
      </c>
    </row>
    <row r="8" ht="54" customHeight="1">
      <c r="A8" s="16" t="inlineStr">
        <is>
          <t>JT-004</t>
        </is>
      </c>
      <c r="B8" s="22" t="inlineStr">
        <is>
          <t>صف احیا تک‌تک</t>
        </is>
      </c>
      <c r="C8" s="23" t="inlineStr">
        <is>
          <t>بالا</t>
        </is>
      </c>
      <c r="D8" s="22" t="inlineStr">
        <is>
          <t>هر دو کانال تریپ‌شده</t>
        </is>
      </c>
      <c r="E8" s="22" t="inlineStr">
        <is>
          <t>گام ۱: هر دو کانال را در حال شارژ داشته باش.
گام ۲: اول JIT1 و بلافاصله JIT2 را تریپ کن.
گام ۳: 30 ثانیه احیا را نگاه کن: کانال‌ها باید یکی‌یکی و به همان ترتیب تریپ احیا شوند؛ کانال دوم تا نوبتش در صف می‌ماند.
گام ۴: احیای هم‌زمان هر دو با هم قبول نیست.</t>
        </is>
      </c>
      <c r="F8" s="24" t="inlineStr">
        <is>
          <t>JIT1+JIT2</t>
        </is>
      </c>
      <c r="G8" s="24" t="inlineStr">
        <is>
          <t>30s</t>
        </is>
      </c>
      <c r="H8" s="22" t="inlineStr">
        <is>
          <t>احیا یکی‌یکی به ترتیب تریپ؛ کانال دوم در صف می‌ماند</t>
        </is>
      </c>
      <c r="I8" s="22" t="inlineStr">
        <is>
          <t>ترتیب حفظ</t>
        </is>
      </c>
      <c r="J8" s="22" t="inlineStr">
        <is>
          <t>احیای متوالی نه همزمان</t>
        </is>
      </c>
      <c r="K8" s="22" t="inlineStr"/>
      <c r="L8" s="20" t="inlineStr">
        <is>
          <t>در انتظار</t>
        </is>
      </c>
      <c r="M8" s="22" t="inlineStr"/>
      <c r="N8" s="22" t="inlineStr"/>
      <c r="O8" s="24" t="inlineStr">
        <is>
          <t>TESTER: fill</t>
        </is>
      </c>
      <c r="P8" s="24" t="inlineStr"/>
      <c r="Q8" s="25" t="inlineStr">
        <is>
          <t>2026-09-23</t>
        </is>
      </c>
    </row>
    <row r="9" ht="54" customHeight="1">
      <c r="A9" s="16" t="inlineStr">
        <is>
          <t>JT-005</t>
        </is>
      </c>
      <c r="B9" s="17" t="inlineStr">
        <is>
          <t>arm مجدد comparator</t>
        </is>
      </c>
      <c r="C9" s="18" t="inlineStr">
        <is>
          <t>بالا</t>
        </is>
      </c>
      <c r="D9" s="17" t="inlineStr">
        <is>
          <t>بعد از safe sequence ریتری</t>
        </is>
      </c>
      <c r="E9" s="17" t="inlineStr">
        <is>
          <t>گام ۱: یک کانال را تریپ کن و بگذار توالی امن (safe sequence) تمام شود و ریتری انجام شود.
گام ۲: بعد از ریتری، پاک‌سازی کانال (ClearChannel) را بررسی کن.
گام ۳: یک تریپ تازه روی همان کانال بده.
گام ۴: comparator همان کانال باید دوباره مسلح شده باشد و تریپ تازه مثل بار اول کار کند.</t>
        </is>
      </c>
      <c r="F9" s="19" t="inlineStr">
        <is>
          <t>—</t>
        </is>
      </c>
      <c r="G9" s="19" t="inlineStr">
        <is>
          <t>—</t>
        </is>
      </c>
      <c r="H9" s="17" t="inlineStr">
        <is>
          <t>comparator همان کانال مجدد مسلح می‌شود</t>
        </is>
      </c>
      <c r="I9" s="17" t="inlineStr">
        <is>
          <t>—</t>
        </is>
      </c>
      <c r="J9" s="17" t="inlineStr">
        <is>
          <t>تریپ بعدی دوباره کار می‌کند</t>
        </is>
      </c>
      <c r="K9" s="17" t="inlineStr"/>
      <c r="L9" s="20" t="inlineStr">
        <is>
          <t>در انتظار</t>
        </is>
      </c>
      <c r="M9" s="17" t="inlineStr"/>
      <c r="N9" s="17" t="inlineStr"/>
      <c r="O9" s="19" t="inlineStr">
        <is>
          <t>TESTER: fill</t>
        </is>
      </c>
      <c r="P9" s="19" t="inlineStr"/>
      <c r="Q9" s="21" t="inlineStr">
        <is>
          <t>2026-09-23</t>
        </is>
      </c>
    </row>
    <row r="10" ht="40.5" customHeight="1">
      <c r="A10" s="16" t="inlineStr">
        <is>
          <t>JT-006</t>
        </is>
      </c>
      <c r="B10" s="22" t="inlineStr">
        <is>
          <t>رویداد کهنه در بوت</t>
        </is>
      </c>
      <c r="C10" s="24" t="inlineStr">
        <is>
          <t>متوسط</t>
        </is>
      </c>
      <c r="D10" s="22" t="inlineStr">
        <is>
          <t>بوت تازه</t>
        </is>
      </c>
      <c r="E10" s="22" t="inlineStr">
        <is>
          <t>گام ۱: یک رویداد JIT بساز ولی قبل از اینکه پردازش شود، وضعیت را طوری نگه دار که رویداد «از قبل» مانده باشد.
گام ۲: برد را تازه بوت کن (Init از نو اجرا شود).
گام ۳: بعد از بوت نگاه کن: رویداد مانده باید در Init پاک شده باشد و هیچ تریپ تازه‌ای در بوت نباید زده شود.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پاک می‌شود؛ تریپ تازه‌ای نمی‌زند</t>
        </is>
      </c>
      <c r="I10" s="22" t="inlineStr">
        <is>
          <t>—</t>
        </is>
      </c>
      <c r="J10" s="22" t="inlineStr">
        <is>
          <t>بدون تریپ در بوت</t>
        </is>
      </c>
      <c r="K10" s="22" t="inlineStr"/>
      <c r="L10" s="20" t="inlineStr">
        <is>
          <t>در انتظار</t>
        </is>
      </c>
      <c r="M10" s="22" t="inlineStr"/>
      <c r="N10" s="22" t="inlineStr"/>
      <c r="O10" s="24" t="inlineStr">
        <is>
          <t>TESTER: fill</t>
        </is>
      </c>
      <c r="P10" s="24" t="inlineStr"/>
      <c r="Q10" s="25" t="inlineStr">
        <is>
          <t>2026-09-23</t>
        </is>
      </c>
    </row>
    <row r="11" ht="54" customHeight="1">
      <c r="A11" s="16" t="inlineStr">
        <is>
          <t>JT-007</t>
        </is>
      </c>
      <c r="B11" s="17" t="inlineStr">
        <is>
          <t>JIT در مود دستی</t>
        </is>
      </c>
      <c r="C11" s="18" t="inlineStr">
        <is>
          <t>بالا</t>
        </is>
      </c>
      <c r="D11" s="17" t="inlineStr">
        <is>
          <t>مود تست دستی فعال</t>
        </is>
      </c>
      <c r="E11" s="17" t="inlineStr">
        <is>
          <t>گام ۱: مود تست دستی را فعال کن (پارامتر 19 = 1).
گام ۲: در مود دستی JIT را تریپ کن.
گام ۳: 15 ثانیه نگاه کن: کانال پارک می‌شود (وضعیت 5) و ریتری خودکار نباید بیاید؛ شمارش تریپ باید جمع شود.
گام ۴: فقط وقتی از پنل دوباره duty بفرستی کانال مسلح می‌شود؛ تریپ سوم در همین مود باید FINAL_FAULT بدهد.</t>
        </is>
      </c>
      <c r="F11" s="19" t="inlineStr">
        <is>
          <t>JIT در مود دستی</t>
        </is>
      </c>
      <c r="G11" s="19" t="inlineStr">
        <is>
          <t>15s</t>
        </is>
      </c>
      <c r="H11" s="17" t="inlineStr">
        <is>
          <t>پارک بدون ریتری خودکار؛ شمارش تریپ جمع می‌شود؛ سومین تریپ FINAL_FAULT</t>
        </is>
      </c>
      <c r="I11" s="17" t="inlineStr">
        <is>
          <t>پارک تا re-arm</t>
        </is>
      </c>
      <c r="J11" s="17" t="inlineStr">
        <is>
          <t>state=5؛ فقط ارسال مجدد duty مسلح می‌کند</t>
        </is>
      </c>
      <c r="K11" s="17" t="inlineStr"/>
      <c r="L11" s="20" t="inlineStr">
        <is>
          <t>در انتظار</t>
        </is>
      </c>
      <c r="M11" s="17" t="inlineStr"/>
      <c r="N11" s="17" t="inlineStr"/>
      <c r="O11" s="19" t="inlineStr">
        <is>
          <t>TESTER: fill</t>
        </is>
      </c>
      <c r="P11" s="19" t="inlineStr"/>
      <c r="Q11" s="21" t="inlineStr">
        <is>
          <t>2026-09-23</t>
        </is>
      </c>
    </row>
    <row r="12" ht="40.5" customHeight="1">
      <c r="A12" s="16" t="inlineStr">
        <is>
          <t>JI-015</t>
        </is>
      </c>
      <c r="B12" s="22" t="inlineStr">
        <is>
          <t>پنل دیالوگ مستقل</t>
        </is>
      </c>
      <c r="C12" s="24" t="inlineStr">
        <is>
          <t>پایین</t>
        </is>
      </c>
      <c r="D12" s="22" t="inlineStr">
        <is>
          <t>پنل وصل</t>
        </is>
      </c>
      <c r="E12" s="22" t="inlineStr">
        <is>
          <t>گام ۱: پنل را وصل کن.
گام ۲: از پنل دکمهٔ قطع PWM را بزن تا دیالوگ تأیید بیاید.
گام ۳: دیالوگ باید تیره و هم‌رنگ خود پنل باشد، نه پنجرهٔ سفید alert ویندوز. (3 ثانیه کافی است)</t>
        </is>
      </c>
      <c r="F12" s="24" t="inlineStr">
        <is>
          <t>—</t>
        </is>
      </c>
      <c r="G12" s="24" t="inlineStr">
        <is>
          <t>3s</t>
        </is>
      </c>
      <c r="H12" s="22" t="inlineStr">
        <is>
          <t>دیالوگ همرنگ پنل، بدون alert سفید</t>
        </is>
      </c>
      <c r="I12" s="22" t="inlineStr">
        <is>
          <t>—</t>
        </is>
      </c>
      <c r="J12" s="22" t="inlineStr">
        <is>
          <t>استایل تیره</t>
        </is>
      </c>
      <c r="K12" s="22" t="n"/>
      <c r="L12" s="26" t="inlineStr">
        <is>
          <t>نیاز به تکرار</t>
        </is>
      </c>
      <c r="M12" s="22" t="n"/>
      <c r="N12" s="22" t="n"/>
      <c r="O12" s="24" t="inlineStr">
        <is>
          <t>62f3782</t>
        </is>
      </c>
      <c r="P12" s="24" t="n"/>
      <c r="Q12" s="25" t="inlineStr">
        <is>
          <t>2026-10-12</t>
        </is>
      </c>
    </row>
    <row r="13">
      <c r="Q13" s="27">
        <f>IF(OR(L13="",L13="در انتظار"),"",IF(Q13="",TODAY(),Q13))</f>
        <v/>
      </c>
    </row>
    <row r="14">
      <c r="Q14" s="27">
        <f>IF(OR(L14="",L14="در انتظار"),"",IF(Q14="",TODAY(),Q14))</f>
        <v/>
      </c>
    </row>
    <row r="15">
      <c r="Q15" s="27">
        <f>IF(OR(L15="",L15="در انتظار"),"",IF(Q15="",TODAY(),Q15))</f>
        <v/>
      </c>
    </row>
    <row r="16">
      <c r="Q16" s="27">
        <f>IF(OR(L16="",L16="در انتظار"),"",IF(Q16="",TODAY(),Q16))</f>
        <v/>
      </c>
    </row>
    <row r="17">
      <c r="Q17" s="27">
        <f>IF(OR(L17="",L17="در انتظار"),"",IF(Q17="",TODAY(),Q17))</f>
        <v/>
      </c>
    </row>
    <row r="18">
      <c r="Q18" s="27">
        <f>IF(OR(L18="",L18="در انتظار"),"",IF(Q18="",TODAY(),Q18))</f>
        <v/>
      </c>
    </row>
    <row r="19">
      <c r="Q19" s="27">
        <f>IF(OR(L19="",L19="در انتظار"),"",IF(Q19="",TODAY(),Q19))</f>
        <v/>
      </c>
    </row>
    <row r="20">
      <c r="Q20" s="27">
        <f>IF(OR(L20="",L20="در انتظار"),"",IF(Q20="",TODAY(),Q20))</f>
        <v/>
      </c>
    </row>
    <row r="21">
      <c r="Q21" s="27">
        <f>IF(OR(L21="",L21="در انتظار"),"",IF(Q21="",TODAY(),Q21))</f>
        <v/>
      </c>
    </row>
    <row r="22">
      <c r="Q22" s="27">
        <f>IF(OR(L22="",L22="در انتظار"),"",IF(Q22="",TODAY(),Q22))</f>
        <v/>
      </c>
    </row>
    <row r="23">
      <c r="Q23" s="27">
        <f>IF(OR(L23="",L23="در انتظار"),"",IF(Q23="",TODAY(),Q23))</f>
        <v/>
      </c>
    </row>
    <row r="24">
      <c r="Q24" s="27">
        <f>IF(OR(L24="",L24="در انتظار"),"",IF(Q24="",TODAY(),Q24))</f>
        <v/>
      </c>
    </row>
    <row r="25">
      <c r="Q25" s="27">
        <f>IF(OR(L25="",L25="در انتظار"),"",IF(Q25="",TODAY(),Q25))</f>
        <v/>
      </c>
    </row>
    <row r="26">
      <c r="Q26" s="27">
        <f>IF(OR(L26="",L26="در انتظار"),"",IF(Q26="",TODAY(),Q26))</f>
        <v/>
      </c>
    </row>
    <row r="27">
      <c r="Q27" s="27">
        <f>IF(OR(L27="",L27="در انتظار"),"",IF(Q27="",TODAY(),Q27))</f>
        <v/>
      </c>
    </row>
    <row r="28">
      <c r="Q28" s="27">
        <f>IF(OR(L28="",L28="در انتظار"),"",IF(Q28="",TODAY(),Q28))</f>
        <v/>
      </c>
    </row>
    <row r="29">
      <c r="Q29" s="27">
        <f>IF(OR(L29="",L29="در انتظار"),"",IF(Q29="",TODAY(),Q29))</f>
        <v/>
      </c>
    </row>
    <row r="30">
      <c r="Q30" s="27">
        <f>IF(OR(L30="",L30="در انتظار"),"",IF(Q30="",TODAY(),Q30))</f>
        <v/>
      </c>
    </row>
    <row r="31">
      <c r="Q31" s="27">
        <f>IF(OR(L31="",L31="در انتظار"),"",IF(Q31="",TODAY(),Q31))</f>
        <v/>
      </c>
    </row>
    <row r="32">
      <c r="Q32" s="27">
        <f>IF(OR(L32="",L32="در انتظار"),"",IF(Q32="",TODAY(),Q32))</f>
        <v/>
      </c>
    </row>
    <row r="33">
      <c r="Q33" s="27">
        <f>IF(OR(L33="",L33="در انتظار"),"",IF(Q33="",TODAY(),Q33))</f>
        <v/>
      </c>
    </row>
    <row r="34">
      <c r="Q34" s="27">
        <f>IF(OR(L34="",L34="در انتظار"),"",IF(Q34="",TODAY(),Q34))</f>
        <v/>
      </c>
    </row>
    <row r="35">
      <c r="Q35" s="27">
        <f>IF(OR(L35="",L35="در انتظار"),"",IF(Q35="",TODAY(),Q35))</f>
        <v/>
      </c>
    </row>
    <row r="36">
      <c r="Q36" s="27">
        <f>IF(OR(L36="",L36="در انتظار"),"",IF(Q36="",TODAY(),Q36))</f>
        <v/>
      </c>
    </row>
    <row r="37">
      <c r="Q37" s="27">
        <f>IF(OR(L37="",L37="در انتظار"),"",IF(Q37="",TODAY(),Q37))</f>
        <v/>
      </c>
    </row>
    <row r="38">
      <c r="Q38" s="27">
        <f>IF(OR(L38="",L38="در انتظار"),"",IF(Q38="",TODAY(),Q38))</f>
        <v/>
      </c>
    </row>
    <row r="39">
      <c r="Q39" s="27">
        <f>IF(OR(L39="",L39="در انتظار"),"",IF(Q39="",TODAY(),Q39))</f>
        <v/>
      </c>
    </row>
    <row r="40">
      <c r="Q40" s="27">
        <f>IF(OR(L40="",L40="در انتظار"),"",IF(Q40="",TODAY(),Q40))</f>
        <v/>
      </c>
    </row>
    <row r="41">
      <c r="Q41" s="27">
        <f>IF(OR(L41="",L41="در انتظار"),"",IF(Q41="",TODAY(),Q41))</f>
        <v/>
      </c>
    </row>
    <row r="42">
      <c r="Q42" s="27">
        <f>IF(OR(L42="",L42="در انتظار"),"",IF(Q42="",TODAY(),Q42))</f>
        <v/>
      </c>
    </row>
    <row r="43">
      <c r="Q43" s="27">
        <f>IF(OR(L43="",L43="در انتظار"),"",IF(Q43="",TODAY(),Q43))</f>
        <v/>
      </c>
    </row>
    <row r="44">
      <c r="Q44" s="27">
        <f>IF(OR(L44="",L44="در انتظار"),"",IF(Q44="",TODAY(),Q44))</f>
        <v/>
      </c>
    </row>
    <row r="45">
      <c r="Q45" s="27">
        <f>IF(OR(L45="",L45="در انتظار"),"",IF(Q45="",TODAY(),Q45))</f>
        <v/>
      </c>
    </row>
    <row r="46">
      <c r="Q46" s="27">
        <f>IF(OR(L46="",L46="در انتظار"),"",IF(Q46="",TODAY(),Q46))</f>
        <v/>
      </c>
    </row>
    <row r="47">
      <c r="Q47" s="27">
        <f>IF(OR(L47="",L47="در انتظار"),"",IF(Q47="",TODAY(),Q47))</f>
        <v/>
      </c>
    </row>
    <row r="48">
      <c r="Q48" s="27">
        <f>IF(OR(L48="",L48="در انتظار"),"",IF(Q48="",TODAY(),Q48))</f>
        <v/>
      </c>
    </row>
    <row r="49">
      <c r="Q49" s="27">
        <f>IF(OR(L49="",L49="در انتظار"),"",IF(Q49="",TODAY(),Q49))</f>
        <v/>
      </c>
    </row>
    <row r="50">
      <c r="Q50" s="27">
        <f>IF(OR(L50="",L50="در انتظار"),"",IF(Q50="",TODAY(),Q50))</f>
        <v/>
      </c>
    </row>
    <row r="51">
      <c r="Q51" s="27">
        <f>IF(OR(L51="",L51="در انتظار"),"",IF(Q51="",TODAY(),Q51))</f>
        <v/>
      </c>
    </row>
    <row r="52">
      <c r="Q52" s="27">
        <f>IF(OR(L52="",L52="در انتظار"),"",IF(Q52="",TODAY(),Q52))</f>
        <v/>
      </c>
    </row>
  </sheetData>
  <autoFilter ref="A4:Q12"/>
  <mergeCells count="3">
    <mergeCell ref="A3:Q3"/>
    <mergeCell ref="A2:Q2"/>
    <mergeCell ref="A1:Q1"/>
  </mergeCells>
  <dataValidations count="2">
    <dataValidation sqref="C5:C92" showDropDown="0" showInputMessage="0" showErrorMessage="0" allowBlank="1" type="list">
      <formula1>='فهرست‌ها'!$B$9:$B$11</formula1>
    </dataValidation>
    <dataValidation sqref="L5:L92" showDropDown="0" showInputMessage="0" showErrorMessage="0" allowBlank="1" prompt="وضعیت تست را از فهرست انتخاب کنید" type="list">
      <formula1>='فهرست‌ها'!$A$2:$A$7</formula1>
    </dataValidation>
  </dataValidations>
  <hyperlinks>
    <hyperlink xmlns:r="http://schemas.openxmlformats.org/officeDocument/2006/relationships" ref="E5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4" t="inlineStr">
        <is>
          <t>مرجع سریع سناریوها و ثابت‌های ماژول Jitter</t>
        </is>
      </c>
      <c r="B1" s="38" t="n"/>
      <c r="C1" s="38" t="n"/>
      <c r="D1" s="38" t="n"/>
      <c r="E1" s="39" t="n"/>
    </row>
    <row r="2"/>
    <row r="3">
      <c r="A3" s="28" t="inlineStr">
        <is>
          <t>موضوع</t>
        </is>
      </c>
      <c r="B3" s="28" t="inlineStr">
        <is>
          <t>شرط / مقدار</t>
        </is>
      </c>
      <c r="C3" s="28" t="inlineStr">
        <is>
          <t>رفتار مورد انتظار</t>
        </is>
      </c>
      <c r="D3" s="28" t="inlineStr">
        <is>
          <t>ثابت / محل کد</t>
        </is>
      </c>
      <c r="E3" s="28" t="inlineStr">
        <is>
          <t>توضیح</t>
        </is>
      </c>
    </row>
    <row r="4">
      <c r="A4" s="29" t="inlineStr">
        <is>
          <t>نگاشت</t>
        </is>
      </c>
      <c r="B4" s="29" t="inlineStr">
        <is>
          <t>PB2/PB6 falling، active-low</t>
        </is>
      </c>
      <c r="C4" s="29" t="inlineStr">
        <is>
          <t>رویداد منطقی JITTER1/2</t>
        </is>
      </c>
      <c r="D4" s="41" t="inlineStr">
        <is>
          <t>bsp_exti + board_pins.h</t>
        </is>
      </c>
      <c r="E4" s="29" t="inlineStr">
        <is>
          <t>LM393 open-collector</t>
        </is>
      </c>
    </row>
    <row r="5">
      <c r="A5" s="29" t="inlineStr">
        <is>
          <t>صف احیا</t>
        </is>
      </c>
      <c r="B5" s="29" t="inlineStr">
        <is>
          <t>تک‌تک، اولین‌تریپ‌اولین‌احیا</t>
        </is>
      </c>
      <c r="C5" s="29" t="inlineStr">
        <is>
          <t>بدون پامپ همزمان دو کانال</t>
        </is>
      </c>
      <c r="D5" s="41" t="inlineStr">
        <is>
          <t>charger.c ServiceRetry</t>
        </is>
      </c>
      <c r="E5" s="29" t="inlineStr">
        <is>
          <t>در مود دستی غیرفعال</t>
        </is>
      </c>
    </row>
    <row r="6">
      <c r="A6" s="29" t="inlineStr">
        <is>
          <t>اتمیک بودن</t>
        </is>
      </c>
      <c r="B6" s="29" t="inlineStr">
        <is>
          <t>PRIMASK در TakeEvent</t>
        </is>
      </c>
      <c r="C6" s="29" t="inlineStr">
        <is>
          <t>بدون گم‌شدن رویداد</t>
        </is>
      </c>
      <c r="D6" s="41" t="inlineStr">
        <is>
          <t>bsp_exti.c (2026-09-22)</t>
        </is>
      </c>
      <c r="E6" s="29" t="inlineStr">
        <is>
          <t>—</t>
        </is>
      </c>
    </row>
    <row r="7">
      <c r="A7" s="29" t="inlineStr">
        <is>
          <t>مود دستی</t>
        </is>
      </c>
      <c r="B7" s="29" t="inlineStr">
        <is>
          <t>بدون ریتری، شمارش جمع</t>
        </is>
      </c>
      <c r="C7" s="29" t="inlineStr">
        <is>
          <t>سومین تریپ FINAL</t>
        </is>
      </c>
      <c r="D7" s="41" t="inlineStr">
        <is>
          <t>charger.c HandleJitTrip شاخهٔ manual</t>
        </is>
      </c>
      <c r="E7" s="29" t="inlineStr">
        <is>
          <t>v1.2</t>
        </is>
      </c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M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2" t="inlineStr">
        <is>
          <t>ثبت ایرادهای مشاهده‌شده — ماژول Jitter</t>
        </is>
      </c>
    </row>
    <row r="2" ht="30" customHeight="1">
      <c r="A2" s="14" t="inlineStr">
        <is>
          <t>برای هر وضعیت «رد» یا تفاوت مهم، یک ردیف با شناسهٔ یکتا ثبت و پس از اصلاح دوباره تست شود.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9" t="n"/>
    </row>
    <row r="3">
      <c r="A3" s="28" t="inlineStr">
        <is>
          <t>شماره ایراد</t>
        </is>
      </c>
      <c r="B3" s="28" t="inlineStr">
        <is>
          <t>شناسه تست</t>
        </is>
      </c>
      <c r="C3" s="28" t="inlineStr">
        <is>
          <t>تاریخ کشف</t>
        </is>
      </c>
      <c r="D3" s="28" t="inlineStr">
        <is>
          <t>شدت</t>
        </is>
      </c>
      <c r="E3" s="28" t="inlineStr">
        <is>
          <t>شرح کوتاه ایراد</t>
        </is>
      </c>
      <c r="F3" s="28" t="inlineStr">
        <is>
          <t>مراحل بازتولید</t>
        </is>
      </c>
      <c r="G3" s="28" t="inlineStr">
        <is>
          <t>انتظار</t>
        </is>
      </c>
      <c r="H3" s="28" t="inlineStr">
        <is>
          <t>واقعیت</t>
        </is>
      </c>
      <c r="I3" s="28" t="inlineStr">
        <is>
          <t>مدرک/مسیر عکس یا scope</t>
        </is>
      </c>
      <c r="J3" s="28" t="inlineStr">
        <is>
          <t>commit firmware</t>
        </is>
      </c>
      <c r="K3" s="28" t="inlineStr">
        <is>
          <t>محل احتمالی</t>
        </is>
      </c>
      <c r="L3" s="28" t="inlineStr">
        <is>
          <t>وضعیت ایراد</t>
        </is>
      </c>
      <c r="M3" s="28" t="inlineStr">
        <is>
          <t>تأیید رفع / توضیحات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</cols>
  <sheetData>
    <row r="1">
      <c r="A1" s="12" t="inlineStr">
        <is>
          <t>تأیید نهایی اعتبارسنجی — ماژول Jitter</t>
        </is>
      </c>
    </row>
    <row r="2">
      <c r="A2" s="13" t="inlineStr">
        <is>
          <t>این صفحه فقط پس از تکمیل تست‌ها و بسته‌شدن ایرادها پر می‌شود.</t>
        </is>
      </c>
    </row>
    <row r="3">
      <c r="A3" s="13" t="inlineStr">
        <is>
          <t>مشخصات تست</t>
        </is>
      </c>
    </row>
    <row r="4">
      <c r="A4" s="13" t="inlineStr">
        <is>
          <t>پروژه</t>
        </is>
      </c>
      <c r="B4" s="13" t="inlineStr">
        <is>
          <t>ChangeOver</t>
        </is>
      </c>
    </row>
    <row r="5">
      <c r="A5" s="13" t="inlineStr">
        <is>
          <t>ماژول</t>
        </is>
      </c>
      <c r="B5" s="13" t="inlineStr">
        <is>
          <t>Jitter — رویدادهای LM393 و صف احیا</t>
        </is>
      </c>
    </row>
    <row r="6">
      <c r="A6" s="13" t="inlineStr">
        <is>
          <t>تاریخ ساخت فرم</t>
        </is>
      </c>
      <c r="B6" s="13" t="inlineStr">
        <is>
          <t>2026-09-23 (1.0)</t>
        </is>
      </c>
    </row>
    <row r="7">
      <c r="A7" s="13" t="inlineStr">
        <is>
          <t>نسخه فرم</t>
        </is>
      </c>
      <c r="B7" s="13" t="inlineStr">
        <is>
          <t>1.0</t>
        </is>
      </c>
    </row>
    <row r="8">
      <c r="A8" s="13" t="inlineStr">
        <is>
          <t>commit firmware</t>
        </is>
      </c>
      <c r="B8" s="13" t="inlineStr">
        <is>
          <t>TESTER: fill</t>
        </is>
      </c>
    </row>
    <row r="9">
      <c r="A9" s="13" t="inlineStr">
        <is>
          <t>ابزار</t>
        </is>
      </c>
      <c r="B9" s="13" t="inlineStr">
        <is>
          <t>اسکوپ + تزریق جریان + پنل ESP</t>
        </is>
      </c>
    </row>
    <row r="10"/>
    <row r="11">
      <c r="A11" s="30" t="inlineStr">
        <is>
          <t>خلاصهٔ خودکار وضعیت تست‌ها</t>
        </is>
      </c>
    </row>
    <row r="12">
      <c r="A12" s="28" t="inlineStr">
        <is>
          <t>شاخص</t>
        </is>
      </c>
      <c r="B12" s="28" t="inlineStr">
        <is>
          <t>مقدار</t>
        </is>
      </c>
      <c r="C12" s="28" t="inlineStr">
        <is>
          <t>توضیح</t>
        </is>
      </c>
    </row>
    <row r="13">
      <c r="A13" s="31" t="inlineStr">
        <is>
          <t>کل تست‌ها</t>
        </is>
      </c>
      <c r="B13" s="31" t="n">
        <v>7</v>
      </c>
      <c r="C13" s="31" t="inlineStr">
        <is>
          <t>همهٔ ردیف‌های برنامه تست</t>
        </is>
      </c>
    </row>
    <row r="14">
      <c r="A14" s="31" t="inlineStr">
        <is>
          <t>قبول</t>
        </is>
      </c>
      <c r="B14" s="31">
        <f>COUNTIF('برنامه تست'!L:L,"قبول")</f>
        <v/>
      </c>
      <c r="C14" s="31" t="inlineStr">
        <is>
          <t>COUNTIF برنامه تست</t>
        </is>
      </c>
    </row>
    <row r="15">
      <c r="A15" s="31" t="inlineStr">
        <is>
          <t>رد</t>
        </is>
      </c>
      <c r="B15" s="31">
        <f>COUNTIF('برنامه تست'!L:L,"رد")</f>
        <v/>
      </c>
      <c r="C15" s="31" t="inlineStr">
        <is>
          <t>COUNTIF رد</t>
        </is>
      </c>
    </row>
    <row r="16">
      <c r="A16" s="31" t="inlineStr">
        <is>
          <t>در انتظار</t>
        </is>
      </c>
      <c r="B16" s="31">
        <f>COUNTIF('برنامه تست'!L:L,"در انتظار")</f>
        <v/>
      </c>
      <c r="C16" s="31" t="inlineStr">
        <is>
          <t>پیش از تست برد</t>
        </is>
      </c>
    </row>
    <row r="17">
      <c r="A17" s="31" t="inlineStr">
        <is>
          <t>نرخ قبولی</t>
        </is>
      </c>
      <c r="B17" s="31">
        <f>IF(7=0,0,COUNTIF('برنامه تست'!L:L,"قبول")/7)</f>
        <v/>
      </c>
      <c r="C17" s="31" t="inlineStr">
        <is>
          <t>قبول/کل</t>
        </is>
      </c>
    </row>
    <row r="18"/>
    <row r="19">
      <c r="A19" s="30" t="inlineStr">
        <is>
          <t>امضا و تأیید: تست‌کننده ______  بازبین ______  تاریخ ______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2" t="inlineStr">
        <is>
          <t>وضعیت</t>
        </is>
      </c>
    </row>
    <row r="2">
      <c r="A2" s="33" t="inlineStr">
        <is>
          <t>در انتظار</t>
        </is>
      </c>
    </row>
    <row r="3">
      <c r="A3" s="33" t="inlineStr">
        <is>
          <t>انجام شد</t>
        </is>
      </c>
    </row>
    <row r="4">
      <c r="A4" s="33" t="inlineStr">
        <is>
          <t>قبول</t>
        </is>
      </c>
    </row>
    <row r="5">
      <c r="A5" s="33" t="inlineStr">
        <is>
          <t>رد</t>
        </is>
      </c>
    </row>
    <row r="6">
      <c r="A6" s="33" t="inlineStr">
        <is>
          <t>مسدود</t>
        </is>
      </c>
    </row>
    <row r="7">
      <c r="A7" t="inlineStr">
        <is>
          <t>نیاز به تکرار</t>
        </is>
      </c>
    </row>
    <row r="8">
      <c r="A8" s="32" t="inlineStr">
        <is>
          <t>اولویت</t>
        </is>
      </c>
    </row>
    <row r="9">
      <c r="B9" s="33" t="inlineStr">
        <is>
          <t>بالا</t>
        </is>
      </c>
    </row>
    <row r="10">
      <c r="B10" s="33" t="inlineStr">
        <is>
          <t>متوسط</t>
        </is>
      </c>
    </row>
    <row r="11">
      <c r="B11" s="33" t="inlineStr">
        <is>
          <t>پایین</t>
        </is>
      </c>
    </row>
    <row r="12"/>
    <row r="13">
      <c r="A13" s="32" t="inlineStr">
        <is>
          <t>شدت</t>
        </is>
      </c>
    </row>
    <row r="14">
      <c r="A14" s="33" t="inlineStr">
        <is>
          <t>بحرانی</t>
        </is>
      </c>
    </row>
    <row r="15">
      <c r="A15" s="33" t="inlineStr">
        <is>
          <t>بالا</t>
        </is>
      </c>
    </row>
    <row r="16">
      <c r="A16" s="33" t="inlineStr">
        <is>
          <t>متوسط</t>
        </is>
      </c>
    </row>
    <row r="17">
      <c r="A17" s="33" t="inlineStr">
        <is>
          <t>پایین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34" t="inlineStr">
        <is>
          <t>ماشین حالت ماژول جیتر (Jitter)</t>
        </is>
      </c>
    </row>
    <row r="2"/>
    <row r="3" ht="24" customHeight="1">
      <c r="A3" s="35" t="inlineStr">
        <is>
          <t>حالت‌ها و گذارهای همین ماژول</t>
        </is>
      </c>
      <c r="B3" s="36" t="inlineStr">
        <is>
          <t>Jitter_State_Machine.xlsx</t>
        </is>
      </c>
    </row>
    <row r="4" ht="24" customHeight="1">
      <c r="A4" s="35" t="inlineStr">
        <is>
          <t>ماشین حالت کل برنامه (نمای سیستمی)</t>
        </is>
      </c>
      <c r="B4" s="36" t="inlineStr">
        <is>
          <t>../../../Documentation/System_State_Machine.xlsx</t>
        </is>
      </c>
    </row>
    <row r="5" ht="24" customHeight="1">
      <c r="A5" s="35" t="inlineStr">
        <is>
          <t>راهنمای رنگ‌ها</t>
        </is>
      </c>
      <c r="B5" s="37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35" t="inlineStr">
        <is>
          <t>بازتولید</t>
        </is>
      </c>
      <c r="B6" s="36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2026-09-23T12:47:22Z</dcterms:created>
  <dcterms:modified xsi:type="dcterms:W3CDTF">2026-10-16T07:44:05Z</dcterms:modified>
</cp:coreProperties>
</file>