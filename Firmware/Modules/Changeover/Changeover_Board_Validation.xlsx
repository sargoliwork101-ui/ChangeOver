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آزمایشگاهی" sheetId="3" state="visible" r:id="rId3"/>
    <sheet name="تست‌های برنامه‌نویسی" sheetId="4" state="visible" r:id="rId4"/>
    <sheet name="مراجع سناریو" sheetId="5" state="visible" r:id="rId5"/>
    <sheet name="ثبت ایراد" sheetId="6" state="visible" r:id="rId6"/>
    <sheet name="تأیید نهایی" sheetId="7" state="visible" r:id="rId7"/>
    <sheet name="فهرست‌ها" sheetId="8" state="hidden" r:id="rId8"/>
    <sheet name="ماشین حالت" sheetId="9" state="visible" r:id="rId9"/>
  </sheets>
  <definedNames>
    <definedName name="_xlnm._FilterDatabase" localSheetId="1" hidden="1">'برنامه تست'!$A$4:$Q$48</definedName>
    <definedName name="_xlnm.Print_Titles" localSheetId="1">'برنامه تست'!$4:$4</definedName>
    <definedName name="_xlnm._FilterDatabase" localSheetId="2" hidden="1">'تست‌های آزمایشگاهی'!$A$4:$Q$24</definedName>
    <definedName name="_xlnm.Print_Titles" localSheetId="2">'تست‌های آزمایشگاهی'!$4:$4</definedName>
    <definedName name="_xlnm._FilterDatabase" localSheetId="3" hidden="1">'تست‌های برنامه‌نویسی'!$A$4:$Q$8</definedName>
    <definedName name="_xlnm.Print_Titles" localSheetId="3">'تست‌های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61">
    <font>
      <name val="Calibri"/>
      <family val="2"/>
      <color theme="1"/>
      <sz val="11"/>
      <scheme val="minor"/>
    </font>
    <font>
      <name val="Calibri"/>
      <b val="1"/>
      <color rgb="00203764"/>
      <sz val="13"/>
    </font>
    <font>
      <name val="Calibri"/>
      <i val="1"/>
      <color rgb="00404040"/>
      <sz val="9"/>
    </font>
    <font>
      <name val="Calibri"/>
      <b val="1"/>
      <color rgb="00FFFFFF"/>
      <sz val="10"/>
    </font>
    <font>
      <name val="Calibri"/>
      <sz val="8"/>
    </font>
    <font>
      <name val="Calibri"/>
      <b val="1"/>
      <color rgb="00FFFFFF"/>
      <sz val="9"/>
    </font>
    <font>
      <name val="Calibri"/>
      <b val="1"/>
      <color rgb="00203764"/>
      <sz val="12"/>
    </font>
    <font>
      <name val="Calibri"/>
      <i val="1"/>
      <color rgb="00404040"/>
      <sz val="8"/>
    </font>
    <font>
      <name val="Calibri"/>
      <color rgb="00C00000"/>
      <sz val="7"/>
    </font>
    <font>
      <name val="Calibri"/>
      <sz val="7"/>
    </font>
    <font>
      <name val="Calibri"/>
      <color rgb="00808080"/>
      <sz val="7"/>
    </font>
    <font>
      <name val="Calibri"/>
      <b val="1"/>
      <color rgb="00203764"/>
      <sz val="11"/>
    </font>
    <font>
      <name val="Calibri"/>
      <i val="1"/>
      <sz val="7"/>
    </font>
    <font>
      <name val="Calibri"/>
      <i val="1"/>
      <color rgb="00C00000"/>
      <sz val="7"/>
    </font>
    <font>
      <name val="Calibri"/>
      <b val="1"/>
      <sz val="8"/>
    </font>
    <font>
      <b val="1"/>
      <color rgb="00FFFFFF"/>
    </font>
    <font>
      <sz val="8"/>
    </font>
    <font>
      <name val="Vazirmatn"/>
      <b val="1"/>
      <color rgb="00FFFFFF"/>
      <sz val="14"/>
    </font>
    <font>
      <name val="Vazirmatn"/>
      <b val="1"/>
      <sz val="10"/>
    </font>
    <font>
      <name val="Vazirmatn"/>
      <color rgb="000563C1"/>
      <sz val="10"/>
      <u val="single"/>
    </font>
    <font>
      <name val="Vazirmatn"/>
      <sz val="10"/>
    </font>
    <font>
      <name val="Tahoma"/>
      <b val="1"/>
      <color rgb="00203764"/>
      <sz val="13"/>
    </font>
    <font>
      <name val="Tahoma"/>
      <color rgb="00404040"/>
      <sz val="9"/>
    </font>
    <font>
      <name val="Tahoma"/>
      <b val="1"/>
      <color rgb="00FFFFFF"/>
      <sz val="10"/>
    </font>
    <font>
      <name val="Tahoma"/>
      <sz val="8"/>
    </font>
    <font>
      <name val="Tahoma"/>
      <b val="1"/>
      <color rgb="00FFFFFF"/>
      <sz val="9"/>
    </font>
    <font>
      <name val="Tahoma"/>
      <color theme="1"/>
      <sz val="11"/>
    </font>
    <font>
      <name val="Tahoma"/>
      <b val="1"/>
      <color rgb="00203764"/>
      <sz val="12"/>
    </font>
    <font>
      <name val="Tahoma"/>
      <color rgb="00404040"/>
      <sz val="8"/>
    </font>
    <font>
      <name val="Tahoma"/>
      <color rgb="00C00000"/>
      <sz val="7"/>
    </font>
    <font>
      <name val="Tahoma"/>
      <sz val="7"/>
    </font>
    <font>
      <name val="Tahoma"/>
      <color rgb="00808080"/>
      <sz val="7"/>
    </font>
    <font>
      <name val="Tahoma"/>
      <b val="1"/>
      <color rgb="00203764"/>
      <sz val="11"/>
    </font>
    <font>
      <name val="Tahoma"/>
      <b val="1"/>
      <sz val="8"/>
    </font>
    <font>
      <name val="Tahoma"/>
      <b val="1"/>
      <color rgb="00FFFFFF"/>
      <sz val="14"/>
    </font>
    <font>
      <name val="Tahoma"/>
      <b val="1"/>
      <sz val="10"/>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7"/>
      <u val="single"/>
    </font>
    <font>
      <name val="Tahoma"/>
      <b val="1"/>
      <color rgb="000563C1"/>
      <sz val="10"/>
      <u val="single"/>
    </font>
    <font>
      <name val="Vazirmatn"/>
      <b val="1"/>
      <color rgb="00203764"/>
      <sz val="13"/>
    </font>
    <font>
      <name val="Vazirmatn"/>
      <family val="2"/>
      <color theme="1"/>
      <sz val="11"/>
      <scheme val="minor"/>
    </font>
    <font>
      <name val="Vazirmatn"/>
      <color rgb="00404040"/>
      <sz val="9"/>
    </font>
    <font>
      <name val="Vazirmatn"/>
      <b val="1"/>
      <color rgb="00FFFFFF"/>
      <sz val="11"/>
    </font>
    <font>
      <name val="Vazirmatn"/>
      <sz val="8"/>
    </font>
    <font>
      <name val="Vazirmatn"/>
      <b val="1"/>
      <color rgb="00FFFFFF"/>
      <sz val="10"/>
    </font>
    <font>
      <name val="Vazirmatn"/>
      <b val="1"/>
      <color rgb="00FFFFFF"/>
      <sz val="9"/>
    </font>
    <font>
      <name val="Vazirmatn"/>
      <color theme="1"/>
      <sz val="11"/>
    </font>
    <font>
      <name val="Vazirmatn"/>
      <b val="1"/>
      <color rgb="001F3864"/>
      <sz val="13"/>
    </font>
    <font>
      <name val="Vazirmatn"/>
      <color rgb="00404040"/>
      <sz val="8"/>
    </font>
    <font>
      <name val="Vazirmatn"/>
      <color rgb="00C00000"/>
      <sz val="7"/>
    </font>
    <font>
      <name val="Vazirmatn"/>
      <b val="1"/>
      <color rgb="00C00000"/>
      <sz val="10"/>
    </font>
    <font>
      <name val="Vazirmatn"/>
      <sz val="7"/>
    </font>
    <font>
      <name val="Vazirmatn"/>
      <color rgb="000563C1"/>
      <sz val="7"/>
      <u val="single"/>
    </font>
    <font>
      <name val="Vazirmatn"/>
      <b val="1"/>
      <color rgb="00203764"/>
      <sz val="11"/>
    </font>
    <font>
      <name val="Vazirmatn"/>
      <b val="1"/>
      <color rgb="00203764"/>
      <sz val="12"/>
    </font>
    <font>
      <name val="Vazirmatn"/>
      <b val="1"/>
      <sz val="8"/>
    </font>
    <font>
      <name val="Vazirmatn"/>
      <sz val="11"/>
    </font>
  </fonts>
  <fills count="13">
    <fill>
      <patternFill/>
    </fill>
    <fill>
      <patternFill patternType="gray125"/>
    </fill>
    <fill>
      <patternFill patternType="solid">
        <fgColor rgb="00D9E1F2"/>
        <bgColor rgb="00D9E1F2"/>
      </patternFill>
    </fill>
    <fill>
      <patternFill patternType="solid">
        <fgColor rgb="004472C4"/>
        <bgColor rgb="004472C4"/>
      </patternFill>
    </fill>
    <fill>
      <patternFill patternType="solid">
        <fgColor rgb="00FFF2CC"/>
        <bgColor rgb="00FFF2CC"/>
      </patternFill>
    </fill>
    <fill>
      <patternFill patternType="solid">
        <fgColor rgb="00F2F2F2"/>
        <bgColor rgb="00F2F2F2"/>
      </patternFill>
    </fill>
    <fill>
      <patternFill patternType="solid">
        <fgColor rgb="00F8FAFF"/>
        <bgColor rgb="00F8FAFF"/>
      </patternFill>
    </fill>
    <fill>
      <patternFill patternType="solid">
        <fgColor rgb="00E9EDF4"/>
        <bgColor rgb="00E9EDF4"/>
      </patternFill>
    </fill>
    <fill>
      <patternFill patternType="solid">
        <fgColor rgb="001F3864"/>
      </patternFill>
    </fill>
    <fill>
      <patternFill patternType="solid">
        <fgColor rgb="00D9E2F3"/>
      </patternFill>
    </fill>
    <fill>
      <patternFill patternType="solid">
        <fgColor rgb="00F2F6FC"/>
      </patternFill>
    </fill>
    <fill>
      <patternFill patternType="solid">
        <fgColor rgb="00FCE4D6"/>
      </patternFill>
    </fill>
    <fill>
      <patternFill patternType="solid">
        <fgColor rgb="00FFE699"/>
      </patternFill>
    </fill>
  </fills>
  <borders count="8">
    <border>
      <left/>
      <right/>
      <top/>
      <bottom/>
      <diagonal/>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left style="thin">
        <color rgb="009DB7E8"/>
      </left>
      <right style="thin">
        <color rgb="009DB7E8"/>
      </right>
      <top style="thin">
        <color rgb="009DB7E8"/>
      </top>
      <bottom style="thin">
        <color rgb="009DB7E8"/>
      </bottom>
    </border>
    <border/>
  </borders>
  <cellStyleXfs count="1">
    <xf numFmtId="0" fontId="0" fillId="0" borderId="0"/>
  </cellStyleXfs>
  <cellXfs count="137">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3" fillId="3" borderId="0" applyAlignment="1" pivotButton="0" quotePrefix="0" xfId="0">
      <alignment horizontal="right" vertical="center" wrapText="1"/>
    </xf>
    <xf numFmtId="0" fontId="4" fillId="0" borderId="0" applyAlignment="1" pivotButton="0" quotePrefix="0" xfId="0">
      <alignment horizontal="right" vertical="center" wrapText="1" readingOrder="2"/>
    </xf>
    <xf numFmtId="0" fontId="3" fillId="3" borderId="0" applyAlignment="1" pivotButton="0" quotePrefix="0" xfId="0">
      <alignment horizontal="center" vertical="center" wrapText="1"/>
    </xf>
    <xf numFmtId="0" fontId="5" fillId="3" borderId="1" applyAlignment="1" pivotButton="0" quotePrefix="0" xfId="0">
      <alignment horizontal="center" vertical="center" wrapText="1"/>
    </xf>
    <xf numFmtId="0" fontId="0" fillId="3" borderId="1" pivotButton="0" quotePrefix="0" xfId="0"/>
    <xf numFmtId="0" fontId="0" fillId="0" borderId="4" pivotButton="0" quotePrefix="0" xfId="0"/>
    <xf numFmtId="0" fontId="0" fillId="0" borderId="5" pivotButton="0" quotePrefix="0" xfId="0"/>
    <xf numFmtId="0" fontId="4" fillId="0" borderId="1" applyAlignment="1" pivotButton="0" quotePrefix="0" xfId="0">
      <alignment horizontal="center" vertical="center" wrapText="1"/>
    </xf>
    <xf numFmtId="0" fontId="0" fillId="0" borderId="1" pivotButton="0" quotePrefix="0" xfId="0"/>
    <xf numFmtId="0" fontId="6" fillId="2" borderId="0" applyAlignment="1" pivotButton="0" quotePrefix="0" xfId="0">
      <alignment horizontal="center" vertical="center" wrapText="1"/>
    </xf>
    <xf numFmtId="0" fontId="7" fillId="0" borderId="0" applyAlignment="1" pivotButton="0" quotePrefix="0" xfId="0">
      <alignment horizontal="center" vertical="center" wrapText="1"/>
    </xf>
    <xf numFmtId="0" fontId="8" fillId="4" borderId="0" applyAlignment="1" pivotButton="0" quotePrefix="0" xfId="0">
      <alignment horizontal="center" vertical="center" wrapText="1"/>
    </xf>
    <xf numFmtId="0" fontId="9" fillId="0" borderId="1" applyAlignment="1" pivotButton="0" quotePrefix="0" xfId="0">
      <alignment horizontal="center" vertical="center" wrapText="1" readingOrder="2"/>
    </xf>
    <xf numFmtId="0" fontId="10" fillId="5" borderId="1" applyAlignment="1" pivotButton="0" quotePrefix="0" xfId="0">
      <alignment horizontal="center" vertical="center" wrapText="1"/>
    </xf>
    <xf numFmtId="0" fontId="10" fillId="4" borderId="1" applyAlignment="1" pivotButton="0" quotePrefix="0" xfId="0">
      <alignment horizontal="center" vertical="center" wrapText="1"/>
    </xf>
    <xf numFmtId="0" fontId="10" fillId="0" borderId="1" applyAlignment="1" pivotButton="0" quotePrefix="0" xfId="0">
      <alignment horizontal="center" vertical="center" wrapText="1"/>
    </xf>
    <xf numFmtId="0" fontId="9" fillId="6" borderId="1" applyAlignment="1" pivotButton="0" quotePrefix="0" xfId="0">
      <alignment horizontal="center" vertical="center" wrapText="1" readingOrder="2"/>
    </xf>
    <xf numFmtId="0" fontId="10" fillId="6" borderId="1" applyAlignment="1" pivotButton="0" quotePrefix="0" xfId="0">
      <alignment horizontal="center" vertical="center" wrapText="1"/>
    </xf>
    <xf numFmtId="0" fontId="11" fillId="2" borderId="0" applyAlignment="1" pivotButton="0" quotePrefix="0" xfId="0">
      <alignment horizontal="center" vertical="center" wrapText="1"/>
    </xf>
    <xf numFmtId="0" fontId="12" fillId="0" borderId="0" applyAlignment="1" pivotButton="0" quotePrefix="0" xfId="0">
      <alignment horizontal="center" vertical="center" wrapText="1"/>
    </xf>
    <xf numFmtId="0" fontId="9" fillId="5" borderId="1" applyAlignment="1" pivotButton="0" quotePrefix="0" xfId="0">
      <alignment horizontal="center" vertical="center" wrapText="1"/>
    </xf>
    <xf numFmtId="0" fontId="9" fillId="0" borderId="1" applyAlignment="1" pivotButton="0" quotePrefix="0" xfId="0">
      <alignment horizontal="center" vertical="center" wrapText="1"/>
    </xf>
    <xf numFmtId="0" fontId="13" fillId="0" borderId="0" applyAlignment="1" pivotButton="0" quotePrefix="0" xfId="0">
      <alignment horizontal="center" vertical="center" wrapText="1"/>
    </xf>
    <xf numFmtId="0" fontId="14" fillId="7" borderId="1" applyAlignment="1" pivotButton="0" quotePrefix="0" xfId="0">
      <alignment horizontal="center" vertical="center" wrapText="1"/>
    </xf>
    <xf numFmtId="0" fontId="4" fillId="4" borderId="1" applyAlignment="1" pivotButton="0" quotePrefix="0" xfId="0">
      <alignment horizontal="center" vertical="center" wrapText="1"/>
    </xf>
    <xf numFmtId="0" fontId="14" fillId="4" borderId="1" applyAlignment="1" pivotButton="0" quotePrefix="0" xfId="0">
      <alignment horizontal="center" vertical="center" wrapText="1"/>
    </xf>
    <xf numFmtId="0" fontId="15" fillId="3" borderId="0" applyAlignment="1" pivotButton="0" quotePrefix="0" xfId="0">
      <alignment horizontal="center" vertical="center" wrapText="1"/>
    </xf>
    <xf numFmtId="0" fontId="16" fillId="0" borderId="0" applyAlignment="1" pivotButton="0" quotePrefix="0" xfId="0">
      <alignment horizontal="center" vertical="center" wrapText="1"/>
    </xf>
    <xf numFmtId="0" fontId="17" fillId="8" borderId="0" applyAlignment="1" pivotButton="0" quotePrefix="0" xfId="0">
      <alignment horizontal="center" vertical="center"/>
    </xf>
    <xf numFmtId="0" fontId="18" fillId="0" borderId="6" applyAlignment="1" pivotButton="0" quotePrefix="0" xfId="0">
      <alignment horizontal="right" vertical="center" wrapText="1"/>
    </xf>
    <xf numFmtId="0" fontId="19" fillId="0" borderId="6" applyAlignment="1" pivotButton="0" quotePrefix="0" xfId="0">
      <alignment horizontal="right" vertical="center" wrapText="1"/>
    </xf>
    <xf numFmtId="0" fontId="20" fillId="0" borderId="6" applyAlignment="1" pivotButton="0" quotePrefix="0" xfId="0">
      <alignment horizontal="right" vertical="center" wrapText="1"/>
    </xf>
    <xf numFmtId="0" fontId="21" fillId="2" borderId="0" applyAlignment="1" pivotButton="0" quotePrefix="0" xfId="0">
      <alignment horizontal="center" vertical="center" wrapText="1"/>
    </xf>
    <xf numFmtId="0" fontId="22" fillId="0" borderId="0" applyAlignment="1" pivotButton="0" quotePrefix="0" xfId="0">
      <alignment horizontal="center" vertical="center" wrapText="1"/>
    </xf>
    <xf numFmtId="0" fontId="38" fillId="8" borderId="1" applyAlignment="1" pivotButton="0" quotePrefix="0" xfId="0">
      <alignment horizontal="center" vertical="center" wrapText="1"/>
    </xf>
    <xf numFmtId="0" fontId="24" fillId="0" borderId="0" applyAlignment="1" pivotButton="0" quotePrefix="0" xfId="0">
      <alignment horizontal="right" vertical="center" wrapText="1" readingOrder="2"/>
    </xf>
    <xf numFmtId="0" fontId="23" fillId="3" borderId="0" applyAlignment="1" pivotButton="0" quotePrefix="0" xfId="0">
      <alignment horizontal="right" vertical="center" wrapText="1"/>
    </xf>
    <xf numFmtId="0" fontId="23" fillId="3" borderId="0" applyAlignment="1" pivotButton="0" quotePrefix="0" xfId="0">
      <alignment horizontal="center" vertical="center" wrapText="1"/>
    </xf>
    <xf numFmtId="0" fontId="25" fillId="3" borderId="1" applyAlignment="1" pivotButton="0" quotePrefix="0" xfId="0">
      <alignment horizontal="center" vertical="center" wrapText="1"/>
    </xf>
    <xf numFmtId="0" fontId="24" fillId="0" borderId="1" applyAlignment="1" pivotButton="0" quotePrefix="0" xfId="0">
      <alignment horizontal="center" vertical="center" wrapText="1"/>
    </xf>
    <xf numFmtId="0" fontId="26" fillId="0" borderId="0" pivotButton="0" quotePrefix="0" xfId="0"/>
    <xf numFmtId="0" fontId="39" fillId="2"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4" borderId="0" applyAlignment="1" pivotButton="0" quotePrefix="0" xfId="0">
      <alignment horizontal="center" vertical="center" wrapText="1"/>
    </xf>
    <xf numFmtId="0" fontId="35" fillId="9" borderId="1" applyAlignment="1" pivotButton="0" quotePrefix="0" xfId="0">
      <alignment horizontal="center" vertical="center"/>
    </xf>
    <xf numFmtId="0" fontId="37" fillId="0" borderId="1" applyAlignment="1" pivotButton="0" quotePrefix="0" xfId="0">
      <alignment horizontal="right" vertical="center" wrapText="1"/>
    </xf>
    <xf numFmtId="0" fontId="40" fillId="0" borderId="1" applyAlignment="1" pivotButton="0" quotePrefix="0" xfId="0">
      <alignment horizontal="center" vertical="center" wrapText="1"/>
    </xf>
    <xf numFmtId="0" fontId="37" fillId="0" borderId="1" applyAlignment="1" pivotButton="0" quotePrefix="0" xfId="0">
      <alignment horizontal="center" vertical="center" wrapText="1"/>
    </xf>
    <xf numFmtId="0" fontId="37" fillId="5" borderId="1" applyAlignment="1" pivotButton="0" quotePrefix="0" xfId="0">
      <alignment horizontal="right" vertical="center" wrapText="1"/>
    </xf>
    <xf numFmtId="0" fontId="37" fillId="4" borderId="1" applyAlignment="1" pivotButton="0" quotePrefix="0" xfId="0">
      <alignment horizontal="right" vertical="center" wrapText="1"/>
    </xf>
    <xf numFmtId="0" fontId="35" fillId="0" borderId="1" applyAlignment="1" pivotButton="0" quotePrefix="0" xfId="0">
      <alignment horizontal="center" vertical="center" wrapText="1"/>
    </xf>
    <xf numFmtId="164" fontId="37" fillId="0" borderId="1" applyAlignment="1" pivotButton="0" quotePrefix="0" xfId="0">
      <alignment horizontal="center" vertical="center" wrapText="1"/>
    </xf>
    <xf numFmtId="0" fontId="37" fillId="10" borderId="1" applyAlignment="1" pivotButton="0" quotePrefix="0" xfId="0">
      <alignment horizontal="right" vertical="center" wrapText="1"/>
    </xf>
    <xf numFmtId="0" fontId="40" fillId="10" borderId="1" applyAlignment="1" pivotButton="0" quotePrefix="0" xfId="0">
      <alignment horizontal="center" vertical="center" wrapText="1"/>
    </xf>
    <xf numFmtId="0" fontId="37" fillId="10" borderId="1" applyAlignment="1" pivotButton="0" quotePrefix="0" xfId="0">
      <alignment horizontal="center" vertical="center" wrapText="1"/>
    </xf>
    <xf numFmtId="0" fontId="35" fillId="10" borderId="1" applyAlignment="1" pivotButton="0" quotePrefix="0" xfId="0">
      <alignment horizontal="center" vertical="center" wrapText="1"/>
    </xf>
    <xf numFmtId="164" fontId="37" fillId="10" borderId="1" applyAlignment="1" pivotButton="0" quotePrefix="0" xfId="0">
      <alignment horizontal="center" vertical="center" wrapText="1"/>
    </xf>
    <xf numFmtId="0" fontId="36" fillId="0" borderId="1" applyAlignment="1" pivotButton="0" quotePrefix="0" xfId="0">
      <alignment horizontal="right" vertical="center" wrapText="1"/>
    </xf>
    <xf numFmtId="0" fontId="36" fillId="10" borderId="1" applyAlignment="1" pivotButton="0" quotePrefix="0" xfId="0">
      <alignment horizontal="right" vertical="center" wrapText="1"/>
    </xf>
    <xf numFmtId="0" fontId="35" fillId="11" borderId="1" applyAlignment="1" pivotButton="0" quotePrefix="0" xfId="0">
      <alignment horizontal="center" vertical="center" wrapText="1"/>
    </xf>
    <xf numFmtId="164" fontId="0" fillId="0" borderId="0" pivotButton="0" quotePrefix="0" xfId="0"/>
    <xf numFmtId="0" fontId="30" fillId="0" borderId="0" applyAlignment="1" pivotButton="0" quotePrefix="0" xfId="0">
      <alignment horizontal="center" vertical="center" wrapText="1"/>
    </xf>
    <xf numFmtId="0" fontId="30" fillId="0" borderId="1" applyAlignment="1" pivotButton="0" quotePrefix="0" xfId="0">
      <alignment horizontal="center" vertical="center" wrapText="1" readingOrder="2"/>
    </xf>
    <xf numFmtId="0" fontId="41" fillId="0" borderId="1" applyAlignment="1" pivotButton="0" quotePrefix="0" xfId="0">
      <alignment horizontal="center" vertical="center" wrapText="1" readingOrder="2"/>
    </xf>
    <xf numFmtId="0" fontId="32" fillId="2" borderId="0" applyAlignment="1" pivotButton="0" quotePrefix="0" xfId="0">
      <alignment horizontal="center" vertical="center" wrapText="1"/>
    </xf>
    <xf numFmtId="0" fontId="27" fillId="2" borderId="0" applyAlignment="1" pivotButton="0" quotePrefix="0" xfId="0">
      <alignment horizontal="center" vertical="center" wrapText="1"/>
    </xf>
    <xf numFmtId="0" fontId="29" fillId="0" borderId="0" applyAlignment="1" pivotButton="0" quotePrefix="0" xfId="0">
      <alignment horizontal="center" vertical="center" wrapText="1"/>
    </xf>
    <xf numFmtId="0" fontId="33" fillId="7" borderId="1" applyAlignment="1" pivotButton="0" quotePrefix="0" xfId="0">
      <alignment horizontal="center" vertical="center" wrapText="1"/>
    </xf>
    <xf numFmtId="0" fontId="33" fillId="4" borderId="1" applyAlignment="1" pivotButton="0" quotePrefix="0" xfId="0">
      <alignment horizontal="center" vertical="center" wrapText="1"/>
    </xf>
    <xf numFmtId="0" fontId="24" fillId="0" borderId="0" applyAlignment="1" pivotButton="0" quotePrefix="0" xfId="0">
      <alignment horizontal="center" vertical="center" wrapText="1"/>
    </xf>
    <xf numFmtId="0" fontId="34" fillId="8" borderId="0" applyAlignment="1" pivotButton="0" quotePrefix="0" xfId="0">
      <alignment horizontal="center" vertical="center"/>
    </xf>
    <xf numFmtId="0" fontId="35" fillId="0" borderId="6" applyAlignment="1" pivotButton="0" quotePrefix="0" xfId="0">
      <alignment horizontal="right" vertical="center" wrapText="1"/>
    </xf>
    <xf numFmtId="0" fontId="36" fillId="0" borderId="6" applyAlignment="1" pivotButton="0" quotePrefix="0" xfId="0">
      <alignment horizontal="right" vertical="center" wrapText="1"/>
    </xf>
    <xf numFmtId="0" fontId="37" fillId="0" borderId="6" applyAlignment="1" pivotButton="0" quotePrefix="0" xfId="0">
      <alignment horizontal="right" vertical="center" wrapText="1"/>
    </xf>
    <xf numFmtId="0" fontId="39" fillId="0" borderId="0" pivotButton="0" quotePrefix="0" xfId="0"/>
    <xf numFmtId="0" fontId="37" fillId="0" borderId="0" applyAlignment="1" pivotButton="0" quotePrefix="0" xfId="0">
      <alignment vertical="center" wrapText="1"/>
    </xf>
    <xf numFmtId="0" fontId="42" fillId="9" borderId="1" applyAlignment="1" pivotButton="0" quotePrefix="0" xfId="0">
      <alignment horizontal="center" vertical="center"/>
    </xf>
    <xf numFmtId="0" fontId="35" fillId="12" borderId="1" applyAlignment="1" pivotButton="0" quotePrefix="0" xfId="0">
      <alignment horizontal="center" vertical="center" wrapText="1"/>
    </xf>
    <xf numFmtId="0" fontId="43" fillId="2" borderId="0" applyAlignment="1" pivotButton="0" quotePrefix="0" xfId="0">
      <alignment horizontal="center" vertical="center" wrapText="1"/>
    </xf>
    <xf numFmtId="0" fontId="44" fillId="0" borderId="0" pivotButton="0" quotePrefix="0" xfId="0"/>
    <xf numFmtId="0" fontId="45" fillId="0" borderId="0" applyAlignment="1" pivotButton="0" quotePrefix="0" xfId="0">
      <alignment horizontal="center" vertical="center" wrapText="1"/>
    </xf>
    <xf numFmtId="0" fontId="46" fillId="8" borderId="1" applyAlignment="1" pivotButton="0" quotePrefix="0" xfId="0">
      <alignment horizontal="center" vertical="center" wrapText="1"/>
    </xf>
    <xf numFmtId="0" fontId="44" fillId="0" borderId="4" pivotButton="0" quotePrefix="0" xfId="0"/>
    <xf numFmtId="0" fontId="44" fillId="0" borderId="5" pivotButton="0" quotePrefix="0" xfId="0"/>
    <xf numFmtId="0" fontId="47" fillId="0" borderId="0" applyAlignment="1" pivotButton="0" quotePrefix="0" xfId="0">
      <alignment horizontal="right" vertical="center" wrapText="1" readingOrder="2"/>
    </xf>
    <xf numFmtId="0" fontId="48" fillId="3" borderId="0" applyAlignment="1" pivotButton="0" quotePrefix="0" xfId="0">
      <alignment horizontal="right" vertical="center" wrapText="1"/>
    </xf>
    <xf numFmtId="0" fontId="48" fillId="3" borderId="0" applyAlignment="1" pivotButton="0" quotePrefix="0" xfId="0">
      <alignment horizontal="center" vertical="center" wrapText="1"/>
    </xf>
    <xf numFmtId="0" fontId="49" fillId="3" borderId="1" applyAlignment="1" pivotButton="0" quotePrefix="0" xfId="0">
      <alignment horizontal="center" vertical="center" wrapText="1"/>
    </xf>
    <xf numFmtId="0" fontId="44" fillId="3" borderId="1" pivotButton="0" quotePrefix="0" xfId="0"/>
    <xf numFmtId="0" fontId="47" fillId="0" borderId="1" applyAlignment="1" pivotButton="0" quotePrefix="0" xfId="0">
      <alignment horizontal="center" vertical="center" wrapText="1"/>
    </xf>
    <xf numFmtId="0" fontId="44" fillId="0" borderId="1" pivotButton="0" quotePrefix="0" xfId="0"/>
    <xf numFmtId="0" fontId="50" fillId="0" borderId="0" pivotButton="0" quotePrefix="0" xfId="0"/>
    <xf numFmtId="0" fontId="51" fillId="2" borderId="0" applyAlignment="1" pivotButton="0" quotePrefix="0" xfId="0">
      <alignment horizontal="center" vertical="center" wrapText="1"/>
    </xf>
    <xf numFmtId="0" fontId="52" fillId="0" borderId="0" applyAlignment="1" pivotButton="0" quotePrefix="0" xfId="0">
      <alignment horizontal="center" vertical="center" wrapText="1"/>
    </xf>
    <xf numFmtId="0" fontId="53" fillId="4" borderId="0" applyAlignment="1" pivotButton="0" quotePrefix="0" xfId="0">
      <alignment horizontal="center" vertical="center" wrapText="1"/>
    </xf>
    <xf numFmtId="164" fontId="44" fillId="0" borderId="0" pivotButton="0" quotePrefix="0" xfId="0"/>
    <xf numFmtId="0" fontId="18" fillId="9" borderId="1" applyAlignment="1" pivotButton="0" quotePrefix="0" xfId="0">
      <alignment horizontal="center" vertical="center"/>
    </xf>
    <xf numFmtId="0" fontId="20" fillId="0" borderId="1" applyAlignment="1" pivotButton="0" quotePrefix="0" xfId="0">
      <alignment horizontal="right" vertical="center" wrapText="1"/>
    </xf>
    <xf numFmtId="0" fontId="20" fillId="0" borderId="1" applyAlignment="1" pivotButton="0" quotePrefix="0" xfId="0">
      <alignment horizontal="center" vertical="center" wrapText="1"/>
    </xf>
    <xf numFmtId="0" fontId="18" fillId="12" borderId="1" applyAlignment="1" pivotButton="0" quotePrefix="0" xfId="0">
      <alignment horizontal="center" vertical="center" wrapText="1"/>
    </xf>
    <xf numFmtId="164" fontId="20" fillId="0" borderId="1" applyAlignment="1" pivotButton="0" quotePrefix="0" xfId="0">
      <alignment horizontal="center" vertical="center" wrapText="1"/>
    </xf>
    <xf numFmtId="0" fontId="20" fillId="10" borderId="1" applyAlignment="1" pivotButton="0" quotePrefix="0" xfId="0">
      <alignment horizontal="right" vertical="center" wrapText="1"/>
    </xf>
    <xf numFmtId="0" fontId="20" fillId="10" borderId="1" applyAlignment="1" pivotButton="0" quotePrefix="0" xfId="0">
      <alignment horizontal="center" vertical="center" wrapText="1"/>
    </xf>
    <xf numFmtId="0" fontId="19" fillId="10" borderId="1" applyAlignment="1" pivotButton="0" quotePrefix="0" xfId="0">
      <alignment horizontal="right" vertical="center" wrapText="1"/>
    </xf>
    <xf numFmtId="164" fontId="20" fillId="10" borderId="1" applyAlignment="1" pivotButton="0" quotePrefix="0" xfId="0">
      <alignment horizontal="center" vertical="center" wrapText="1"/>
    </xf>
    <xf numFmtId="0" fontId="51" fillId="0" borderId="0" pivotButton="0" quotePrefix="0" xfId="0"/>
    <xf numFmtId="0" fontId="20" fillId="0" borderId="0" applyAlignment="1" pivotButton="0" quotePrefix="0" xfId="0">
      <alignment vertical="center" wrapText="1"/>
    </xf>
    <xf numFmtId="0" fontId="54" fillId="0" borderId="1" applyAlignment="1" pivotButton="0" quotePrefix="0" xfId="0">
      <alignment horizontal="center" vertical="center" wrapText="1"/>
    </xf>
    <xf numFmtId="0" fontId="20" fillId="5" borderId="1" applyAlignment="1" pivotButton="0" quotePrefix="0" xfId="0">
      <alignment horizontal="right" vertical="center" wrapText="1"/>
    </xf>
    <xf numFmtId="0" fontId="20" fillId="4" borderId="1" applyAlignment="1" pivotButton="0" quotePrefix="0" xfId="0">
      <alignment horizontal="right" vertical="center" wrapText="1"/>
    </xf>
    <xf numFmtId="0" fontId="18" fillId="0" borderId="1" applyAlignment="1" pivotButton="0" quotePrefix="0" xfId="0">
      <alignment horizontal="center" vertical="center" wrapText="1"/>
    </xf>
    <xf numFmtId="0" fontId="54" fillId="10" borderId="1" applyAlignment="1" pivotButton="0" quotePrefix="0" xfId="0">
      <alignment horizontal="center" vertical="center" wrapText="1"/>
    </xf>
    <xf numFmtId="0" fontId="18" fillId="10" borderId="1" applyAlignment="1" pivotButton="0" quotePrefix="0" xfId="0">
      <alignment horizontal="center" vertical="center" wrapText="1"/>
    </xf>
    <xf numFmtId="0" fontId="19" fillId="0" borderId="1" applyAlignment="1" pivotButton="0" quotePrefix="0" xfId="0">
      <alignment horizontal="right" vertical="center" wrapText="1"/>
    </xf>
    <xf numFmtId="0" fontId="18" fillId="11" borderId="1" applyAlignment="1" pivotButton="0" quotePrefix="0" xfId="0">
      <alignment horizontal="center" vertical="center" wrapText="1"/>
    </xf>
    <xf numFmtId="0" fontId="55" fillId="0" borderId="0" applyAlignment="1" pivotButton="0" quotePrefix="0" xfId="0">
      <alignment horizontal="center" vertical="center" wrapText="1"/>
    </xf>
    <xf numFmtId="0" fontId="55" fillId="0" borderId="1" applyAlignment="1" pivotButton="0" quotePrefix="0" xfId="0">
      <alignment horizontal="center" vertical="center" wrapText="1" readingOrder="2"/>
    </xf>
    <xf numFmtId="0" fontId="56" fillId="0" borderId="1" applyAlignment="1" pivotButton="0" quotePrefix="0" xfId="0">
      <alignment horizontal="center" vertical="center" wrapText="1" readingOrder="2"/>
    </xf>
    <xf numFmtId="0" fontId="57" fillId="2" borderId="0" applyAlignment="1" pivotButton="0" quotePrefix="0" xfId="0">
      <alignment horizontal="center" vertical="center" wrapText="1"/>
    </xf>
    <xf numFmtId="0" fontId="55" fillId="5" borderId="1" applyAlignment="1" pivotButton="0" quotePrefix="0" xfId="0">
      <alignment horizontal="center" vertical="center" wrapText="1"/>
    </xf>
    <xf numFmtId="0" fontId="55" fillId="0" borderId="1" applyAlignment="1" pivotButton="0" quotePrefix="0" xfId="0">
      <alignment horizontal="center" vertical="center" wrapText="1"/>
    </xf>
    <xf numFmtId="0" fontId="58" fillId="2" borderId="0" applyAlignment="1" pivotButton="0" quotePrefix="0" xfId="0">
      <alignment horizontal="center" vertical="center" wrapText="1"/>
    </xf>
    <xf numFmtId="0" fontId="53" fillId="0" borderId="0" applyAlignment="1" pivotButton="0" quotePrefix="0" xfId="0">
      <alignment horizontal="center" vertical="center" wrapText="1"/>
    </xf>
    <xf numFmtId="0" fontId="59" fillId="7" borderId="1" applyAlignment="1" pivotButton="0" quotePrefix="0" xfId="0">
      <alignment horizontal="center" vertical="center" wrapText="1"/>
    </xf>
    <xf numFmtId="0" fontId="47" fillId="4" borderId="1" applyAlignment="1" pivotButton="0" quotePrefix="0" xfId="0">
      <alignment horizontal="center" vertical="center" wrapText="1"/>
    </xf>
    <xf numFmtId="0" fontId="59" fillId="4" borderId="1" applyAlignment="1" pivotButton="0" quotePrefix="0" xfId="0">
      <alignment horizontal="center" vertical="center" wrapText="1"/>
    </xf>
    <xf numFmtId="0" fontId="47" fillId="0" borderId="0" applyAlignment="1" pivotButton="0" quotePrefix="0" xfId="0">
      <alignment horizontal="center" vertical="center" wrapText="1"/>
    </xf>
    <xf numFmtId="0" fontId="60" fillId="0" borderId="0" pivotButton="0" quotePrefix="0" xfId="0"/>
    <xf numFmtId="0" fontId="60" fillId="0" borderId="7" pivotButton="0" quotePrefix="0" xfId="0"/>
    <xf numFmtId="164" fontId="60" fillId="0" borderId="7" pivotButton="0" quotePrefix="0" xfId="0"/>
    <xf numFmtId="0" fontId="60" fillId="0" borderId="7" applyAlignment="1" pivotButton="0" quotePrefix="0" xfId="0">
      <alignment horizontal="center" vertical="center"/>
    </xf>
    <xf numFmtId="0" fontId="60" fillId="0" borderId="7" applyAlignment="1" pivotButton="0" quotePrefix="0" xfId="0">
      <alignment horizontal="right" vertical="center" wrapText="1"/>
    </xf>
    <xf numFmtId="0" fontId="60" fillId="0" borderId="7" applyAlignment="1" pivotButton="0" quotePrefix="0" xfId="0">
      <alignment horizontal="center" vertical="center" wrapText="1"/>
    </xf>
    <xf numFmtId="164" fontId="60" fillId="0" borderId="7"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hyperlink" Target="changeover.c" TargetMode="External" Id="rId1" /><Relationship Type="http://schemas.openxmlformats.org/officeDocument/2006/relationships/hyperlink" Target="../../Config/Inc/app_types.h" TargetMode="External" Id="rId2" /><Relationship Type="http://schemas.openxmlformats.org/officeDocument/2006/relationships/hyperlink" Target="../../Bsp/Inc/bsp_gpio.h" TargetMode="External" Id="rId3" /><Relationship Type="http://schemas.openxmlformats.org/officeDocument/2006/relationships/hyperlink" Target="changeover.c" TargetMode="External" Id="rId4" /><Relationship Type="http://schemas.openxmlformats.org/officeDocument/2006/relationships/hyperlink" Target="../../Config/Inc/app_types.h" TargetMode="External" Id="rId5" /></Relationships>
</file>

<file path=xl/worksheets/_rels/sheet9.xml.rels><Relationships xmlns="http://schemas.openxmlformats.org/package/2006/relationships"><Relationship Type="http://schemas.openxmlformats.org/officeDocument/2006/relationships/hyperlink" Target="Changeover_State_Machine.xlsx" TargetMode="External" Id="rId1" /><Relationship Type="http://schemas.openxmlformats.org/officeDocument/2006/relationships/hyperlink" Target="../../../Documentation/System_State_Machine.xlsx" TargetMode="External" Id="rId2" /><Relationship Type="http://schemas.openxmlformats.org/officeDocument/2006/relationships/hyperlink" Target="../../../tools/make_module_state_machines.py" TargetMode="External" Id="rId3" /></Relationships>
</file>

<file path=xl/worksheets/sheet1.xml><?xml version="1.0" encoding="utf-8"?>
<worksheet xmlns="http://schemas.openxmlformats.org/spreadsheetml/2006/main">
  <sheetPr>
    <tabColor rgb="007F7F7F"/>
    <outlinePr summaryBelow="1" summaryRight="1"/>
    <pageSetUpPr fitToPage="1"/>
  </sheetPr>
  <dimension ref="A1:P27"/>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ht="28" customHeight="1">
      <c r="A1" s="81" t="inlineStr">
        <is>
          <t>برگه تست و اعتبارسنجی عملی ماژول Changeover — منطق قطع/وصل باتری</t>
        </is>
      </c>
    </row>
    <row r="2" ht="40" customHeight="1">
      <c r="A2" s="83" t="inlineStr">
        <is>
          <t>ChangeOver | PB11 (BSP_GPIO_PROTECT_BATTERY) | آستانه‌ها: 21000/20800/21200 و فیلتر 3000ms | نسخه 2.1 — فقط PB11، زمان rtos_time</t>
        </is>
      </c>
    </row>
    <row r="3" ht="30" customHeight="1">
      <c r="A3" s="84" t="inlineStr">
        <is>
          <t>هدف فایل</t>
        </is>
      </c>
      <c r="B3" s="8" t="n"/>
      <c r="C3" s="8" t="n"/>
      <c r="D3" s="8" t="n"/>
      <c r="E3" s="8" t="n"/>
      <c r="F3" s="8" t="n"/>
      <c r="G3" s="8" t="n"/>
      <c r="H3" s="8" t="n"/>
      <c r="I3" s="8" t="n"/>
      <c r="J3" s="8" t="n"/>
      <c r="K3" s="8" t="n"/>
      <c r="L3" s="8" t="n"/>
      <c r="M3" s="8" t="n"/>
      <c r="N3" s="8" t="n"/>
      <c r="O3" s="8" t="n"/>
      <c r="P3" s="9" t="n"/>
    </row>
    <row r="4" ht="13" customHeight="1">
      <c r="A4" s="87" t="inlineStr">
        <is>
          <t>این فایل برای اعتبارسنجی منطق Changeover تهیه شده است: بررسی snapshot.valid، fault_mask، input_present، v_bat24_mv، قفل داخلی باتری کم و تایمر 3000ms.</t>
        </is>
      </c>
    </row>
    <row r="5" ht="13" customHeight="1">
      <c r="A5" s="87" t="inlineStr">
        <is>
          <t>هیچ ردیفی بدون «روش اجرا» و «نتیجه مورد انتظار» نیست؛ هر PASS/FAIL با مقدار mV و ms و state/PB11 قابل اندازه‌گیری تعریف شده است.</t>
        </is>
      </c>
    </row>
    <row r="6" ht="13" customHeight="1">
      <c r="A6" s="87" t="inlineStr">
        <is>
          <t>قبل از تست برد، «نتیجه واقعی» خالی و «وضعیت» = در انتظار بماند؛ ادعای PASS برای تست انجام‌نشده ممنوع است. فقط یک Workbook برای Changeover باقی بماند.</t>
        </is>
      </c>
    </row>
    <row r="7" ht="18" customHeight="1">
      <c r="A7" s="88" t="inlineStr">
        <is>
          <t>دامنه: فقط Changeover؛ Measurement برای snapshot، Fault برای fault_mask و UI برای فلگ</t>
        </is>
      </c>
    </row>
    <row r="8" ht="13" customHeight="1">
      <c r="A8" s="87" t="inlineStr">
        <is>
          <t>منطق (snapshot-first): اگر snapshot==NULL یا valid==false → هیچ تصمیمی، state حفظ، PB11 حفظ، تایمر reset، fault هم state را تغییر نمی‌دهد، زمان نامعتبر شمرده نشود.</t>
        </is>
      </c>
    </row>
    <row r="9" ht="13" customHeight="1">
      <c r="A9" s="87" t="inlineStr">
        <is>
          <t>فقط وقتی snapshot معتبر و fault!=0 → state=FAULT بدون تغییر هیچ pin (PB11/PB5/PB7).</t>
        </is>
      </c>
    </row>
    <row r="10" ht="13" customHeight="1">
      <c r="A10" s="87" t="inlineStr">
        <is>
          <t>قطع با گیت: v_bat&lt;21000 و flag true به‌مدت پیوسته 3000ms → قطع (PB11 Low) → SAFE. قطع مستقل: v_bat&lt;20800 مستقل از فلگ 3000ms → SAFE.</t>
        </is>
      </c>
    </row>
    <row r="11" ht="13" customHeight="1">
      <c r="A11" s="87" t="inlineStr">
        <is>
          <t>وصل مجدد: input_present==true و v_bat≥21200 به‌مدت پیوسته 3000ms → وصل (PB11 High) → INPUT (هرگز IDLE).</t>
        </is>
      </c>
    </row>
    <row r="12" ht="13" customHeight="1">
      <c r="A12" s="87" t="inlineStr">
        <is>
          <t>زمان فقط با func__Rtos_MillisecondsToTicks و osKernelGetTickCount؛ فرض tick=1ms ممنوع؛ durationTicks==0 → هیچ قطع/وصل فوری.</t>
        </is>
      </c>
    </row>
    <row r="13" ht="18" customHeight="1">
      <c r="A13" s="88" t="inlineStr">
        <is>
          <t>روش اجرای تست</t>
        </is>
      </c>
    </row>
    <row r="14" ht="13" customHeight="1">
      <c r="A14" s="87" t="inlineStr">
        <is>
          <t>۱) برد را با منبع آزمایشگاهی و رعایت ایمنی تغذیه کن؛ PB11 را با DMM/اسکوپ نسبت به GND اندازه بگیر (فعال Low). PB5/PB7 را هم هم‌زمان اسکوپ کن و مطمئن شو تغییری ندارند.</t>
        </is>
      </c>
    </row>
    <row r="15" ht="13" customHeight="1">
      <c r="A15" s="87" t="inlineStr">
        <is>
          <t>۲) firmware موردنظر را پروگرام کن؛ commit و شناسه برد را در «تأیید نهایی» ثبت کن.</t>
        </is>
      </c>
    </row>
    <row r="16" ht="13" customHeight="1">
      <c r="A16" s="87" t="inlineStr">
        <is>
          <t>۳) snapshot را تزریق کن: valid، v_bat24_mv، input_present را ست کن؛ قفل داخلی باتری کم فقط با ولتاژ زیر ۲۱۰۰۰ میلی‌ولت بسته می‌شود (مستقیم ست نمی‌شود)؛ fault_mask را از Fault اعمال کن.</t>
        </is>
      </c>
    </row>
    <row r="17" ht="13" customHeight="1">
      <c r="A17" s="87" t="inlineStr">
        <is>
          <t>۴) برای تست 3000ms: شرط را حداقل 3500ms پایدار نگه دار و سپس PB11 و state را بخوان؛ برای تست &lt;3000ms: پس از 2500ms بخوان و مطمئن شو هنوز تغییر نکرده.</t>
        </is>
      </c>
    </row>
    <row r="18" ht="13" customHeight="1">
      <c r="A18" s="87" t="inlineStr">
        <is>
          <t>۵) برای snapshot نامعتبر: valid=false یا NULL تزریق کن و ببین state و PB11 حفظ می‌ماند (باید «state فعلی حفظ شود» نه IDLE ثابت).</t>
        </is>
      </c>
    </row>
    <row r="19" ht="13" customHeight="1">
      <c r="A19" s="87" t="inlineStr">
        <is>
          <t>۶) نتیجه واقعی را بنویس و در صورت رد، در «ثبت ایراد» ردیف بساز.</t>
        </is>
      </c>
    </row>
    <row r="20">
      <c r="A20" s="89" t="inlineStr">
        <is>
          <t>تاریخچه نسخه</t>
        </is>
      </c>
    </row>
    <row r="21">
      <c r="A21" s="90" t="inlineStr">
        <is>
          <t>تاریخ</t>
        </is>
      </c>
      <c r="B21" s="90" t="inlineStr">
        <is>
          <t>نسخه</t>
        </is>
      </c>
      <c r="C21" s="90" t="inlineStr">
        <is>
          <t>شرح تغییر</t>
        </is>
      </c>
      <c r="D21" s="90" t="inlineStr">
        <is>
          <t>commit</t>
        </is>
      </c>
      <c r="E21" s="91" t="n"/>
      <c r="F21" s="8" t="n"/>
      <c r="G21" s="8" t="n"/>
      <c r="H21" s="8" t="n"/>
      <c r="I21" s="8" t="n"/>
      <c r="J21" s="8" t="n"/>
      <c r="K21" s="8" t="n"/>
      <c r="L21" s="8" t="n"/>
      <c r="M21" s="8" t="n"/>
      <c r="N21" s="8" t="n"/>
      <c r="O21" s="8" t="n"/>
      <c r="P21" s="9" t="n"/>
    </row>
    <row r="22" ht="14" customHeight="1">
      <c r="A22" s="92" t="inlineStr">
        <is>
          <t>2026-09-16</t>
        </is>
      </c>
      <c r="B22" s="92" t="inlineStr">
        <is>
          <t>2.1</t>
        </is>
      </c>
      <c r="C22" s="92" t="inlineStr">
        <is>
          <t>تکمیل ۲۲ تست مطابق لیست درخواستی، ستون‌های ۱۶گانه، PASS/FAIL per test، زمان rtos_time و duration0 guard</t>
        </is>
      </c>
      <c r="D22" s="92" t="inlineStr">
        <is>
          <t>c6b084f28f2c507cfd342e5dbd0dbd8e45686772</t>
        </is>
      </c>
      <c r="E22" s="93" t="n"/>
      <c r="F22" s="8" t="n"/>
      <c r="G22" s="8" t="n"/>
      <c r="H22" s="8" t="n"/>
      <c r="I22" s="8" t="n"/>
      <c r="J22" s="8" t="n"/>
      <c r="K22" s="8" t="n"/>
      <c r="L22" s="8" t="n"/>
      <c r="M22" s="8" t="n"/>
      <c r="N22" s="8" t="n"/>
      <c r="O22" s="8" t="n"/>
      <c r="P22" s="9" t="n"/>
    </row>
    <row r="23" ht="14" customHeight="1">
      <c r="A23" s="92" t="inlineStr">
        <is>
          <t>2026-09-16</t>
        </is>
      </c>
      <c r="B23" s="92" t="inlineStr">
        <is>
          <t>2.0</t>
        </is>
      </c>
      <c r="C23" s="92" t="inlineStr">
        <is>
          <t>snapshot-first با MillisecondsToTicks، نگاشت BATTERY/INPUT/SAFE/FAULT بدون IDLE</t>
        </is>
      </c>
      <c r="D23" s="92" t="inlineStr">
        <is>
          <t>a4a5bf2</t>
        </is>
      </c>
      <c r="E23" s="93" t="n"/>
      <c r="F23" s="8" t="n"/>
      <c r="G23" s="8" t="n"/>
      <c r="H23" s="8" t="n"/>
      <c r="I23" s="8" t="n"/>
      <c r="J23" s="8" t="n"/>
      <c r="K23" s="8" t="n"/>
      <c r="L23" s="8" t="n"/>
      <c r="M23" s="8" t="n"/>
      <c r="N23" s="8" t="n"/>
      <c r="O23" s="8" t="n"/>
      <c r="P23" s="9" t="n"/>
    </row>
    <row r="24" ht="14" customHeight="1">
      <c r="A24" s="92" t="inlineStr">
        <is>
          <t>2026-09-16</t>
        </is>
      </c>
      <c r="B24" s="92" t="inlineStr">
        <is>
          <t>1.0</t>
        </is>
      </c>
      <c r="C24" s="92" t="inlineStr">
        <is>
          <t>پیاده‌سازی با 21 سناریو</t>
        </is>
      </c>
      <c r="D24" s="92" t="inlineStr">
        <is>
          <t>d0adc6f</t>
        </is>
      </c>
      <c r="E24" s="93" t="n"/>
      <c r="F24" s="8" t="n"/>
      <c r="G24" s="8" t="n"/>
      <c r="H24" s="8" t="n"/>
      <c r="I24" s="8" t="n"/>
      <c r="J24" s="8" t="n"/>
      <c r="K24" s="8" t="n"/>
      <c r="L24" s="8" t="n"/>
      <c r="M24" s="8" t="n"/>
      <c r="N24" s="8" t="n"/>
      <c r="O24" s="8" t="n"/>
      <c r="P24" s="9" t="n"/>
    </row>
    <row r="25">
      <c r="A25" s="94" t="inlineStr">
        <is>
          <t>2026-10-12</t>
        </is>
      </c>
      <c r="B25" s="94" t="inlineStr">
        <is>
          <t>1.87</t>
        </is>
      </c>
      <c r="C25" s="94" t="inlineStr">
        <is>
          <t>پنل دیالوگ تیره همرنگ + صف PMQ + Enter/Esc + snapshot zeroing task_control (62f3782)</t>
        </is>
      </c>
      <c r="D25" s="94" t="inlineStr">
        <is>
          <t>62f3782</t>
        </is>
      </c>
      <c r="E25" s="82" t="n"/>
      <c r="F25" s="82" t="n"/>
      <c r="G25" s="82" t="n"/>
      <c r="H25" s="82" t="n"/>
      <c r="I25" s="82" t="n"/>
      <c r="J25" s="82" t="n"/>
      <c r="K25" s="82" t="n"/>
      <c r="L25" s="82" t="n"/>
      <c r="M25" s="82" t="n"/>
      <c r="N25" s="82" t="n"/>
      <c r="O25" s="82" t="n"/>
      <c r="P25" s="82" t="n"/>
    </row>
    <row r="27">
      <c r="A27" s="130" t="inlineStr">
        <is>
          <t>اولویت تست‌های عملی: «بالا» یعنی رفتار اصلی‌ای که در کار عادی دستگاه می‌بینید (روشن‌شدن، شروع و پایان شارژ، چهره‌های اصلی چراغ‌ها، رفتن تغذیه روی برق ورودی، خطاهای اصلی)؛ اول همین‌ها را انجام دهید. «متوسط» رفتارهای فرعیِ کاربردی است و «پایین» ریزه‌کاری‌ها (مثل اثر نوسان چند درصدی روی ریتم چشمک یا لبه‌های دقیق درصد و زمان).
ستون «چه چیزی باید ببینید تا بگویید درست است» می‌گوید دقیقاً چه چیزی را باید ببینید یا بشنوید تا آن تست را قبول کنید؛ اگر چیز دیگری دیدید، وضعیت را «رد» بزنید و در شرح ایراد بنویسید چه دیدید.</t>
        </is>
      </c>
    </row>
  </sheetData>
  <mergeCells count="24">
    <mergeCell ref="A5:P5"/>
    <mergeCell ref="A14:P14"/>
    <mergeCell ref="A17:P17"/>
    <mergeCell ref="A8:P8"/>
    <mergeCell ref="A4:P4"/>
    <mergeCell ref="A20:P20"/>
    <mergeCell ref="A19:P19"/>
    <mergeCell ref="A10:P10"/>
    <mergeCell ref="A13:P13"/>
    <mergeCell ref="A9:P9"/>
    <mergeCell ref="A15:P15"/>
    <mergeCell ref="A11:P11"/>
    <mergeCell ref="A1:P1"/>
    <mergeCell ref="A6:P6"/>
    <mergeCell ref="E22:P22"/>
    <mergeCell ref="A16:P16"/>
    <mergeCell ref="A7:P7"/>
    <mergeCell ref="E21:P21"/>
    <mergeCell ref="E24:P24"/>
    <mergeCell ref="A18:P18"/>
    <mergeCell ref="E23:P23"/>
    <mergeCell ref="A12:P12"/>
    <mergeCell ref="A3:P3"/>
    <mergeCell ref="A2:P2"/>
  </mergeCells>
  <printOptions horizontalCentered="1"/>
  <pageMargins left="0.75" right="0.75" top="1" bottom="1" header="0.5" footer="0.5"/>
  <pageSetup orientation="landscape" paperSize="8" fitToHeight="0" fitToWidth="1"/>
</worksheet>
</file>

<file path=xl/worksheets/sheet2.xml><?xml version="1.0" encoding="utf-8"?>
<worksheet xmlns="http://schemas.openxmlformats.org/spreadsheetml/2006/main">
  <sheetPr>
    <tabColor rgb="001F4E79"/>
    <outlinePr summaryBelow="1" summaryRight="1"/>
    <pageSetUpPr fitToPage="1"/>
  </sheetPr>
  <dimension ref="A1:Q4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ht="22" customHeight="1">
      <c r="A1" s="95" t="inlineStr">
        <is>
          <t>برنامه تست عملی — ماژول Changeover (قطع/وصل باتری با 3000ms)</t>
        </is>
      </c>
      <c r="Q1" s="82" t="n"/>
    </row>
    <row r="2" ht="30" customHeight="1">
      <c r="A2" s="96" t="inlineStr">
        <is>
          <t>ورودی‌ها بر حسب mV؛ زمان‌ها بر حسب ms. PB11 فقط از BSP_GPIO_PROTECT_BATTERY (فعال Low) — PB5/PB7 ممنوع. ورودی‌ها: valid، v_bat، input_present، flag، fault.</t>
        </is>
      </c>
      <c r="Q2" s="82" t="n"/>
    </row>
    <row r="3" ht="32" customHeight="1">
      <c r="A3" s="97" t="inlineStr">
        <is>
          <t>snapshot نامعتبر → «state فعلی حفظ شود» (نه IDLE ثابت). CO-010/012 باید INPUT باشد. معیار قبولی هر ردیف توضیح می‌دهد PASS چیست و FAIL چیست.</t>
        </is>
      </c>
      <c r="Q3" s="82" t="n"/>
    </row>
    <row r="4" ht="30" customHeight="1">
      <c r="A4" s="84" t="inlineStr">
        <is>
          <t>شناسه تست</t>
        </is>
      </c>
      <c r="B4" s="84" t="inlineStr">
        <is>
          <t>دسته</t>
        </is>
      </c>
      <c r="C4" s="84" t="inlineStr">
        <is>
          <t>اولویت</t>
        </is>
      </c>
      <c r="D4" s="84" t="inlineStr">
        <is>
          <t>پیش‌شرط</t>
        </is>
      </c>
      <c r="E4" s="84" t="inlineStr">
        <is>
          <t>روش اجرای دقیق</t>
        </is>
      </c>
      <c r="F4" s="84" t="inlineStr">
        <is>
          <t>ورودی‌ها</t>
        </is>
      </c>
      <c r="G4" s="84" t="inlineStr">
        <is>
          <t>مدت مشاهده</t>
        </is>
      </c>
      <c r="H4" s="84" t="inlineStr">
        <is>
          <t>نتیجه مورد انتظار</t>
        </is>
      </c>
      <c r="I4" s="84" t="inlineStr">
        <is>
          <t>چه چیزی باید ببینید تا بگویید درست است</t>
        </is>
      </c>
      <c r="J4" s="84" t="inlineStr">
        <is>
          <t>نتیجه واقعی</t>
        </is>
      </c>
      <c r="K4" s="84" t="inlineStr">
        <is>
          <t>وضعیت</t>
        </is>
      </c>
      <c r="L4" s="84" t="inlineStr">
        <is>
          <t>شرح ایراد</t>
        </is>
      </c>
      <c r="M4" s="84" t="inlineStr">
        <is>
          <t>مدرک تست</t>
        </is>
      </c>
      <c r="N4" s="84" t="inlineStr">
        <is>
          <t>commit</t>
        </is>
      </c>
      <c r="O4" s="84" t="inlineStr">
        <is>
          <t>نام تست‌کننده</t>
        </is>
      </c>
      <c r="P4" s="84" t="inlineStr">
        <is>
          <t>تاریخ</t>
        </is>
      </c>
      <c r="Q4" s="84" t="n"/>
    </row>
    <row r="5" ht="54" customHeight="1">
      <c r="A5" s="99" t="inlineStr">
        <is>
          <t>CO-025</t>
        </is>
      </c>
      <c r="B5" s="100" t="inlineStr">
        <is>
          <t>عملکرد واقعی خروجی</t>
        </is>
      </c>
      <c r="C5" s="101" t="inlineStr">
        <is>
          <t>بالا</t>
        </is>
      </c>
      <c r="D5" s="100" t="inlineStr">
        <is>
          <t>دستگاه روشن، باتری وصل و یک بار (مثلاً لامپ) روی خروجی</t>
        </is>
      </c>
      <c r="E5" s="100" t="inlineStr">
        <is>
          <t>گام ۱: دستگاه را فقط با باتری روشن کن و مطمئن شو بار روشن است.
گام ۲: ولتاژ باتری را با منبع آزمایشگاهی آرام پایین بیاور تا زیر 21 ولت برسد.
گام ۳: چند ثانیه صبر کن و بار را نگاه کن.
گام ۴: بار باید خاموش شود (خروجی قطع شود)؛ تا وقتی باتری بالای 21 ولت است بار نباید قطع شود.</t>
        </is>
      </c>
      <c r="F5" s="100" t="inlineStr">
        <is>
          <t>باتری از 24 ولت تا زیر 21 ولت</t>
        </is>
      </c>
      <c r="G5" s="101" t="inlineStr">
        <is>
          <t>چند ثانیه</t>
        </is>
      </c>
      <c r="H5" s="100" t="inlineStr">
        <is>
          <t>با افت باتری زیر حد، خروجی بعد از چند ثانیه قطع و بار خاموش می‌شود</t>
        </is>
      </c>
      <c r="I5" s="100" t="inlineStr">
        <is>
          <t>باید ببینید: با افت باتری زیر حد، خروجی بعد از چند ثانیه قطع و بار خاموش می‌شود؛ تا وقتی باتری بالای حد است بار روشن می‌ماند. اگر زود قطع کرد یا اصلاً قطع نکرد، قبول نیست.</t>
        </is>
      </c>
      <c r="J5" s="100" t="inlineStr">
        <is>
          <t>بار قطع شود؛ قطع زودهنگام وقتی باتری هنوز بالای حد است = رد</t>
        </is>
      </c>
      <c r="K5" s="100" t="n"/>
      <c r="L5" s="102" t="inlineStr">
        <is>
          <t>در انتظار</t>
        </is>
      </c>
      <c r="M5" s="100" t="n"/>
      <c r="N5" s="100" t="n"/>
      <c r="O5" s="101" t="n"/>
      <c r="P5" s="101">
        <f>IF(OR(K5="",K5="در انتظار"),"",IF(P5="",TODAY(),P5))</f>
        <v/>
      </c>
      <c r="Q5" s="103" t="n"/>
    </row>
    <row r="6" ht="54" customHeight="1">
      <c r="A6" s="99" t="inlineStr">
        <is>
          <t>CO-026</t>
        </is>
      </c>
      <c r="B6" s="104" t="inlineStr">
        <is>
          <t>عملکرد واقعی خروجی</t>
        </is>
      </c>
      <c r="C6" s="105" t="inlineStr">
        <is>
          <t>بالا</t>
        </is>
      </c>
      <c r="D6" s="106" t="inlineStr">
        <is>
          <t>پایان CO-025 (خروجی قطع است)</t>
        </is>
      </c>
      <c r="E6" s="106" t="inlineStr">
        <is>
          <t>گام ۱: از پایان CO-025 شروع کن که خروجی قطع و بار خاموش است.
گام ۲: برق شهر (ورودی) را وصل کن و ولتاژ باتری را به بالای 21.2 ولت برگردان (با شارژ یا منبع).
گام ۳: چند ثانیه صبر کن.
گام ۴: بار باید دوباره روشن شود؛ اگر ولتاژ باتری هنوز پایین است نباید وصل شود.</t>
        </is>
      </c>
      <c r="F6" s="104" t="inlineStr">
        <is>
          <t>ورودی حاضر + باتری بالای 21.2 ولت</t>
        </is>
      </c>
      <c r="G6" s="105" t="inlineStr">
        <is>
          <t>چند ثانیه</t>
        </is>
      </c>
      <c r="H6" s="104" t="inlineStr">
        <is>
          <t>خروجی وصل و بار روشن می‌شود</t>
        </is>
      </c>
      <c r="I6" s="104" t="inlineStr">
        <is>
          <t>باید ببینید: با برگشت ورودی و باتریِ کافی، خروجی وصل و بار روشن می‌شود. اگر با باتری پایین وصل شد یا اصلاً وصل نشد، قبول نیست.</t>
        </is>
      </c>
      <c r="J6" s="104" t="inlineStr">
        <is>
          <t>بار دوباره روشن شود؛ وصل شدن با باتری پایین = رد</t>
        </is>
      </c>
      <c r="K6" s="104" t="n"/>
      <c r="L6" s="102" t="inlineStr">
        <is>
          <t>در انتظار</t>
        </is>
      </c>
      <c r="M6" s="104" t="n"/>
      <c r="N6" s="104" t="n"/>
      <c r="O6" s="105" t="n"/>
      <c r="P6" s="105">
        <f>IF(OR(K6="",K6="در انتظار"),"",IF(P6="",TODAY(),P6))</f>
        <v/>
      </c>
      <c r="Q6" s="107" t="n"/>
    </row>
    <row r="7" ht="54" customHeight="1">
      <c r="A7" s="99" t="inlineStr">
        <is>
          <t>CO-027</t>
        </is>
      </c>
      <c r="B7" s="100" t="inlineStr">
        <is>
          <t>عملکرد واقعی خروجی</t>
        </is>
      </c>
      <c r="C7" s="101" t="inlineStr">
        <is>
          <t>بالا</t>
        </is>
      </c>
      <c r="D7" s="100" t="inlineStr">
        <is>
          <t>دستگاه با برق شهر و باتری وصل، بار روشن</t>
        </is>
      </c>
      <c r="E7" s="100" t="inlineStr">
        <is>
          <t>گام ۱: دستگاه را با برق شهر و باتری روشن کن و بار را روشن ببین.
گام ۲: برق شهر را بکش؛ دستگاه نباید خاموش شود و بار باید بی‌وقفه روشن بماند (کار روی باتری).
گام ۳: برق شهر را برگردان؛ دستگاه باید به حالت عادی برگردد و شارژ از سر گرفته شود.
گام ۴: در هیچ‌کدام از این دو جابه‌جایی نباید دستگاه در وضعیت خطا گیر کند.</t>
        </is>
      </c>
      <c r="F7" s="100" t="inlineStr">
        <is>
          <t>قطع و وصل برق شهر</t>
        </is>
      </c>
      <c r="G7" s="101" t="inlineStr">
        <is>
          <t>چند ثانیه</t>
        </is>
      </c>
      <c r="H7" s="100" t="inlineStr">
        <is>
          <t>ادامهٔ بی‌وقفهٔ کار بار و برگشت عادی</t>
        </is>
      </c>
      <c r="I7" s="100" t="inlineStr">
        <is>
          <t>باید ببینید: با قطع و وصل برق شهر، بار هرگز خاموش نمی‌شود و دستگاه بعد از برگشت شهر عادی کار می‌کند. اگر بار لحظه‌ای هم خاموش شد، قبول نیست.</t>
        </is>
      </c>
      <c r="J7" s="100" t="inlineStr">
        <is>
          <t>بار هرگز خاموش نشود و دستگاه بعد از برگشت شهر عادی کار کند</t>
        </is>
      </c>
      <c r="K7" s="100" t="n"/>
      <c r="L7" s="102" t="inlineStr">
        <is>
          <t>در انتظار</t>
        </is>
      </c>
      <c r="M7" s="100" t="n"/>
      <c r="N7" s="100" t="n"/>
      <c r="O7" s="101" t="n"/>
      <c r="P7" s="101">
        <f>IF(OR(K7="",K7="در انتظار"),"",IF(P7="",TODAY(),P7))</f>
        <v/>
      </c>
      <c r="Q7" s="103" t="n"/>
    </row>
    <row r="8" ht="54" customHeight="1">
      <c r="A8" s="99" t="inlineStr">
        <is>
          <t>CO-028</t>
        </is>
      </c>
      <c r="B8" s="104" t="inlineStr">
        <is>
          <t>عملکرد واقعی خروجی</t>
        </is>
      </c>
      <c r="C8" s="105" t="inlineStr">
        <is>
          <t>متوسط</t>
        </is>
      </c>
      <c r="D8" s="104" t="inlineStr">
        <is>
          <t>دستگاه در حال کار عادی با بار روشن</t>
        </is>
      </c>
      <c r="E8" s="104" t="inlineStr">
        <is>
          <t>گام ۱: دستگاه در حال کار عادی باشد و بار روشن.
گام ۲: یک خطای شارژر بساز (حین شارژ سیم باتری را قطع کن تا آلارم قطع باتری بیاید).
گام ۳: چراغ و بوق خطا را ببین و هم‌زمان بار را نگاه کن.
گام ۴: بار نباید قطع‌ووصل یا چشمک بزند؛ خروجی باید همان وضعیت قبل از خطا را نگه دارد.</t>
        </is>
      </c>
      <c r="F8" s="104" t="inlineStr">
        <is>
          <t>خطای قطع باتری حین شارژ</t>
        </is>
      </c>
      <c r="G8" s="105" t="inlineStr">
        <is>
          <t>چند ثانیه</t>
        </is>
      </c>
      <c r="H8" s="104" t="inlineStr">
        <is>
          <t>آلارم خطا می‌آید ولی خروجی تکان نمی‌خورد</t>
        </is>
      </c>
      <c r="I8" s="104" t="inlineStr">
        <is>
          <t>باید ببینید: آلارم خطا می‌آید ولی بار بدون هیچ تکانی روشن می‌ماند. اگر خروجی تکان خورد، قبول نیست.</t>
        </is>
      </c>
      <c r="J8" s="104" t="inlineStr">
        <is>
          <t>بار بدون هیچ تکانی روشن بماند</t>
        </is>
      </c>
      <c r="K8" s="104" t="n"/>
      <c r="L8" s="102" t="inlineStr">
        <is>
          <t>در انتظار</t>
        </is>
      </c>
      <c r="M8" s="104" t="n"/>
      <c r="N8" s="104" t="n"/>
      <c r="O8" s="105" t="n"/>
      <c r="P8" s="105">
        <f>IF(OR(K8="",K8="در انتظار"),"",IF(P8="",TODAY(),P8))</f>
        <v/>
      </c>
      <c r="Q8" s="107" t="n"/>
    </row>
    <row r="9">
      <c r="A9" s="131" t="n"/>
      <c r="B9" s="131" t="n"/>
      <c r="C9" s="131" t="n"/>
      <c r="D9" s="131" t="n"/>
      <c r="E9" s="131" t="n"/>
      <c r="F9" s="131" t="n"/>
      <c r="G9" s="131" t="n"/>
      <c r="H9" s="131" t="n"/>
      <c r="I9" s="131" t="n"/>
      <c r="J9" s="131" t="n"/>
      <c r="K9" s="131" t="n"/>
      <c r="L9" s="131" t="n"/>
      <c r="M9" s="131" t="n"/>
      <c r="N9" s="131" t="n"/>
      <c r="O9" s="131" t="n"/>
      <c r="P9" s="131" t="n"/>
      <c r="Q9" s="132" t="n"/>
    </row>
    <row r="10">
      <c r="A10" s="131" t="n"/>
      <c r="B10" s="131" t="n"/>
      <c r="C10" s="131" t="n"/>
      <c r="D10" s="131" t="n"/>
      <c r="E10" s="131" t="n"/>
      <c r="F10" s="131" t="n"/>
      <c r="G10" s="131" t="n"/>
      <c r="H10" s="131" t="n"/>
      <c r="I10" s="131" t="n"/>
      <c r="J10" s="131" t="n"/>
      <c r="K10" s="131" t="n"/>
      <c r="L10" s="131" t="n"/>
      <c r="M10" s="131" t="n"/>
      <c r="N10" s="131" t="n"/>
      <c r="O10" s="131" t="n"/>
      <c r="P10" s="131" t="n"/>
      <c r="Q10" s="132" t="n"/>
    </row>
    <row r="11">
      <c r="A11" s="131" t="n"/>
      <c r="B11" s="131" t="n"/>
      <c r="C11" s="131" t="n"/>
      <c r="D11" s="131" t="n"/>
      <c r="E11" s="131" t="n"/>
      <c r="F11" s="131" t="n"/>
      <c r="G11" s="131" t="n"/>
      <c r="H11" s="131" t="n"/>
      <c r="I11" s="131" t="n"/>
      <c r="J11" s="131" t="n"/>
      <c r="K11" s="131" t="n"/>
      <c r="L11" s="131" t="n"/>
      <c r="M11" s="131" t="n"/>
      <c r="N11" s="131" t="n"/>
      <c r="O11" s="131" t="n"/>
      <c r="P11" s="131" t="n"/>
      <c r="Q11" s="132" t="n"/>
    </row>
    <row r="12">
      <c r="A12" s="131" t="n"/>
      <c r="B12" s="131" t="n"/>
      <c r="C12" s="131" t="n"/>
      <c r="D12" s="131" t="n"/>
      <c r="E12" s="131" t="n"/>
      <c r="F12" s="131" t="n"/>
      <c r="G12" s="131" t="n"/>
      <c r="H12" s="131" t="n"/>
      <c r="I12" s="131" t="n"/>
      <c r="J12" s="131" t="n"/>
      <c r="K12" s="131" t="n"/>
      <c r="L12" s="131" t="n"/>
      <c r="M12" s="131" t="n"/>
      <c r="N12" s="131" t="n"/>
      <c r="O12" s="131" t="n"/>
      <c r="P12" s="131" t="n"/>
      <c r="Q12" s="132" t="n"/>
    </row>
    <row r="13">
      <c r="A13" s="131" t="n"/>
      <c r="B13" s="131" t="n"/>
      <c r="C13" s="131" t="n"/>
      <c r="D13" s="131" t="n"/>
      <c r="E13" s="131" t="n"/>
      <c r="F13" s="131" t="n"/>
      <c r="G13" s="131" t="n"/>
      <c r="H13" s="131" t="n"/>
      <c r="I13" s="131" t="n"/>
      <c r="J13" s="131" t="n"/>
      <c r="K13" s="131" t="n"/>
      <c r="L13" s="131" t="n"/>
      <c r="M13" s="131" t="n"/>
      <c r="N13" s="131" t="n"/>
      <c r="O13" s="131" t="n"/>
      <c r="P13" s="131" t="n"/>
      <c r="Q13" s="132" t="n"/>
    </row>
    <row r="14">
      <c r="A14" s="131" t="n"/>
      <c r="B14" s="131" t="n"/>
      <c r="C14" s="131" t="n"/>
      <c r="D14" s="131" t="n"/>
      <c r="E14" s="131" t="n"/>
      <c r="F14" s="131" t="n"/>
      <c r="G14" s="131" t="n"/>
      <c r="H14" s="131" t="n"/>
      <c r="I14" s="131" t="n"/>
      <c r="J14" s="131" t="n"/>
      <c r="K14" s="131" t="n"/>
      <c r="L14" s="131" t="n"/>
      <c r="M14" s="131" t="n"/>
      <c r="N14" s="131" t="n"/>
      <c r="O14" s="131" t="n"/>
      <c r="P14" s="131" t="n"/>
      <c r="Q14" s="132" t="n"/>
    </row>
    <row r="15">
      <c r="A15" s="131" t="n"/>
      <c r="B15" s="131" t="n"/>
      <c r="C15" s="131" t="n"/>
      <c r="D15" s="131" t="n"/>
      <c r="E15" s="131" t="n"/>
      <c r="F15" s="131" t="n"/>
      <c r="G15" s="131" t="n"/>
      <c r="H15" s="131" t="n"/>
      <c r="I15" s="131" t="n"/>
      <c r="J15" s="131" t="n"/>
      <c r="K15" s="131" t="n"/>
      <c r="L15" s="131" t="n"/>
      <c r="M15" s="131" t="n"/>
      <c r="N15" s="131" t="n"/>
      <c r="O15" s="131" t="n"/>
      <c r="P15" s="131" t="n"/>
      <c r="Q15" s="132" t="n"/>
    </row>
    <row r="16">
      <c r="A16" s="131" t="n"/>
      <c r="B16" s="131" t="n"/>
      <c r="C16" s="131" t="n"/>
      <c r="D16" s="131" t="n"/>
      <c r="E16" s="131" t="n"/>
      <c r="F16" s="131" t="n"/>
      <c r="G16" s="131" t="n"/>
      <c r="H16" s="131" t="n"/>
      <c r="I16" s="131" t="n"/>
      <c r="J16" s="131" t="n"/>
      <c r="K16" s="131" t="n"/>
      <c r="L16" s="131" t="n"/>
      <c r="M16" s="131" t="n"/>
      <c r="N16" s="131" t="n"/>
      <c r="O16" s="131" t="n"/>
      <c r="P16" s="131" t="n"/>
      <c r="Q16" s="132" t="n"/>
    </row>
    <row r="17">
      <c r="A17" s="131" t="n"/>
      <c r="B17" s="131" t="n"/>
      <c r="C17" s="131" t="n"/>
      <c r="D17" s="131" t="n"/>
      <c r="E17" s="131" t="n"/>
      <c r="F17" s="131" t="n"/>
      <c r="G17" s="131" t="n"/>
      <c r="H17" s="131" t="n"/>
      <c r="I17" s="131" t="n"/>
      <c r="J17" s="131" t="n"/>
      <c r="K17" s="131" t="n"/>
      <c r="L17" s="131" t="n"/>
      <c r="M17" s="131" t="n"/>
      <c r="N17" s="131" t="n"/>
      <c r="O17" s="131" t="n"/>
      <c r="P17" s="131" t="n"/>
      <c r="Q17" s="132" t="n"/>
    </row>
    <row r="18">
      <c r="A18" s="131" t="n"/>
      <c r="B18" s="131" t="n"/>
      <c r="C18" s="131" t="n"/>
      <c r="D18" s="131" t="n"/>
      <c r="E18" s="131" t="n"/>
      <c r="F18" s="131" t="n"/>
      <c r="G18" s="131" t="n"/>
      <c r="H18" s="131" t="n"/>
      <c r="I18" s="131" t="n"/>
      <c r="J18" s="131" t="n"/>
      <c r="K18" s="131" t="n"/>
      <c r="L18" s="131" t="n"/>
      <c r="M18" s="131" t="n"/>
      <c r="N18" s="131" t="n"/>
      <c r="O18" s="131" t="n"/>
      <c r="P18" s="131" t="n"/>
      <c r="Q18" s="132" t="n"/>
    </row>
    <row r="19">
      <c r="A19" s="131" t="n"/>
      <c r="B19" s="131" t="n"/>
      <c r="C19" s="131" t="n"/>
      <c r="D19" s="131" t="n"/>
      <c r="E19" s="131" t="n"/>
      <c r="F19" s="131" t="n"/>
      <c r="G19" s="131" t="n"/>
      <c r="H19" s="131" t="n"/>
      <c r="I19" s="131" t="n"/>
      <c r="J19" s="131" t="n"/>
      <c r="K19" s="131" t="n"/>
      <c r="L19" s="131" t="n"/>
      <c r="M19" s="131" t="n"/>
      <c r="N19" s="131" t="n"/>
      <c r="O19" s="131" t="n"/>
      <c r="P19" s="131" t="n"/>
      <c r="Q19" s="132" t="n"/>
    </row>
    <row r="20">
      <c r="A20" s="131" t="n"/>
      <c r="B20" s="131" t="n"/>
      <c r="C20" s="131" t="n"/>
      <c r="D20" s="131" t="n"/>
      <c r="E20" s="131" t="n"/>
      <c r="F20" s="131" t="n"/>
      <c r="G20" s="131" t="n"/>
      <c r="H20" s="131" t="n"/>
      <c r="I20" s="131" t="n"/>
      <c r="J20" s="131" t="n"/>
      <c r="K20" s="131" t="n"/>
      <c r="L20" s="131" t="n"/>
      <c r="M20" s="131" t="n"/>
      <c r="N20" s="131" t="n"/>
      <c r="O20" s="131" t="n"/>
      <c r="P20" s="131" t="n"/>
      <c r="Q20" s="132" t="n"/>
    </row>
    <row r="21">
      <c r="A21" s="131" t="n"/>
      <c r="B21" s="131" t="n"/>
      <c r="C21" s="131" t="n"/>
      <c r="D21" s="131" t="n"/>
      <c r="E21" s="131" t="n"/>
      <c r="F21" s="131" t="n"/>
      <c r="G21" s="131" t="n"/>
      <c r="H21" s="131" t="n"/>
      <c r="I21" s="131" t="n"/>
      <c r="J21" s="131" t="n"/>
      <c r="K21" s="131" t="n"/>
      <c r="L21" s="131" t="n"/>
      <c r="M21" s="131" t="n"/>
      <c r="N21" s="131" t="n"/>
      <c r="O21" s="131" t="n"/>
      <c r="P21" s="131" t="n"/>
      <c r="Q21" s="132" t="n"/>
    </row>
    <row r="22">
      <c r="A22" s="131" t="n"/>
      <c r="B22" s="131" t="n"/>
      <c r="C22" s="131" t="n"/>
      <c r="D22" s="131" t="n"/>
      <c r="E22" s="131" t="n"/>
      <c r="F22" s="131" t="n"/>
      <c r="G22" s="131" t="n"/>
      <c r="H22" s="131" t="n"/>
      <c r="I22" s="131" t="n"/>
      <c r="J22" s="131" t="n"/>
      <c r="K22" s="131" t="n"/>
      <c r="L22" s="131" t="n"/>
      <c r="M22" s="131" t="n"/>
      <c r="N22" s="131" t="n"/>
      <c r="O22" s="131" t="n"/>
      <c r="P22" s="131" t="n"/>
      <c r="Q22" s="132" t="n"/>
    </row>
    <row r="23">
      <c r="A23" s="131" t="n"/>
      <c r="B23" s="131" t="n"/>
      <c r="C23" s="131" t="n"/>
      <c r="D23" s="131" t="n"/>
      <c r="E23" s="131" t="n"/>
      <c r="F23" s="131" t="n"/>
      <c r="G23" s="131" t="n"/>
      <c r="H23" s="131" t="n"/>
      <c r="I23" s="131" t="n"/>
      <c r="J23" s="131" t="n"/>
      <c r="K23" s="131" t="n"/>
      <c r="L23" s="131" t="n"/>
      <c r="M23" s="131" t="n"/>
      <c r="N23" s="131" t="n"/>
      <c r="O23" s="131" t="n"/>
      <c r="P23" s="131" t="n"/>
      <c r="Q23" s="132" t="n"/>
    </row>
    <row r="24">
      <c r="A24" s="131" t="n"/>
      <c r="B24" s="131" t="n"/>
      <c r="C24" s="131" t="n"/>
      <c r="D24" s="131" t="n"/>
      <c r="E24" s="131" t="n"/>
      <c r="F24" s="131" t="n"/>
      <c r="G24" s="131" t="n"/>
      <c r="H24" s="131" t="n"/>
      <c r="I24" s="131" t="n"/>
      <c r="J24" s="131" t="n"/>
      <c r="K24" s="131" t="n"/>
      <c r="L24" s="131" t="n"/>
      <c r="M24" s="131" t="n"/>
      <c r="N24" s="131" t="n"/>
      <c r="O24" s="131" t="n"/>
      <c r="P24" s="131" t="n"/>
      <c r="Q24" s="132" t="n"/>
    </row>
    <row r="25">
      <c r="A25" s="131" t="n"/>
      <c r="B25" s="131" t="n"/>
      <c r="C25" s="131" t="n"/>
      <c r="D25" s="131" t="n"/>
      <c r="E25" s="131" t="n"/>
      <c r="F25" s="131" t="n"/>
      <c r="G25" s="131" t="n"/>
      <c r="H25" s="131" t="n"/>
      <c r="I25" s="131" t="n"/>
      <c r="J25" s="131" t="n"/>
      <c r="K25" s="131" t="n"/>
      <c r="L25" s="131" t="n"/>
      <c r="M25" s="131" t="n"/>
      <c r="N25" s="131" t="n"/>
      <c r="O25" s="131" t="n"/>
      <c r="P25" s="131" t="n"/>
      <c r="Q25" s="132" t="n"/>
    </row>
    <row r="26">
      <c r="A26" s="131" t="n"/>
      <c r="B26" s="131" t="n"/>
      <c r="C26" s="131" t="n"/>
      <c r="D26" s="131" t="n"/>
      <c r="E26" s="131" t="n"/>
      <c r="F26" s="131" t="n"/>
      <c r="G26" s="131" t="n"/>
      <c r="H26" s="131" t="n"/>
      <c r="I26" s="131" t="n"/>
      <c r="J26" s="131" t="n"/>
      <c r="K26" s="131" t="n"/>
      <c r="L26" s="131" t="n"/>
      <c r="M26" s="131" t="n"/>
      <c r="N26" s="131" t="n"/>
      <c r="O26" s="131" t="n"/>
      <c r="P26" s="131" t="n"/>
      <c r="Q26" s="132" t="n"/>
    </row>
    <row r="27">
      <c r="A27" s="131" t="n"/>
      <c r="B27" s="131" t="n"/>
      <c r="C27" s="131" t="n"/>
      <c r="D27" s="131" t="n"/>
      <c r="E27" s="131" t="n"/>
      <c r="F27" s="131" t="n"/>
      <c r="G27" s="131" t="n"/>
      <c r="H27" s="131" t="n"/>
      <c r="I27" s="131" t="n"/>
      <c r="J27" s="131" t="n"/>
      <c r="K27" s="131" t="n"/>
      <c r="L27" s="131" t="n"/>
      <c r="M27" s="131" t="n"/>
      <c r="N27" s="131" t="n"/>
      <c r="O27" s="131" t="n"/>
      <c r="P27" s="131" t="n"/>
      <c r="Q27" s="132" t="n"/>
    </row>
    <row r="28">
      <c r="A28" s="131" t="n"/>
      <c r="B28" s="131" t="n"/>
      <c r="C28" s="131" t="n"/>
      <c r="D28" s="131" t="n"/>
      <c r="E28" s="131" t="n"/>
      <c r="F28" s="131" t="n"/>
      <c r="G28" s="131" t="n"/>
      <c r="H28" s="131" t="n"/>
      <c r="I28" s="131" t="n"/>
      <c r="J28" s="131" t="n"/>
      <c r="K28" s="131" t="n"/>
      <c r="L28" s="131" t="n"/>
      <c r="M28" s="131" t="n"/>
      <c r="N28" s="131" t="n"/>
      <c r="O28" s="131" t="n"/>
      <c r="P28" s="131" t="n"/>
      <c r="Q28" s="132" t="n"/>
    </row>
    <row r="29">
      <c r="A29" s="131" t="n"/>
      <c r="B29" s="131" t="n"/>
      <c r="C29" s="131" t="n"/>
      <c r="D29" s="131" t="n"/>
      <c r="E29" s="131" t="n"/>
      <c r="F29" s="131" t="n"/>
      <c r="G29" s="131" t="n"/>
      <c r="H29" s="131" t="n"/>
      <c r="I29" s="131" t="n"/>
      <c r="J29" s="131" t="n"/>
      <c r="K29" s="131" t="n"/>
      <c r="L29" s="131" t="n"/>
      <c r="M29" s="131" t="n"/>
      <c r="N29" s="131" t="n"/>
      <c r="O29" s="131" t="n"/>
      <c r="P29" s="131" t="n"/>
      <c r="Q29" s="132" t="n"/>
    </row>
    <row r="30">
      <c r="A30" s="131" t="n"/>
      <c r="B30" s="131" t="n"/>
      <c r="C30" s="131" t="n"/>
      <c r="D30" s="131" t="n"/>
      <c r="E30" s="131" t="n"/>
      <c r="F30" s="131" t="n"/>
      <c r="G30" s="131" t="n"/>
      <c r="H30" s="131" t="n"/>
      <c r="I30" s="131" t="n"/>
      <c r="J30" s="131" t="n"/>
      <c r="K30" s="131" t="n"/>
      <c r="L30" s="131" t="n"/>
      <c r="M30" s="131" t="n"/>
      <c r="N30" s="131" t="n"/>
      <c r="O30" s="131" t="n"/>
      <c r="P30" s="131" t="n"/>
      <c r="Q30" s="132" t="n"/>
    </row>
    <row r="31">
      <c r="A31" s="131" t="n"/>
      <c r="B31" s="131" t="n"/>
      <c r="C31" s="131" t="n"/>
      <c r="D31" s="131" t="n"/>
      <c r="E31" s="131" t="n"/>
      <c r="F31" s="131" t="n"/>
      <c r="G31" s="131" t="n"/>
      <c r="H31" s="131" t="n"/>
      <c r="I31" s="131" t="n"/>
      <c r="J31" s="131" t="n"/>
      <c r="K31" s="131" t="n"/>
      <c r="L31" s="131" t="n"/>
      <c r="M31" s="131" t="n"/>
      <c r="N31" s="131" t="n"/>
      <c r="O31" s="131" t="n"/>
      <c r="P31" s="131" t="n"/>
      <c r="Q31" s="132" t="n"/>
    </row>
    <row r="32">
      <c r="A32" s="131" t="n"/>
      <c r="B32" s="131" t="n"/>
      <c r="C32" s="131" t="n"/>
      <c r="D32" s="131" t="n"/>
      <c r="E32" s="131" t="n"/>
      <c r="F32" s="131" t="n"/>
      <c r="G32" s="131" t="n"/>
      <c r="H32" s="131" t="n"/>
      <c r="I32" s="131" t="n"/>
      <c r="J32" s="131" t="n"/>
      <c r="K32" s="131" t="n"/>
      <c r="L32" s="131" t="n"/>
      <c r="M32" s="131" t="n"/>
      <c r="N32" s="131" t="n"/>
      <c r="O32" s="131" t="n"/>
      <c r="P32" s="131" t="n"/>
      <c r="Q32" s="132" t="n"/>
    </row>
    <row r="33">
      <c r="A33" s="131" t="n"/>
      <c r="B33" s="131" t="n"/>
      <c r="C33" s="131" t="n"/>
      <c r="D33" s="131" t="n"/>
      <c r="E33" s="131" t="n"/>
      <c r="F33" s="131" t="n"/>
      <c r="G33" s="131" t="n"/>
      <c r="H33" s="131" t="n"/>
      <c r="I33" s="131" t="n"/>
      <c r="J33" s="131" t="n"/>
      <c r="K33" s="131" t="n"/>
      <c r="L33" s="131" t="n"/>
      <c r="M33" s="131" t="n"/>
      <c r="N33" s="131" t="n"/>
      <c r="O33" s="131" t="n"/>
      <c r="P33" s="131" t="n"/>
      <c r="Q33" s="132" t="n"/>
    </row>
    <row r="34">
      <c r="A34" s="131" t="n"/>
      <c r="B34" s="131" t="n"/>
      <c r="C34" s="131" t="n"/>
      <c r="D34" s="131" t="n"/>
      <c r="E34" s="131" t="n"/>
      <c r="F34" s="131" t="n"/>
      <c r="G34" s="131" t="n"/>
      <c r="H34" s="131" t="n"/>
      <c r="I34" s="131" t="n"/>
      <c r="J34" s="131" t="n"/>
      <c r="K34" s="131" t="n"/>
      <c r="L34" s="131" t="n"/>
      <c r="M34" s="131" t="n"/>
      <c r="N34" s="131" t="n"/>
      <c r="O34" s="131" t="n"/>
      <c r="P34" s="131" t="n"/>
      <c r="Q34" s="132" t="n"/>
    </row>
    <row r="35">
      <c r="A35" s="131" t="n"/>
      <c r="B35" s="131" t="n"/>
      <c r="C35" s="131" t="n"/>
      <c r="D35" s="131" t="n"/>
      <c r="E35" s="131" t="n"/>
      <c r="F35" s="131" t="n"/>
      <c r="G35" s="131" t="n"/>
      <c r="H35" s="131" t="n"/>
      <c r="I35" s="131" t="n"/>
      <c r="J35" s="131" t="n"/>
      <c r="K35" s="131" t="n"/>
      <c r="L35" s="131" t="n"/>
      <c r="M35" s="131" t="n"/>
      <c r="N35" s="131" t="n"/>
      <c r="O35" s="131" t="n"/>
      <c r="P35" s="131" t="n"/>
      <c r="Q35" s="132" t="n"/>
    </row>
    <row r="36">
      <c r="A36" s="131" t="n"/>
      <c r="B36" s="131" t="n"/>
      <c r="C36" s="131" t="n"/>
      <c r="D36" s="131" t="n"/>
      <c r="E36" s="131" t="n"/>
      <c r="F36" s="131" t="n"/>
      <c r="G36" s="131" t="n"/>
      <c r="H36" s="131" t="n"/>
      <c r="I36" s="131" t="n"/>
      <c r="J36" s="131" t="n"/>
      <c r="K36" s="131" t="n"/>
      <c r="L36" s="131" t="n"/>
      <c r="M36" s="131" t="n"/>
      <c r="N36" s="131" t="n"/>
      <c r="O36" s="131" t="n"/>
      <c r="P36" s="131" t="n"/>
      <c r="Q36" s="132" t="n"/>
    </row>
    <row r="37">
      <c r="A37" s="131" t="n"/>
      <c r="B37" s="131" t="n"/>
      <c r="C37" s="131" t="n"/>
      <c r="D37" s="131" t="n"/>
      <c r="E37" s="131" t="n"/>
      <c r="F37" s="131" t="n"/>
      <c r="G37" s="131" t="n"/>
      <c r="H37" s="131" t="n"/>
      <c r="I37" s="131" t="n"/>
      <c r="J37" s="131" t="n"/>
      <c r="K37" s="131" t="n"/>
      <c r="L37" s="131" t="n"/>
      <c r="M37" s="131" t="n"/>
      <c r="N37" s="131" t="n"/>
      <c r="O37" s="131" t="n"/>
      <c r="P37" s="131" t="n"/>
      <c r="Q37" s="132" t="n"/>
    </row>
    <row r="38">
      <c r="A38" s="131" t="n"/>
      <c r="B38" s="131" t="n"/>
      <c r="C38" s="131" t="n"/>
      <c r="D38" s="131" t="n"/>
      <c r="E38" s="131" t="n"/>
      <c r="F38" s="131" t="n"/>
      <c r="G38" s="131" t="n"/>
      <c r="H38" s="131" t="n"/>
      <c r="I38" s="131" t="n"/>
      <c r="J38" s="131" t="n"/>
      <c r="K38" s="131" t="n"/>
      <c r="L38" s="131" t="n"/>
      <c r="M38" s="131" t="n"/>
      <c r="N38" s="131" t="n"/>
      <c r="O38" s="131" t="n"/>
      <c r="P38" s="131" t="n"/>
      <c r="Q38" s="132" t="n"/>
    </row>
    <row r="39">
      <c r="A39" s="131" t="n"/>
      <c r="B39" s="131" t="n"/>
      <c r="C39" s="131" t="n"/>
      <c r="D39" s="131" t="n"/>
      <c r="E39" s="131" t="n"/>
      <c r="F39" s="131" t="n"/>
      <c r="G39" s="131" t="n"/>
      <c r="H39" s="131" t="n"/>
      <c r="I39" s="131" t="n"/>
      <c r="J39" s="131" t="n"/>
      <c r="K39" s="131" t="n"/>
      <c r="L39" s="131" t="n"/>
      <c r="M39" s="131" t="n"/>
      <c r="N39" s="131" t="n"/>
      <c r="O39" s="131" t="n"/>
      <c r="P39" s="131" t="n"/>
      <c r="Q39" s="132" t="n"/>
    </row>
    <row r="40">
      <c r="A40" s="131" t="n"/>
      <c r="B40" s="131" t="n"/>
      <c r="C40" s="131" t="n"/>
      <c r="D40" s="131" t="n"/>
      <c r="E40" s="131" t="n"/>
      <c r="F40" s="131" t="n"/>
      <c r="G40" s="131" t="n"/>
      <c r="H40" s="131" t="n"/>
      <c r="I40" s="131" t="n"/>
      <c r="J40" s="131" t="n"/>
      <c r="K40" s="131" t="n"/>
      <c r="L40" s="131" t="n"/>
      <c r="M40" s="131" t="n"/>
      <c r="N40" s="131" t="n"/>
      <c r="O40" s="131" t="n"/>
      <c r="P40" s="131" t="n"/>
      <c r="Q40" s="132" t="n"/>
    </row>
    <row r="41">
      <c r="A41" s="131" t="n"/>
      <c r="B41" s="131" t="n"/>
      <c r="C41" s="131" t="n"/>
      <c r="D41" s="131" t="n"/>
      <c r="E41" s="131" t="n"/>
      <c r="F41" s="131" t="n"/>
      <c r="G41" s="131" t="n"/>
      <c r="H41" s="131" t="n"/>
      <c r="I41" s="131" t="n"/>
      <c r="J41" s="131" t="n"/>
      <c r="K41" s="131" t="n"/>
      <c r="L41" s="131" t="n"/>
      <c r="M41" s="131" t="n"/>
      <c r="N41" s="131" t="n"/>
      <c r="O41" s="131" t="n"/>
      <c r="P41" s="131" t="n"/>
      <c r="Q41" s="132" t="n"/>
    </row>
    <row r="42">
      <c r="A42" s="131" t="n"/>
      <c r="B42" s="131" t="n"/>
      <c r="C42" s="131" t="n"/>
      <c r="D42" s="131" t="n"/>
      <c r="E42" s="131" t="n"/>
      <c r="F42" s="131" t="n"/>
      <c r="G42" s="131" t="n"/>
      <c r="H42" s="131" t="n"/>
      <c r="I42" s="131" t="n"/>
      <c r="J42" s="131" t="n"/>
      <c r="K42" s="131" t="n"/>
      <c r="L42" s="131" t="n"/>
      <c r="M42" s="131" t="n"/>
      <c r="N42" s="131" t="n"/>
      <c r="O42" s="131" t="n"/>
      <c r="P42" s="131" t="n"/>
      <c r="Q42" s="132" t="n"/>
    </row>
    <row r="43">
      <c r="A43" s="131" t="n"/>
      <c r="B43" s="131" t="n"/>
      <c r="C43" s="131" t="n"/>
      <c r="D43" s="131" t="n"/>
      <c r="E43" s="131" t="n"/>
      <c r="F43" s="131" t="n"/>
      <c r="G43" s="131" t="n"/>
      <c r="H43" s="131" t="n"/>
      <c r="I43" s="131" t="n"/>
      <c r="J43" s="131" t="n"/>
      <c r="K43" s="131" t="n"/>
      <c r="L43" s="131" t="n"/>
      <c r="M43" s="131" t="n"/>
      <c r="N43" s="131" t="n"/>
      <c r="O43" s="131" t="n"/>
      <c r="P43" s="131" t="n"/>
      <c r="Q43" s="132" t="n"/>
    </row>
    <row r="44">
      <c r="A44" s="131" t="n"/>
      <c r="B44" s="131" t="n"/>
      <c r="C44" s="131" t="n"/>
      <c r="D44" s="131" t="n"/>
      <c r="E44" s="131" t="n"/>
      <c r="F44" s="131" t="n"/>
      <c r="G44" s="131" t="n"/>
      <c r="H44" s="131" t="n"/>
      <c r="I44" s="131" t="n"/>
      <c r="J44" s="131" t="n"/>
      <c r="K44" s="131" t="n"/>
      <c r="L44" s="131" t="n"/>
      <c r="M44" s="131" t="n"/>
      <c r="N44" s="131" t="n"/>
      <c r="O44" s="131" t="n"/>
      <c r="P44" s="131" t="n"/>
      <c r="Q44" s="132" t="n"/>
    </row>
    <row r="45">
      <c r="A45" s="133" t="n"/>
      <c r="B45" s="134" t="n"/>
      <c r="C45" s="135" t="n"/>
      <c r="D45" s="134" t="n"/>
      <c r="E45" s="134" t="n"/>
      <c r="F45" s="134" t="n"/>
      <c r="G45" s="135" t="n"/>
      <c r="H45" s="134" t="n"/>
      <c r="I45" s="134" t="n"/>
      <c r="J45" s="134" t="n"/>
      <c r="K45" s="134" t="n"/>
      <c r="L45" s="135" t="n"/>
      <c r="M45" s="134" t="n"/>
      <c r="N45" s="134" t="n"/>
      <c r="O45" s="135" t="n"/>
      <c r="P45" s="135" t="n"/>
      <c r="Q45" s="136" t="n"/>
    </row>
    <row r="46">
      <c r="A46" s="133" t="n"/>
      <c r="B46" s="134" t="n"/>
      <c r="C46" s="135" t="n"/>
      <c r="D46" s="134" t="n"/>
      <c r="E46" s="134" t="n"/>
      <c r="F46" s="134" t="n"/>
      <c r="G46" s="135" t="n"/>
      <c r="H46" s="134" t="n"/>
      <c r="I46" s="134" t="n"/>
      <c r="J46" s="134" t="n"/>
      <c r="K46" s="134" t="n"/>
      <c r="L46" s="135" t="n"/>
      <c r="M46" s="134" t="n"/>
      <c r="N46" s="134" t="n"/>
      <c r="O46" s="135" t="n"/>
      <c r="P46" s="135" t="n"/>
      <c r="Q46" s="136" t="n"/>
    </row>
    <row r="47">
      <c r="A47" s="133" t="n"/>
      <c r="B47" s="134" t="n"/>
      <c r="C47" s="135" t="n"/>
      <c r="D47" s="134" t="n"/>
      <c r="E47" s="134" t="n"/>
      <c r="F47" s="134" t="n"/>
      <c r="G47" s="135" t="n"/>
      <c r="H47" s="134" t="n"/>
      <c r="I47" s="134" t="n"/>
      <c r="J47" s="134" t="n"/>
      <c r="K47" s="134" t="n"/>
      <c r="L47" s="135" t="n"/>
      <c r="M47" s="134" t="n"/>
      <c r="N47" s="134" t="n"/>
      <c r="O47" s="135" t="n"/>
      <c r="P47" s="135" t="n"/>
      <c r="Q47" s="136" t="n"/>
    </row>
    <row r="48">
      <c r="A48" s="133" t="n"/>
      <c r="B48" s="134" t="n"/>
      <c r="C48" s="135" t="n"/>
      <c r="D48" s="134" t="n"/>
      <c r="E48" s="134" t="n"/>
      <c r="F48" s="134" t="n"/>
      <c r="G48" s="135" t="n"/>
      <c r="H48" s="134" t="n"/>
      <c r="I48" s="134" t="n"/>
      <c r="J48" s="134" t="n"/>
      <c r="K48" s="134" t="n"/>
      <c r="L48" s="135" t="n"/>
      <c r="M48" s="134" t="n"/>
      <c r="N48" s="134" t="n"/>
      <c r="O48" s="135" t="n"/>
      <c r="P48" s="135" t="n"/>
      <c r="Q48" s="136" t="n"/>
    </row>
  </sheetData>
  <autoFilter ref="A4:Q48"/>
  <mergeCells count="3">
    <mergeCell ref="A1:P1"/>
    <mergeCell ref="A3:P3"/>
    <mergeCell ref="A2:P2"/>
  </mergeCells>
  <dataValidations count="1">
    <dataValidation sqref="K5:K8" showDropDown="0" showInputMessage="0" showErrorMessage="0" allowBlank="1" type="list">
      <formula1>='فهرست‌ها'!$A$2:$A$7</formula1>
    </dataValidation>
  </dataValidations>
  <hyperlinks>
    <hyperlink ref="D6" location="'برنامه تست'!A5"/>
    <hyperlink ref="E6" location="'برنامه تست'!A5"/>
  </hyperlinks>
  <printOptions horizontalCentered="1"/>
  <pageMargins left="0.75" right="0.75" top="1" bottom="1" header="0.5" footer="0.5"/>
  <pageSetup orientation="landscape" paperSize="8" fitToHeight="0" fitToWidth="1"/>
</worksheet>
</file>

<file path=xl/worksheets/sheet3.xml><?xml version="1.0" encoding="utf-8"?>
<worksheet xmlns="http://schemas.openxmlformats.org/spreadsheetml/2006/main">
  <sheetPr>
    <tabColor rgb="00ED7D31"/>
    <outlinePr summaryBelow="1" summaryRight="1"/>
    <pageSetUpPr fitToPage="1"/>
  </sheetPr>
  <dimension ref="A1:Q44"/>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08" t="inlineStr">
        <is>
          <t>تست‌های آزمایشگاهی (پایه، اسیلوسکوپ و زمان‌بندی دقیق — جدا از تست عملی)</t>
        </is>
      </c>
      <c r="B1" s="82" t="n"/>
      <c r="C1" s="82" t="n"/>
      <c r="D1" s="82" t="n"/>
      <c r="E1" s="82" t="n"/>
      <c r="F1" s="82" t="n"/>
      <c r="G1" s="82" t="n"/>
      <c r="H1" s="82" t="n"/>
      <c r="I1" s="82" t="n"/>
      <c r="J1" s="82" t="n"/>
      <c r="K1" s="82" t="n"/>
      <c r="L1" s="82" t="n"/>
      <c r="M1" s="82" t="n"/>
      <c r="N1" s="82" t="n"/>
      <c r="O1" s="82" t="n"/>
      <c r="P1" s="82" t="n"/>
      <c r="Q1" s="82" t="n"/>
    </row>
    <row r="2" ht="42" customHeight="1">
      <c r="A2" s="109"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c r="B2" s="82" t="n"/>
      <c r="C2" s="82" t="n"/>
      <c r="D2" s="82" t="n"/>
      <c r="E2" s="82" t="n"/>
      <c r="F2" s="82" t="n"/>
      <c r="G2" s="82" t="n"/>
      <c r="H2" s="82" t="n"/>
      <c r="I2" s="82" t="n"/>
      <c r="J2" s="82" t="n"/>
      <c r="K2" s="82" t="n"/>
      <c r="L2" s="82" t="n"/>
      <c r="M2" s="82" t="n"/>
      <c r="N2" s="82" t="n"/>
      <c r="O2" s="82" t="n"/>
      <c r="P2" s="82" t="n"/>
      <c r="Q2" s="82" t="n"/>
    </row>
    <row r="3">
      <c r="A3" s="82" t="n"/>
      <c r="B3" s="82" t="n"/>
      <c r="C3" s="82" t="n"/>
      <c r="D3" s="82" t="n"/>
      <c r="E3" s="82" t="n"/>
      <c r="F3" s="82" t="n"/>
      <c r="G3" s="82" t="n"/>
      <c r="H3" s="82" t="n"/>
      <c r="I3" s="82" t="n"/>
      <c r="J3" s="82" t="n"/>
      <c r="K3" s="82" t="n"/>
      <c r="L3" s="82" t="n"/>
      <c r="M3" s="82" t="n"/>
      <c r="N3" s="82" t="n"/>
      <c r="O3" s="82" t="n"/>
      <c r="P3" s="82" t="n"/>
      <c r="Q3" s="82" t="n"/>
    </row>
    <row r="4" ht="30" customHeight="1">
      <c r="A4" s="84" t="inlineStr">
        <is>
          <t>شناسه تست</t>
        </is>
      </c>
      <c r="B4" s="84" t="inlineStr">
        <is>
          <t>دسته</t>
        </is>
      </c>
      <c r="C4" s="84" t="inlineStr">
        <is>
          <t>اولویت</t>
        </is>
      </c>
      <c r="D4" s="84" t="inlineStr">
        <is>
          <t>پیش‌شرط</t>
        </is>
      </c>
      <c r="E4" s="84" t="inlineStr">
        <is>
          <t>روش اجرای دقیق</t>
        </is>
      </c>
      <c r="F4" s="84" t="inlineStr">
        <is>
          <t>ورودی‌ها</t>
        </is>
      </c>
      <c r="G4" s="84" t="inlineStr">
        <is>
          <t>مدت مشاهده</t>
        </is>
      </c>
      <c r="H4" s="84" t="inlineStr">
        <is>
          <t>نتیجه مورد انتظار</t>
        </is>
      </c>
      <c r="I4" s="84" t="inlineStr">
        <is>
          <t>معیار قبولی</t>
        </is>
      </c>
      <c r="J4" s="84" t="inlineStr">
        <is>
          <t>نتیجه واقعی</t>
        </is>
      </c>
      <c r="K4" s="84" t="inlineStr">
        <is>
          <t>وضعیت</t>
        </is>
      </c>
      <c r="L4" s="84" t="inlineStr">
        <is>
          <t>شرح ایراد</t>
        </is>
      </c>
      <c r="M4" s="84" t="inlineStr">
        <is>
          <t>مدرک تست</t>
        </is>
      </c>
      <c r="N4" s="84" t="inlineStr">
        <is>
          <t>commit</t>
        </is>
      </c>
      <c r="O4" s="84" t="inlineStr">
        <is>
          <t>نام تست‌کننده</t>
        </is>
      </c>
      <c r="P4" s="84" t="inlineStr">
        <is>
          <t>تاریخ</t>
        </is>
      </c>
      <c r="Q4" s="84" t="n"/>
    </row>
    <row r="5" ht="54" customHeight="1">
      <c r="A5" s="99" t="inlineStr">
        <is>
          <t>CO-001</t>
        </is>
      </c>
      <c r="B5" s="100" t="inlineStr">
        <is>
          <t>Snapshot نامعتبر / حفظ</t>
        </is>
      </c>
      <c r="C5" s="110" t="inlineStr">
        <is>
          <t>بالا</t>
        </is>
      </c>
      <c r="D5" s="100" t="inlineStr">
        <is>
          <t>Init → BOOT, PB11 High-safe</t>
        </is>
      </c>
      <c r="E5" s="100" t="inlineStr">
        <is>
          <t>گام ۱: برد را بوت کن و بگذار به وضعیت اولیه (BOOT) برسد؛ PB11 باید High و امن باشد.
گام ۲: یک snapshot نامعتبر اعمال کن: valid=false ولی v_bat=24000، input=false و fault=0.
گام ۳: 500 میلی‌ثانیه صبر کن و وضعیت (state) و پایهٔ PB11 را بخوان.
گام ۴: وضعیت قبلی (BOOT یا هر وضعیت قبلی) و PB11 باید بدون هیچ تغییری حفظ شده باشند؛ رفتن به FAULT یا IDLE یا تغییر PB11 یعنی رد تست.</t>
        </is>
      </c>
      <c r="F5" s="101" t="inlineStr">
        <is>
          <t>valid=false, v=24000, input=false, flag false, fault0</t>
        </is>
      </c>
      <c r="G5" s="101" t="inlineStr">
        <is>
          <t>500ms</t>
        </is>
      </c>
      <c r="H5" s="100" t="inlineStr">
        <is>
          <t>state حفظ شود: «state فعلی حفظ شود» (BOOT/BATTERY/INPUT/SAFE قبلی) و PB11 حفظ (High-safe). PASS: state و PB11 بدون تغییر. FAIL: هر تغییر به FAULT یا IDLE یا تغییر PB11.</t>
        </is>
      </c>
      <c r="I5" s="100" t="inlineStr">
        <is>
          <t>PASS: state فعلی حفظ. FAIL: تغییر خودبه‌خود.</t>
        </is>
      </c>
      <c r="J5" s="111" t="n"/>
      <c r="K5" s="112" t="inlineStr">
        <is>
          <t>در انتظار</t>
        </is>
      </c>
      <c r="L5" s="113" t="n"/>
      <c r="M5" s="100" t="n"/>
      <c r="N5" s="100" t="inlineStr">
        <is>
          <t>c6b084f28f2c507cfd342e5dbd0dbd8e45686772</t>
        </is>
      </c>
      <c r="O5" s="101" t="n"/>
      <c r="P5" s="101" t="n"/>
      <c r="Q5" s="103">
        <f>IF(OR(L5="",L5="در انتظار"),"",IF(Q5="",TODAY(),Q5))</f>
        <v/>
      </c>
    </row>
    <row r="6" ht="67.5" customHeight="1">
      <c r="A6" s="99" t="inlineStr">
        <is>
          <t>CO-002</t>
        </is>
      </c>
      <c r="B6" s="104" t="inlineStr">
        <is>
          <t>Snapshot نامعتبر / تایمر reset</t>
        </is>
      </c>
      <c r="C6" s="114" t="inlineStr">
        <is>
          <t>بالا</t>
        </is>
      </c>
      <c r="D6" s="104" t="inlineStr">
        <is>
          <t>BATTERY با شرط قطع نیمه‌کاره</t>
        </is>
      </c>
      <c r="E6" s="104" t="inlineStr">
        <is>
          <t>گام ۱: برد در وضعیت BATTERY باشد.
گام ۲: دو ثانیه شرط قطع را اعمال کن: snapshot معتبر با v=20900 و flag=true.
گام ۳: بعد یک ثانیه snapshot نامعتبر بده (valid=false).
گام ۴: دوباره دو ثانیه شرط قطع را اعمال کن و PB11 را زیر نظر بگیر.
گام ۵: PB11 نباید قطع شود؛ آن یک ثانیهٔ نامعتبر تایمر 3 ثانیه‌ای را از نو شروع می‌کند، پس در هیچ‌کدام از دو بازهٔ 2 ثانیه‌ای نباید قطع اتفاق بیفتد. قطع زود یعنی رد تست.</t>
        </is>
      </c>
      <c r="F6" s="105" t="inlineStr">
        <is>
          <t>valid true 2s → false 1s → true 2s, v20900 flag true</t>
        </is>
      </c>
      <c r="G6" s="105" t="inlineStr">
        <is>
          <t>2+1+2s</t>
        </is>
      </c>
      <c r="H6" s="104" t="inlineStr">
        <is>
          <t>PB11 نباید پس از 2s اول قطع شود؛ پس از 1s invalid، تایمر reset و 2s بعدی هم هنوز قطع نشود (نیاز به 3s پیوسته). PASS: invalid تایمر را reset. FAIL: قطع زود در 2s.</t>
        </is>
      </c>
      <c r="I6" s="104" t="inlineStr">
        <is>
          <t>PASS: reset پس از invalid. FAIL: قطع زود.</t>
        </is>
      </c>
      <c r="J6" s="104" t="n"/>
      <c r="K6" s="104" t="inlineStr">
        <is>
          <t>در انتظار</t>
        </is>
      </c>
      <c r="L6" s="115" t="n"/>
      <c r="M6" s="104" t="n"/>
      <c r="N6" s="104" t="inlineStr">
        <is>
          <t>c6b084f28f2c507cfd342e5dbd0dbd8e45686772</t>
        </is>
      </c>
      <c r="O6" s="105" t="n"/>
      <c r="P6" s="105" t="n"/>
      <c r="Q6" s="107">
        <f>IF(OR(L6="",L6="در انتظار"),"",IF(Q6="",TODAY(),Q6))</f>
        <v/>
      </c>
    </row>
    <row r="7" ht="54" customHeight="1">
      <c r="A7" s="99" t="inlineStr">
        <is>
          <t>CO-003</t>
        </is>
      </c>
      <c r="B7" s="100" t="inlineStr">
        <is>
          <t>Snapshot نامعتبر + Fault</t>
        </is>
      </c>
      <c r="C7" s="110" t="inlineStr">
        <is>
          <t>بالا</t>
        </is>
      </c>
      <c r="D7" s="100" t="inlineStr">
        <is>
          <t>BATTERY</t>
        </is>
      </c>
      <c r="E7" s="100" t="inlineStr">
        <is>
          <t>گام ۱: برد در وضعیت BATTERY باشد.
گام ۲: snapshot نامعتبر با fault=FAULT_ADC (مقدار 1) و v=25000 اعمال کن.
گام ۳: 500 میلی‌ثانیه صبر کن.
گام ۴: وضعیت نباید FAULT شود و PB11 نباید تغییر کند؛ fault همراه snapshot نامعتبر شمرده نمی‌شود و تایمر قطع هم reset می‌شود.</t>
        </is>
      </c>
      <c r="F7" s="101" t="inlineStr">
        <is>
          <t>valid=false, fault=1 (ADC), v25000</t>
        </is>
      </c>
      <c r="G7" s="101" t="inlineStr">
        <is>
          <t>500ms</t>
        </is>
      </c>
      <c r="H7" s="100" t="inlineStr">
        <is>
          <t>state حفظ شود (نه FAULT)، PB11 حفظ، تایمر reset. PASS: fault همراه invalid نباید FAULT شود. FAIL: FAULT شدن.</t>
        </is>
      </c>
      <c r="I7" s="100" t="inlineStr">
        <is>
          <t>PASS: حفظ state قبلی. FAIL: FAULT.</t>
        </is>
      </c>
      <c r="J7" s="111" t="n"/>
      <c r="K7" s="112" t="inlineStr">
        <is>
          <t>در انتظار</t>
        </is>
      </c>
      <c r="L7" s="113" t="n"/>
      <c r="M7" s="100" t="n"/>
      <c r="N7" s="100" t="inlineStr">
        <is>
          <t>c6b084f28f2c507cfd342e5dbd0dbd8e45686772</t>
        </is>
      </c>
      <c r="O7" s="101" t="n"/>
      <c r="P7" s="101" t="n"/>
      <c r="Q7" s="103">
        <f>IF(OR(L7="",L7="در انتظار"),"",IF(Q7="",TODAY(),Q7))</f>
        <v/>
      </c>
    </row>
    <row r="8" ht="54" customHeight="1">
      <c r="A8" s="99" t="inlineStr">
        <is>
          <t>CO-004</t>
        </is>
      </c>
      <c r="B8" s="104" t="inlineStr">
        <is>
          <t>Fault با snapshot معتبر</t>
        </is>
      </c>
      <c r="C8" s="114" t="inlineStr">
        <is>
          <t>بالا</t>
        </is>
      </c>
      <c r="D8" s="104" t="inlineStr">
        <is>
          <t>INPUT/BATTERY</t>
        </is>
      </c>
      <c r="E8" s="104" t="inlineStr">
        <is>
          <t>گام ۱: برد در وضعیت INPUT یا BATTERY باشد.
گام ۲: snapshot معتبر با v=24000، input=true و fault=FAULT_ADC (مقدار 1) اعمال کن.
گام ۳: 500 میلی‌ثانیه صبر کن.
گام ۴: وضعیت باید FAULT شود ولی PB11 دقیقاً همان قبلی بماند (از High به Low نرود) و تایمر قطع reset شود.</t>
        </is>
      </c>
      <c r="F8" s="105" t="inlineStr">
        <is>
          <t>valid=true, v24000, input true, fault 1</t>
        </is>
      </c>
      <c r="G8" s="105" t="inlineStr">
        <is>
          <t>500ms</t>
        </is>
      </c>
      <c r="H8" s="104" t="inlineStr">
        <is>
          <t>state=FAULT، PB11 حفظ (بدون تغییر High→Low)، تایمر reset. PASS: FAULT بدون تغییر PB11. FAIL: تغییر PB11 یا ماندن در INPUT.</t>
        </is>
      </c>
      <c r="I8" s="104" t="inlineStr">
        <is>
          <t>PASS: FAULT و PB11 حفظ. FAIL: تغییر PB11.</t>
        </is>
      </c>
      <c r="J8" s="104" t="n"/>
      <c r="K8" s="104" t="inlineStr">
        <is>
          <t>در انتظار</t>
        </is>
      </c>
      <c r="L8" s="115" t="n"/>
      <c r="M8" s="104" t="n"/>
      <c r="N8" s="104" t="inlineStr">
        <is>
          <t>c6b084f28f2c507cfd342e5dbd0dbd8e45686772</t>
        </is>
      </c>
      <c r="O8" s="105" t="n"/>
      <c r="P8" s="105" t="n"/>
      <c r="Q8" s="107">
        <f>IF(OR(L8="",L8="در انتظار"),"",IF(Q8="",TODAY(),Q8))</f>
        <v/>
      </c>
    </row>
    <row r="9" ht="54" customHeight="1">
      <c r="A9" s="99" t="inlineStr">
        <is>
          <t>CO-005</t>
        </is>
      </c>
      <c r="B9" s="100" t="inlineStr">
        <is>
          <t>Fault چند بیتی</t>
        </is>
      </c>
      <c r="C9" s="101" t="inlineStr">
        <is>
          <t>متوسط</t>
        </is>
      </c>
      <c r="D9" s="100" t="inlineStr">
        <is>
          <t>FAULT قبلی</t>
        </is>
      </c>
      <c r="E9" s="100" t="inlineStr">
        <is>
          <t>گام ۱: برد از قبل در وضعیت FAULT باشد.
گام ۲: snapshot معتبر با fault برابر 63 (همهٔ بیت‌های خطا با هم) اعمال کن.
گام ۳: 500 میلی‌ثانیه صبر کن و هر سه پایهٔ PB11 و PB5 و PB7 را چک کن.
گام ۴: وضعیت باید FAULT بماند و هیچ‌کدام از سه پایه نباید تغییر کرده باشند.</t>
        </is>
      </c>
      <c r="F9" s="101" t="inlineStr">
        <is>
          <t>valid true, fault ALL</t>
        </is>
      </c>
      <c r="G9" s="101" t="inlineStr">
        <is>
          <t>500ms</t>
        </is>
      </c>
      <c r="H9" s="100" t="inlineStr">
        <is>
          <t>state=FAULT، هیچ pin (PB11/PB5/PB7) تغییر نکند. PASS: همه fault‌ها → FAULT بدون pin. FAIL: هر تغییر pin.</t>
        </is>
      </c>
      <c r="I9" s="100" t="inlineStr">
        <is>
          <t>PASS: همه fault → FAULT no pin. FAIL: pin change.</t>
        </is>
      </c>
      <c r="J9" s="111" t="n"/>
      <c r="K9" s="112" t="inlineStr">
        <is>
          <t>در انتظار</t>
        </is>
      </c>
      <c r="L9" s="113" t="n"/>
      <c r="M9" s="100" t="n"/>
      <c r="N9" s="100" t="inlineStr">
        <is>
          <t>c6b084f28f2c507cfd342e5dbd0dbd8e45686772</t>
        </is>
      </c>
      <c r="O9" s="101" t="n"/>
      <c r="P9" s="101" t="n"/>
      <c r="Q9" s="103">
        <f>IF(OR(L9="",L9="در انتظار"),"",IF(Q9="",TODAY(),Q9))</f>
        <v/>
      </c>
    </row>
    <row r="10" ht="54" customHeight="1">
      <c r="A10" s="99" t="inlineStr">
        <is>
          <t>CO-006</t>
        </is>
      </c>
      <c r="B10" s="104" t="inlineStr">
        <is>
          <t>ورودی قطع → BATTERY</t>
        </is>
      </c>
      <c r="C10" s="114" t="inlineStr">
        <is>
          <t>بالا</t>
        </is>
      </c>
      <c r="D10" s="104" t="inlineStr">
        <is>
          <t>BOOT با snapshot معتبر</t>
        </is>
      </c>
      <c r="E10" s="104" t="inlineStr">
        <is>
          <t>گام ۱: برد در BOOT با snapshot معتبر باشد.
گام ۲: snapshot معتبر با v=24000، input=false (یعنی Vin حداکثر 20 ولت) و fault=0 اعمال کن.
گام ۳: 500 میلی‌ثانیه صبر کن.
گام ۴: وضعیت باید BATTERY شود و PB11 باید High و امن (متصل) باشد؛ رفتن به INPUT یا SAFE یا FAULT یعنی رد تست.</t>
        </is>
      </c>
      <c r="F10" s="105" t="inlineStr">
        <is>
          <t>valid true, v24000, input false</t>
        </is>
      </c>
      <c r="G10" s="105" t="inlineStr">
        <is>
          <t>500ms</t>
        </is>
      </c>
      <c r="H10" s="104" t="inlineStr">
        <is>
          <t>state=BATTERY, PB11 High-safe (متصل). PASS: BATTERY. FAIL: INPUT یا SAFE یا FAULT.</t>
        </is>
      </c>
      <c r="I10" s="104" t="inlineStr">
        <is>
          <t>PASS: BATTERY. FAIL: otherwise.</t>
        </is>
      </c>
      <c r="J10" s="104" t="n"/>
      <c r="K10" s="104" t="inlineStr">
        <is>
          <t>در انتظار</t>
        </is>
      </c>
      <c r="L10" s="115" t="n"/>
      <c r="M10" s="104" t="n"/>
      <c r="N10" s="104" t="inlineStr">
        <is>
          <t>c6b084f28f2c507cfd342e5dbd0dbd8e45686772</t>
        </is>
      </c>
      <c r="O10" s="105" t="n"/>
      <c r="P10" s="105" t="n"/>
      <c r="Q10" s="107">
        <f>IF(OR(L10="",L10="در انتظار"),"",IF(Q10="",TODAY(),Q10))</f>
        <v/>
      </c>
    </row>
    <row r="11" ht="54" customHeight="1">
      <c r="A11" s="99" t="inlineStr">
        <is>
          <t>CO-007</t>
        </is>
      </c>
      <c r="B11" s="100" t="inlineStr">
        <is>
          <t>ورودی حاضر → INPUT</t>
        </is>
      </c>
      <c r="C11" s="110" t="inlineStr">
        <is>
          <t>بالا</t>
        </is>
      </c>
      <c r="D11" s="100" t="inlineStr">
        <is>
          <t>BOOT/BATTERY</t>
        </is>
      </c>
      <c r="E11" s="100" t="inlineStr">
        <is>
          <t>گام ۱: برد در BOOT یا BATTERY باشد.
گام ۲: snapshot معتبر با v=24000، input=true (یعنی Vin دست‌کم 21 ولت) و fault=0 اعمال کن.
گام ۳: 500 میلی‌ثانیه صبر کن.
گام ۴: وضعیت باید INPUT شود و PB11 High و امن بماند.</t>
        </is>
      </c>
      <c r="F11" s="101" t="inlineStr">
        <is>
          <t>valid true, v24000, input true</t>
        </is>
      </c>
      <c r="G11" s="101" t="inlineStr">
        <is>
          <t>500ms</t>
        </is>
      </c>
      <c r="H11" s="100" t="inlineStr">
        <is>
          <t>state=INPUT, PB11 High-safe. PASS: INPUT. FAIL: BATTERY یا SAFE.</t>
        </is>
      </c>
      <c r="I11" s="100" t="inlineStr">
        <is>
          <t>PASS: INPUT. FAIL: otherwise.</t>
        </is>
      </c>
      <c r="J11" s="111" t="n"/>
      <c r="K11" s="112" t="inlineStr">
        <is>
          <t>در انتظار</t>
        </is>
      </c>
      <c r="L11" s="113" t="n"/>
      <c r="M11" s="100" t="n"/>
      <c r="N11" s="100" t="inlineStr">
        <is>
          <t>c6b084f28f2c507cfd342e5dbd0dbd8e45686772</t>
        </is>
      </c>
      <c r="O11" s="101" t="n"/>
      <c r="P11" s="101" t="n"/>
      <c r="Q11" s="103">
        <f>IF(OR(L11="",L11="در انتظار"),"",IF(Q11="",TODAY(),Q11))</f>
        <v/>
      </c>
    </row>
    <row r="12" ht="54" customHeight="1">
      <c r="A12" s="99" t="inlineStr">
        <is>
          <t>CO-008</t>
        </is>
      </c>
      <c r="B12" s="104" t="inlineStr">
        <is>
          <t>قطع با گیت / 21000 + flag</t>
        </is>
      </c>
      <c r="C12" s="114" t="inlineStr">
        <is>
          <t>بالا</t>
        </is>
      </c>
      <c r="D12" s="104" t="inlineStr">
        <is>
          <t>BATTERY/INPUT, PB11 High</t>
        </is>
      </c>
      <c r="E12" s="104" t="inlineStr">
        <is>
          <t>گام ۱: برد در BATTERY یا INPUT و PB11 وصل (High) باشد.
گام ۲: snapshot معتبر با v=20900 (کمتر از 21000)، flag=true و input=false اعمال کن.
گام ۳: این شرط را 3500 میلی‌ثانیه پیوسته نگه دار و ساعت بگیر.
گام ۴: در 2500 میلی‌ثانیه اول باید هنوز BATTERY/INPUT و PB11 وصل باشد؛ فقط بعد از 3000 میلی‌ثانیهٔ پیوسته باید PB11 قطع (Low) شود و وضعیت SAFE شود. قطع زودتر یا قطع‌نشدن یعنی رد تست.</t>
        </is>
      </c>
      <c r="F12" s="105" t="inlineStr">
        <is>
          <t>v20900 (&lt;21000) flag true</t>
        </is>
      </c>
      <c r="G12" s="105" t="inlineStr">
        <is>
          <t>3500ms (≥3000)</t>
        </is>
      </c>
      <c r="H12" s="104" t="inlineStr">
        <is>
          <t>پس از 2500ms هنوز BATTERY/INPUT و PB11 High؛ پس از 3000ms PB11 Low (قطع) و state=SAFE. PASS: قطع فقط پس از 3000ms پیوسته. FAIL: قطع زود یا عدم قطع.</t>
        </is>
      </c>
      <c r="I12" s="104" t="inlineStr">
        <is>
          <t>PASS: 2500 still no cut, 3000 SAFE. FAIL: early or no cut.</t>
        </is>
      </c>
      <c r="J12" s="104" t="n"/>
      <c r="K12" s="104" t="inlineStr">
        <is>
          <t>در انتظار</t>
        </is>
      </c>
      <c r="L12" s="115" t="n"/>
      <c r="M12" s="104" t="n"/>
      <c r="N12" s="104" t="inlineStr">
        <is>
          <t>c6b084f28f2c507cfd342e5dbd0dbd8e45686772</t>
        </is>
      </c>
      <c r="O12" s="105" t="n"/>
      <c r="P12" s="105" t="n"/>
      <c r="Q12" s="107">
        <f>IF(OR(L12="",L12="در انتظار"),"",IF(Q12="",TODAY(),Q12))</f>
        <v/>
      </c>
    </row>
    <row r="13" ht="54" customHeight="1">
      <c r="A13" s="99" t="inlineStr">
        <is>
          <t>CO-009</t>
        </is>
      </c>
      <c r="B13" s="100" t="inlineStr">
        <is>
          <t>قطع مستقل / 20800</t>
        </is>
      </c>
      <c r="C13" s="110" t="inlineStr">
        <is>
          <t>بالا</t>
        </is>
      </c>
      <c r="D13" s="100" t="inlineStr">
        <is>
          <t>BATTERY, flag false</t>
        </is>
      </c>
      <c r="E13" s="100" t="inlineStr">
        <is>
          <t>گام ۱: برد در BATTERY و flag=false باشد.
گام ۲: snapshot معتبر با v=20700 (کمتر از 20800)، flag=false و input=false اعمال کن.
گام ۳: 3500 میلی‌ثانیه پیوسته نگه دار.
گام ۴: بعد از 3000 میلی‌ثانیه باید SAFE با PB11 قطع شود؛ این قطع به flag ربطی ندارد و با flag=false هم باید اتفاق بیفتد.</t>
        </is>
      </c>
      <c r="F13" s="101" t="inlineStr">
        <is>
          <t>v20700 (&lt;20800) flag false</t>
        </is>
      </c>
      <c r="G13" s="101" t="inlineStr">
        <is>
          <t>3500ms</t>
        </is>
      </c>
      <c r="H13" s="100" t="inlineStr">
        <is>
          <t>پس از 3000ms SAFE با PB11 Low مستقل از flag. PASS: مستقل cuts. FAIL: عدم قطع به علت flag false.</t>
        </is>
      </c>
      <c r="I13" s="100" t="inlineStr">
        <is>
          <t>PASS: independent cut. FAIL: no cut due flag.</t>
        </is>
      </c>
      <c r="J13" s="111" t="n"/>
      <c r="K13" s="112" t="inlineStr">
        <is>
          <t>در انتظار</t>
        </is>
      </c>
      <c r="L13" s="113" t="n"/>
      <c r="M13" s="100" t="n"/>
      <c r="N13" s="100" t="inlineStr">
        <is>
          <t>c6b084f28f2c507cfd342e5dbd0dbd8e45686772</t>
        </is>
      </c>
      <c r="O13" s="101" t="n"/>
      <c r="P13" s="101" t="n"/>
      <c r="Q13" s="103">
        <f>IF(OR(L13="",L13="در انتظار"),"",IF(Q13="",TODAY(),Q13))</f>
        <v/>
      </c>
    </row>
    <row r="14" ht="54" customHeight="1">
      <c r="A14" s="99" t="inlineStr">
        <is>
          <t>CO-010</t>
        </is>
      </c>
      <c r="B14" s="104" t="inlineStr">
        <is>
          <t>مرز دقیق 21000 نباید cut</t>
        </is>
      </c>
      <c r="C14" s="114" t="inlineStr">
        <is>
          <t>بالا</t>
        </is>
      </c>
      <c r="D14" s="104" t="inlineStr">
        <is>
          <t>BATTERY</t>
        </is>
      </c>
      <c r="E14" s="104" t="inlineStr">
        <is>
          <t>گام ۱: برد در BATTERY باشد.
گام ۲: snapshot معتبر با v دقیقاً 21000 (مرز)، flag=true و input=true (Vin=24 ولت) اعمال کن.
گام ۳: 3500 میلی‌ثانیه پایدار نگه دار.
گام ۴: هیچ قطعی نباید رخ دهد (شرط قطع «کمتر از 21000» است، نه «کمتر یا مساوی»)؛ وضعیت باید INPUT شده باشد (چون ورودی حاضر است) و PB11 High و امن بماند.</t>
        </is>
      </c>
      <c r="F14" s="105" t="inlineStr">
        <is>
          <t>valid=true, v=21000 (دقیق) flag=true, input=true (Vin≥21V)</t>
        </is>
      </c>
      <c r="G14" s="105" t="inlineStr">
        <is>
          <t>3500ms</t>
        </is>
      </c>
      <c r="H14" s="104" t="inlineStr">
        <is>
          <t>هیچ قطع رخ ندهد، state=INPUT (چون input_present=true و بدون cut) و PB11 High-safe بماند. PASS: با input حاضر، بدون قطع باید INPUT باشد، نه BATTERY یا SAFE. FAIL: BATTERY/SAFE یا تغییر PB11.</t>
        </is>
      </c>
      <c r="I14" s="104" t="inlineStr">
        <is>
          <t>PASS: با v=21000 و input true، state=INPUT و PB11 High. FAIL: هر cut یا BATTERY.</t>
        </is>
      </c>
      <c r="J14" s="104" t="n"/>
      <c r="K14" s="104" t="inlineStr">
        <is>
          <t>در انتظار</t>
        </is>
      </c>
      <c r="L14" s="115" t="n"/>
      <c r="M14" s="104" t="n"/>
      <c r="N14" s="104" t="inlineStr">
        <is>
          <t>c6b084f28f2c507cfd342e5dbd0dbd8e45686772</t>
        </is>
      </c>
      <c r="O14" s="105" t="n"/>
      <c r="P14" s="105" t="n"/>
      <c r="Q14" s="107">
        <f>IF(OR(L14="",L14="در انتظار"),"",IF(Q14="",TODAY(),Q14))</f>
        <v/>
      </c>
    </row>
    <row r="15" ht="54" customHeight="1">
      <c r="A15" s="99" t="inlineStr">
        <is>
          <t>CO-011</t>
        </is>
      </c>
      <c r="B15" s="100" t="inlineStr">
        <is>
          <t>مرز دقیق 20800 نباید cut</t>
        </is>
      </c>
      <c r="C15" s="110" t="inlineStr">
        <is>
          <t>بالا</t>
        </is>
      </c>
      <c r="D15" s="100" t="inlineStr">
        <is>
          <t>BATTERY</t>
        </is>
      </c>
      <c r="E15" s="100" t="inlineStr">
        <is>
          <t>گام ۱: برد در BATTERY باشد.
گام ۲: snapshot معتبر با v دقیقاً 20800 و flag=false اعمال کن.
گام ۳: 3500 میلی‌ثانیه نگه دار.
گام ۴: هیچ قطعی نباید رخ دهد؛ قطع فقط برای «کمتر از 20800» است و روی خودِ مرز 20800 نباید اتفاق بیفتد.</t>
        </is>
      </c>
      <c r="F15" s="101" t="inlineStr">
        <is>
          <t>v=20800 flag false</t>
        </is>
      </c>
      <c r="G15" s="101" t="inlineStr">
        <is>
          <t>3500ms</t>
        </is>
      </c>
      <c r="H15" s="100" t="inlineStr">
        <is>
          <t>هیچ قطع نشود. PASS: need &lt;20800. FAIL: cut at exact.</t>
        </is>
      </c>
      <c r="I15" s="100" t="inlineStr">
        <is>
          <t>PASS: 20800 no independent cut. FAIL: cut.</t>
        </is>
      </c>
      <c r="J15" s="111" t="n"/>
      <c r="K15" s="112" t="inlineStr">
        <is>
          <t>در انتظار</t>
        </is>
      </c>
      <c r="L15" s="113" t="n"/>
      <c r="M15" s="100" t="n"/>
      <c r="N15" s="100" t="inlineStr">
        <is>
          <t>c6b084f28f2c507cfd342e5dbd0dbd8e45686772</t>
        </is>
      </c>
      <c r="O15" s="101" t="n"/>
      <c r="P15" s="101" t="n"/>
      <c r="Q15" s="103">
        <f>IF(OR(L15="",L15="در انتظار"),"",IF(Q15="",TODAY(),Q15))</f>
        <v/>
      </c>
    </row>
    <row r="16" ht="54" customHeight="1">
      <c r="A16" s="99" t="inlineStr">
        <is>
          <t>CO-012</t>
        </is>
      </c>
      <c r="B16" s="104" t="inlineStr">
        <is>
          <t>قطع &lt;3000ms نباید</t>
        </is>
      </c>
      <c r="C16" s="114" t="inlineStr">
        <is>
          <t>بالا</t>
        </is>
      </c>
      <c r="D16" s="104" t="inlineStr">
        <is>
          <t>BATTERY</t>
        </is>
      </c>
      <c r="E16" s="104" t="inlineStr">
        <is>
          <t>گام ۱: برد در BATTERY باشد.
گام ۲: snapshot معتبر با v=20900، flag=true و input=true (Vin=24 ولت) بده.
گام ۳: فقط 2500 میلی‌ثانیه نگه دار (کمتر از 3000) و بعد ولتاژ را به 24000 برگردان.
گام ۴: تا 2500 میلی‌ثانیه باید هنوز INPUT و PB11 وصل باشد؛ SAFE شدن زودتر از 3000 میلی‌ثانیه یعنی رد تست.</t>
        </is>
      </c>
      <c r="F16" s="105" t="inlineStr">
        <is>
          <t>valid=true, v=20900 (&lt;21000) flag=true, input=true, فقط 2500ms (&lt;3000)</t>
        </is>
      </c>
      <c r="G16" s="105" t="inlineStr">
        <is>
          <t>2500ms</t>
        </is>
      </c>
      <c r="H16" s="104" t="inlineStr">
        <is>
          <t>پس از 2500ms هنوز state=INPUT (چون input true و هنوز SAFE نشده) و PB11 High. PASS: &lt;3000ms هنوز INPUT، نه SAFE. FAIL: SAFE زود یا BATTERY.</t>
        </is>
      </c>
      <c r="I16" s="104" t="inlineStr">
        <is>
          <t>PASS: 2500ms still INPUT (no cut). FAIL: early SAFE یا BATTERY.</t>
        </is>
      </c>
      <c r="J16" s="104" t="n"/>
      <c r="K16" s="104" t="inlineStr">
        <is>
          <t>در انتظار</t>
        </is>
      </c>
      <c r="L16" s="115" t="n"/>
      <c r="M16" s="104" t="n"/>
      <c r="N16" s="104" t="inlineStr">
        <is>
          <t>c6b084f28f2c507cfd342e5dbd0dbd8e45686772</t>
        </is>
      </c>
      <c r="O16" s="105" t="n"/>
      <c r="P16" s="105" t="n"/>
      <c r="Q16" s="107">
        <f>IF(OR(L16="",L16="در انتظار"),"",IF(Q16="",TODAY(),Q16))</f>
        <v/>
      </c>
    </row>
    <row r="17" ht="54" customHeight="1">
      <c r="A17" s="99" t="inlineStr">
        <is>
          <t>CO-013</t>
        </is>
      </c>
      <c r="B17" s="100" t="inlineStr">
        <is>
          <t>وصل مجدد / 21200 + input</t>
        </is>
      </c>
      <c r="C17" s="110" t="inlineStr">
        <is>
          <t>بالا</t>
        </is>
      </c>
      <c r="D17" s="100" t="inlineStr">
        <is>
          <t>SAFE, PB11 Low</t>
        </is>
      </c>
      <c r="E17" s="116" t="inlineStr">
        <is>
          <t>گام ۱: از تست CO-008 شروع کن تا برد در SAFE و PB11 قطع (Low) باشد.
گام ۲: input=true و v=21300 (دست‌کم 21200) اعمال کن.
گام ۳: 3500 میلی‌ثانیه نگه دار و PB11 را زیر نظر بگیر.
گام ۴: قبل از 3000 میلی‌ثانیه باید SAFE و PB11 قطع بماند؛ بعد از 3000 میلی‌ثانیه باید وضعیت INPUT و PB11 وصل (High) شود. وصل شدن زودتر یا وصل‌نشدن یعنی رد تست.</t>
        </is>
      </c>
      <c r="F17" s="101" t="inlineStr">
        <is>
          <t>SAFE, input true, v21300</t>
        </is>
      </c>
      <c r="G17" s="101" t="inlineStr">
        <is>
          <t>3500ms</t>
        </is>
      </c>
      <c r="H17" s="100" t="inlineStr">
        <is>
          <t>قبل از 3000ms: SAFE و PB11 Low؛ بعد از 3000ms: INPUT و PB11 High. PASS: reconnect پس از 3000ms با PB11 High. FAIL: reconnect زود یا PB11 Low ماندن.</t>
        </is>
      </c>
      <c r="I17" s="100" t="inlineStr">
        <is>
          <t>PASS: قبل 3000 SAFE Low، بعد 3000 INPUT High. FAIL: early or no reconnect.</t>
        </is>
      </c>
      <c r="J17" s="111" t="n"/>
      <c r="K17" s="112" t="inlineStr">
        <is>
          <t>در انتظار</t>
        </is>
      </c>
      <c r="L17" s="113" t="n"/>
      <c r="M17" s="100" t="n"/>
      <c r="N17" s="100" t="inlineStr">
        <is>
          <t>c6b084f28f2c507cfd342e5dbd0dbd8e45686772</t>
        </is>
      </c>
      <c r="O17" s="101" t="n"/>
      <c r="P17" s="101" t="n"/>
      <c r="Q17" s="103">
        <f>IF(OR(L17="",L17="در انتظار"),"",IF(Q17="",TODAY(),Q17))</f>
        <v/>
      </c>
    </row>
    <row r="18" ht="54" customHeight="1">
      <c r="A18" s="99" t="inlineStr">
        <is>
          <t>CO-014</t>
        </is>
      </c>
      <c r="B18" s="104" t="inlineStr">
        <is>
          <t>مرز دقیق 21200 باید reconnect</t>
        </is>
      </c>
      <c r="C18" s="114" t="inlineStr">
        <is>
          <t>بالا</t>
        </is>
      </c>
      <c r="D18" s="104" t="inlineStr">
        <is>
          <t>SAFE</t>
        </is>
      </c>
      <c r="E18" s="104" t="inlineStr">
        <is>
          <t>گام ۱: برد در SAFE باشد.
گام ۲: input=true و v دقیقاً 21200 اعمال کن (روی خودِ مرز).
گام ۳: 3500 میلی‌ثانیه نگه دار.
گام ۴: بعد از 3000 میلی‌ثانیه باید INPUT و PB11 وصل شده باشد؛ شرط وصل «دست‌کم 21200» است، پس روی مرز هم باید وصل شود.</t>
        </is>
      </c>
      <c r="F18" s="105" t="inlineStr">
        <is>
          <t>v=21200 input true</t>
        </is>
      </c>
      <c r="G18" s="105" t="inlineStr">
        <is>
          <t>3500ms</t>
        </is>
      </c>
      <c r="H18" s="104" t="inlineStr">
        <is>
          <t>پس از 3000ms INPUT و PB11 High. PASS: ≥21200 reconnect. FAIL: no reconnect at 21200.</t>
        </is>
      </c>
      <c r="I18" s="104" t="inlineStr">
        <is>
          <t>PASS: 21200 reconnects (need ≥). FAIL: no.</t>
        </is>
      </c>
      <c r="J18" s="104" t="n"/>
      <c r="K18" s="104" t="inlineStr">
        <is>
          <t>در انتظار</t>
        </is>
      </c>
      <c r="L18" s="115" t="n"/>
      <c r="M18" s="104" t="n"/>
      <c r="N18" s="104" t="inlineStr">
        <is>
          <t>c6b084f28f2c507cfd342e5dbd0dbd8e45686772</t>
        </is>
      </c>
      <c r="O18" s="105" t="n"/>
      <c r="P18" s="105" t="n"/>
      <c r="Q18" s="107">
        <f>IF(OR(L18="",L18="در انتظار"),"",IF(Q18="",TODAY(),Q18))</f>
        <v/>
      </c>
    </row>
    <row r="19" ht="54" customHeight="1">
      <c r="A19" s="99" t="inlineStr">
        <is>
          <t>CO-015</t>
        </is>
      </c>
      <c r="B19" s="100" t="inlineStr">
        <is>
          <t>reconnect &lt;3000 نباید</t>
        </is>
      </c>
      <c r="C19" s="110" t="inlineStr">
        <is>
          <t>بالا</t>
        </is>
      </c>
      <c r="D19" s="100" t="inlineStr">
        <is>
          <t>SAFE</t>
        </is>
      </c>
      <c r="E19" s="100" t="inlineStr">
        <is>
          <t>گام ۱: برد در SAFE باشد.
گام ۲: input=true و v=21300 اعمال کن.
گام ۳: فقط 2500 میلی‌ثانیه نگه دار (کمتر از 3000).
گام ۴: هنوز باید SAFE و PB11 قطع مانده باشد؛ وصل شدن در کمتر از 3 ثانیه یعنی رد تست.</t>
        </is>
      </c>
      <c r="F19" s="101" t="inlineStr">
        <is>
          <t>v21300 input true</t>
        </is>
      </c>
      <c r="G19" s="101" t="inlineStr">
        <is>
          <t>2500ms</t>
        </is>
      </c>
      <c r="H19" s="100" t="inlineStr">
        <is>
          <t>هنوز SAFE و PB11 Low. PASS: &lt;3s no reconnect. FAIL: زود وصل.</t>
        </is>
      </c>
      <c r="I19" s="100" t="inlineStr">
        <is>
          <t>PASS: 2500 still SAFE. FAIL: INPUT early.</t>
        </is>
      </c>
      <c r="J19" s="111" t="n"/>
      <c r="K19" s="112" t="inlineStr">
        <is>
          <t>در انتظار</t>
        </is>
      </c>
      <c r="L19" s="113" t="n"/>
      <c r="M19" s="100" t="n"/>
      <c r="N19" s="100" t="inlineStr">
        <is>
          <t>c6b084f28f2c507cfd342e5dbd0dbd8e45686772</t>
        </is>
      </c>
      <c r="O19" s="101" t="n"/>
      <c r="P19" s="101" t="n"/>
      <c r="Q19" s="103">
        <f>IF(OR(L19="",L19="در انتظار"),"",IF(Q19="",TODAY(),Q19))</f>
        <v/>
      </c>
    </row>
    <row r="20" ht="40.5" customHeight="1">
      <c r="A20" s="99" t="inlineStr">
        <is>
          <t>CO-016</t>
        </is>
      </c>
      <c r="B20" s="104" t="inlineStr">
        <is>
          <t>پس از reconnect state INPUT</t>
        </is>
      </c>
      <c r="C20" s="114" t="inlineStr">
        <is>
          <t>بالا</t>
        </is>
      </c>
      <c r="D20" s="106" t="inlineStr">
        <is>
          <t>پس از CO-013</t>
        </is>
      </c>
      <c r="E20" s="106" t="inlineStr">
        <is>
          <t>گام ۱: تست CO-013 را انجام بده تا وصل مجدد موفق اتفاق بیفتد.
گام ۲: بلافاصله (در حد 100 میلی‌ثانیه بعد) وضعیت را بخوان.
گام ۳: وضعیت باید INPUT باشد؛ IDLE برای snapshot معتبر هرگز نباید دیده شود.</t>
        </is>
      </c>
      <c r="F20" s="105" t="inlineStr">
        <is>
          <t>post-reconnect</t>
        </is>
      </c>
      <c r="G20" s="105" t="inlineStr">
        <is>
          <t>100ms</t>
        </is>
      </c>
      <c r="H20" s="104" t="inlineStr">
        <is>
          <t>state=INPUT باشد، نه IDLE (IDLE برای معتبر ممنوع). PASS: INPUT. FAIL: IDLE.</t>
        </is>
      </c>
      <c r="I20" s="104" t="inlineStr">
        <is>
          <t>PASS: INPUT not IDLE. FAIL: IDLE.</t>
        </is>
      </c>
      <c r="J20" s="104" t="n"/>
      <c r="K20" s="104" t="inlineStr">
        <is>
          <t>در انتظار</t>
        </is>
      </c>
      <c r="L20" s="115" t="n"/>
      <c r="M20" s="104" t="n"/>
      <c r="N20" s="104" t="inlineStr">
        <is>
          <t>c6b084f28f2c507cfd342e5dbd0dbd8e45686772</t>
        </is>
      </c>
      <c r="O20" s="105" t="n"/>
      <c r="P20" s="105" t="n"/>
      <c r="Q20" s="107">
        <f>IF(OR(L20="",L20="در انتظار"),"",IF(Q20="",TODAY(),Q20))</f>
        <v/>
      </c>
    </row>
    <row r="21" ht="40.5" customHeight="1">
      <c r="A21" s="99" t="inlineStr">
        <is>
          <t>CO-017</t>
        </is>
      </c>
      <c r="B21" s="100" t="inlineStr">
        <is>
          <t>PB11 در invalid حفظ</t>
        </is>
      </c>
      <c r="C21" s="110" t="inlineStr">
        <is>
          <t>بالا</t>
        </is>
      </c>
      <c r="D21" s="100" t="inlineStr">
        <is>
          <t>INPUT با PB11 High</t>
        </is>
      </c>
      <c r="E21" s="100" t="inlineStr">
        <is>
          <t>گام ۱: برد را با snapshot معتبر و input=true به INPUT ببر و PB11 را چک کن که وصل (High) است.
گام ۲: حالا valid=false کن و 500 میلی‌ثانیه صبر کن.
گام ۳: PB11 را دوباره بخوان: باید بدون تغییر همان High مانده باشد.</t>
        </is>
      </c>
      <c r="F21" s="101" t="inlineStr">
        <is>
          <t>valid true→false</t>
        </is>
      </c>
      <c r="G21" s="101" t="inlineStr">
        <is>
          <t>500ms</t>
        </is>
      </c>
      <c r="H21" s="100" t="inlineStr">
        <is>
          <t>PB11 Low-High بدون تغییر بماند (High). PASS: حفظ. FAIL: تغییر.</t>
        </is>
      </c>
      <c r="I21" s="100" t="inlineStr">
        <is>
          <t>PASS: PB11 preserved in invalid. FAIL: change.</t>
        </is>
      </c>
      <c r="J21" s="111" t="n"/>
      <c r="K21" s="112" t="inlineStr">
        <is>
          <t>در انتظار</t>
        </is>
      </c>
      <c r="L21" s="113" t="n"/>
      <c r="M21" s="100" t="n"/>
      <c r="N21" s="100" t="inlineStr">
        <is>
          <t>c6b084f28f2c507cfd342e5dbd0dbd8e45686772</t>
        </is>
      </c>
      <c r="O21" s="101" t="n"/>
      <c r="P21" s="101" t="n"/>
      <c r="Q21" s="103">
        <f>IF(OR(L21="",L21="در انتظار"),"",IF(Q21="",TODAY(),Q21))</f>
        <v/>
      </c>
    </row>
    <row r="22" ht="54" customHeight="1">
      <c r="A22" s="99" t="inlineStr">
        <is>
          <t>CO-018</t>
        </is>
      </c>
      <c r="B22" s="104" t="inlineStr">
        <is>
          <t>PB11 در fault حفظ</t>
        </is>
      </c>
      <c r="C22" s="114" t="inlineStr">
        <is>
          <t>بالا</t>
        </is>
      </c>
      <c r="D22" s="104" t="inlineStr">
        <is>
          <t>INPUT</t>
        </is>
      </c>
      <c r="E22" s="104" t="inlineStr">
        <is>
          <t>گام ۱: برد در INPUT باشد.
گام ۲: snapshot معتبر با fault مخالف صفر بده (fault=1) تا وضعیت FAULT شود.
گام ۳: 500 میلی‌ثانیه صبر کن و PB11 را بخوان.
گام ۴: PB11 باید حفظ شده باشد (High بماند)؛ Low شدنش یعنی رد تست.</t>
        </is>
      </c>
      <c r="F22" s="105" t="inlineStr">
        <is>
          <t>valid true fault1</t>
        </is>
      </c>
      <c r="G22" s="105" t="inlineStr">
        <is>
          <t>500ms</t>
        </is>
      </c>
      <c r="H22" s="104" t="inlineStr">
        <is>
          <t>PB11 حفظ (High). PASS. FAIL: Low شدن.</t>
        </is>
      </c>
      <c r="I22" s="104" t="inlineStr">
        <is>
          <t>PASS: PB11 preserved in fault. FAIL: change.</t>
        </is>
      </c>
      <c r="J22" s="104" t="n"/>
      <c r="K22" s="104" t="inlineStr">
        <is>
          <t>در انتظار</t>
        </is>
      </c>
      <c r="L22" s="115" t="n"/>
      <c r="M22" s="104" t="n"/>
      <c r="N22" s="104" t="inlineStr">
        <is>
          <t>c6b084f28f2c507cfd342e5dbd0dbd8e45686772</t>
        </is>
      </c>
      <c r="O22" s="105" t="n"/>
      <c r="P22" s="105" t="n"/>
      <c r="Q22" s="107">
        <f>IF(OR(L22="",L22="در انتظار"),"",IF(Q22="",TODAY(),Q22))</f>
        <v/>
      </c>
    </row>
    <row r="23" ht="40.5" customHeight="1">
      <c r="A23" s="99" t="inlineStr">
        <is>
          <t>CO-019</t>
        </is>
      </c>
      <c r="B23" s="100" t="inlineStr">
        <is>
          <t>PB5 و PB7 هیچ‌گاه تغییر نکنند</t>
        </is>
      </c>
      <c r="C23" s="110" t="inlineStr">
        <is>
          <t>بالا</t>
        </is>
      </c>
      <c r="D23" s="100" t="inlineStr">
        <is>
          <t>هر حالت</t>
        </is>
      </c>
      <c r="E23" s="116" t="inlineStr">
        <is>
          <t>گام ۱: در همهٔ تست‌های CO-001 تا CO-015 که انجام می‌دهی، علاوه بر PB11 دو پایهٔ PB5 (BAT_SWITCH) و PB7 (RELAY) را هم با اسیلوسکوپ یا لاگ BSP زیر نظر بگیر.
گام ۲: این تست ردیف جدا ندارد؛ در تک‌تک تست‌های بالا انجامش بده.
گام ۳: PB5 باید همیشه High امن (active-low) و PB7 همیشه Low بماند؛ هر تغییر (toggle) روی این دو یعنی رد تست.</t>
        </is>
      </c>
      <c r="F23" s="101" t="inlineStr">
        <is>
          <t>تمام حالات</t>
        </is>
      </c>
      <c r="G23" s="101" t="inlineStr">
        <is>
          <t>هر تست</t>
        </is>
      </c>
      <c r="H23" s="100" t="inlineStr">
        <is>
          <t>PB5 و PB7 ثابت بمانند (PB5 High-safe active-low، PB7 Low). PASS: بدون تغییر. FAIL: هر toggle.</t>
        </is>
      </c>
      <c r="I23" s="100" t="inlineStr">
        <is>
          <t>PASS: PB5/PB7 never change. FAIL: any toggle.</t>
        </is>
      </c>
      <c r="J23" s="111" t="n"/>
      <c r="K23" s="112" t="inlineStr">
        <is>
          <t>در انتظار</t>
        </is>
      </c>
      <c r="L23" s="113" t="n"/>
      <c r="M23" s="100" t="n"/>
      <c r="N23" s="100" t="inlineStr">
        <is>
          <t>c6b084f28f2c507cfd342e5dbd0dbd8e45686772</t>
        </is>
      </c>
      <c r="O23" s="101" t="n"/>
      <c r="P23" s="101" t="n"/>
      <c r="Q23" s="103">
        <f>IF(OR(L23="",L23="در انتظار"),"",IF(Q23="",TODAY(),Q23))</f>
        <v/>
      </c>
    </row>
    <row r="24" ht="54" customHeight="1">
      <c r="A24" s="99" t="inlineStr">
        <is>
          <t>CO-024</t>
        </is>
      </c>
      <c r="B24" s="104" t="inlineStr">
        <is>
          <t>وصل مجدد 30s پایداری ورودی</t>
        </is>
      </c>
      <c r="C24" s="114" t="inlineStr">
        <is>
          <t>بالا</t>
        </is>
      </c>
      <c r="D24" s="104" t="inlineStr">
        <is>
          <t>برد در SAFE پس از قطع، v_bat=24V</t>
        </is>
      </c>
      <c r="E24" s="106" t="inlineStr">
        <is>
          <t>گام ۱: از تست CO-008 شروع کن تا برد در SAFE و ولتاژ باتری 24 ولت باشد.
گام ۲: ورودی را وصل کن (input=true) و 30 ثانیه پیوسته حاضر نگه دار.
گام ۳: بعد از آن 3 ثانیه ولتاژ را روی 21200 نگه دار (در مجموع 33 ثانیه).
گام ۴: در پایان، پس از 30 ثانیه پایداری ورودی و 3 ثانیه ولتاژ کافی، باید وصل مجدد کامل شده باشد و وضعیت INPUT شود؛ سطح PB11 در لحظهٔ وصل را با اسکوپ ثبت کن و با الگوی CO-013 مقایسه کن.</t>
        </is>
      </c>
      <c r="F24" s="105" t="inlineStr">
        <is>
          <t>input=true v=24000</t>
        </is>
      </c>
      <c r="G24" s="105" t="inlineStr">
        <is>
          <t>33s</t>
        </is>
      </c>
      <c r="H24" s="104" t="inlineStr">
        <is>
          <t>بعد از 30 ثانیه پایداری ورودی و 3 ثانیه ولتاژ 21200، PB11 از Low به High و وضعیت INPUT شود</t>
        </is>
      </c>
      <c r="I24" s="104" t="inlineStr">
        <is>
          <t>PASS: PB11 بعد 33s وصل، قبلش SAFE. FAIL: وصل زودتر از 30s</t>
        </is>
      </c>
      <c r="J24" s="104" t="n"/>
      <c r="K24" s="104" t="inlineStr">
        <is>
          <t>نیاز به تکرار</t>
        </is>
      </c>
      <c r="L24" s="115" t="n"/>
      <c r="M24" s="104" t="n"/>
      <c r="N24" s="104" t="inlineStr">
        <is>
          <t>thermal+30s</t>
        </is>
      </c>
      <c r="O24" s="105" t="n"/>
      <c r="P24" s="105" t="n"/>
      <c r="Q24" s="107">
        <f>IF(OR(L24="",L24="در انتظار"),"",IF(Q24="",TODAY(),Q24))</f>
        <v/>
      </c>
    </row>
    <row r="25">
      <c r="A25" s="82" t="n"/>
      <c r="B25" s="82" t="n"/>
      <c r="C25" s="82" t="n"/>
      <c r="D25" s="82" t="n"/>
      <c r="E25" s="82" t="n"/>
      <c r="F25" s="82" t="n"/>
      <c r="G25" s="82" t="n"/>
      <c r="H25" s="82" t="n"/>
      <c r="I25" s="82" t="n"/>
      <c r="J25" s="82" t="n"/>
      <c r="K25" s="82" t="n"/>
      <c r="L25" s="82" t="n"/>
      <c r="M25" s="82" t="n"/>
      <c r="N25" s="82" t="n"/>
      <c r="O25" s="82" t="n"/>
      <c r="P25" s="82" t="n"/>
      <c r="Q25" s="98">
        <f>IF(OR(L25="",L25="در انتظار"),"",IF(Q25="",TODAY(),Q25))</f>
        <v/>
      </c>
    </row>
    <row r="26">
      <c r="A26" s="82" t="n"/>
      <c r="B26" s="82" t="n"/>
      <c r="C26" s="82" t="n"/>
      <c r="D26" s="82" t="n"/>
      <c r="E26" s="82" t="n"/>
      <c r="F26" s="82" t="n"/>
      <c r="G26" s="82" t="n"/>
      <c r="H26" s="82" t="n"/>
      <c r="I26" s="82" t="n"/>
      <c r="J26" s="82" t="n"/>
      <c r="K26" s="82" t="n"/>
      <c r="L26" s="82" t="n"/>
      <c r="M26" s="82" t="n"/>
      <c r="N26" s="82" t="n"/>
      <c r="O26" s="82" t="n"/>
      <c r="P26" s="82" t="n"/>
      <c r="Q26" s="98">
        <f>IF(OR(L26="",L26="در انتظار"),"",IF(Q26="",TODAY(),Q26))</f>
        <v/>
      </c>
    </row>
    <row r="27">
      <c r="A27" s="82" t="n"/>
      <c r="B27" s="82" t="n"/>
      <c r="C27" s="82" t="n"/>
      <c r="D27" s="82" t="n"/>
      <c r="E27" s="82" t="n"/>
      <c r="F27" s="82" t="n"/>
      <c r="G27" s="82" t="n"/>
      <c r="H27" s="82" t="n"/>
      <c r="I27" s="82" t="n"/>
      <c r="J27" s="82" t="n"/>
      <c r="K27" s="82" t="n"/>
      <c r="L27" s="82" t="n"/>
      <c r="M27" s="82" t="n"/>
      <c r="N27" s="82" t="n"/>
      <c r="O27" s="82" t="n"/>
      <c r="P27" s="82" t="n"/>
      <c r="Q27" s="98">
        <f>IF(OR(L27="",L27="در انتظار"),"",IF(Q27="",TODAY(),Q27))</f>
        <v/>
      </c>
    </row>
    <row r="28">
      <c r="A28" s="82" t="n"/>
      <c r="B28" s="82" t="n"/>
      <c r="C28" s="82" t="n"/>
      <c r="D28" s="82" t="n"/>
      <c r="E28" s="82" t="n"/>
      <c r="F28" s="82" t="n"/>
      <c r="G28" s="82" t="n"/>
      <c r="H28" s="82" t="n"/>
      <c r="I28" s="82" t="n"/>
      <c r="J28" s="82" t="n"/>
      <c r="K28" s="82" t="n"/>
      <c r="L28" s="82" t="n"/>
      <c r="M28" s="82" t="n"/>
      <c r="N28" s="82" t="n"/>
      <c r="O28" s="82" t="n"/>
      <c r="P28" s="82" t="n"/>
      <c r="Q28" s="98">
        <f>IF(OR(L28="",L28="در انتظار"),"",IF(Q28="",TODAY(),Q28))</f>
        <v/>
      </c>
    </row>
    <row r="29">
      <c r="A29" s="82" t="n"/>
      <c r="B29" s="82" t="n"/>
      <c r="C29" s="82" t="n"/>
      <c r="D29" s="82" t="n"/>
      <c r="E29" s="82" t="n"/>
      <c r="F29" s="82" t="n"/>
      <c r="G29" s="82" t="n"/>
      <c r="H29" s="82" t="n"/>
      <c r="I29" s="82" t="n"/>
      <c r="J29" s="82" t="n"/>
      <c r="K29" s="82" t="n"/>
      <c r="L29" s="82" t="n"/>
      <c r="M29" s="82" t="n"/>
      <c r="N29" s="82" t="n"/>
      <c r="O29" s="82" t="n"/>
      <c r="P29" s="82" t="n"/>
      <c r="Q29" s="98">
        <f>IF(OR(L29="",L29="در انتظار"),"",IF(Q29="",TODAY(),Q29))</f>
        <v/>
      </c>
    </row>
    <row r="30">
      <c r="A30" s="82" t="n"/>
      <c r="B30" s="82" t="n"/>
      <c r="C30" s="82" t="n"/>
      <c r="D30" s="82" t="n"/>
      <c r="E30" s="82" t="n"/>
      <c r="F30" s="82" t="n"/>
      <c r="G30" s="82" t="n"/>
      <c r="H30" s="82" t="n"/>
      <c r="I30" s="82" t="n"/>
      <c r="J30" s="82" t="n"/>
      <c r="K30" s="82" t="n"/>
      <c r="L30" s="82" t="n"/>
      <c r="M30" s="82" t="n"/>
      <c r="N30" s="82" t="n"/>
      <c r="O30" s="82" t="n"/>
      <c r="P30" s="82" t="n"/>
      <c r="Q30" s="98">
        <f>IF(OR(L30="",L30="در انتظار"),"",IF(Q30="",TODAY(),Q30))</f>
        <v/>
      </c>
    </row>
    <row r="31">
      <c r="A31" s="82" t="n"/>
      <c r="B31" s="82" t="n"/>
      <c r="C31" s="82" t="n"/>
      <c r="D31" s="82" t="n"/>
      <c r="E31" s="82" t="n"/>
      <c r="F31" s="82" t="n"/>
      <c r="G31" s="82" t="n"/>
      <c r="H31" s="82" t="n"/>
      <c r="I31" s="82" t="n"/>
      <c r="J31" s="82" t="n"/>
      <c r="K31" s="82" t="n"/>
      <c r="L31" s="82" t="n"/>
      <c r="M31" s="82" t="n"/>
      <c r="N31" s="82" t="n"/>
      <c r="O31" s="82" t="n"/>
      <c r="P31" s="82" t="n"/>
      <c r="Q31" s="98">
        <f>IF(OR(L31="",L31="در انتظار"),"",IF(Q31="",TODAY(),Q31))</f>
        <v/>
      </c>
    </row>
    <row r="32">
      <c r="A32" s="82" t="n"/>
      <c r="B32" s="82" t="n"/>
      <c r="C32" s="82" t="n"/>
      <c r="D32" s="82" t="n"/>
      <c r="E32" s="82" t="n"/>
      <c r="F32" s="82" t="n"/>
      <c r="G32" s="82" t="n"/>
      <c r="H32" s="82" t="n"/>
      <c r="I32" s="82" t="n"/>
      <c r="J32" s="82" t="n"/>
      <c r="K32" s="82" t="n"/>
      <c r="L32" s="82" t="n"/>
      <c r="M32" s="82" t="n"/>
      <c r="N32" s="82" t="n"/>
      <c r="O32" s="82" t="n"/>
      <c r="P32" s="82" t="n"/>
      <c r="Q32" s="98">
        <f>IF(OR(L32="",L32="در انتظار"),"",IF(Q32="",TODAY(),Q32))</f>
        <v/>
      </c>
    </row>
    <row r="33">
      <c r="A33" s="82" t="n"/>
      <c r="B33" s="82" t="n"/>
      <c r="C33" s="82" t="n"/>
      <c r="D33" s="82" t="n"/>
      <c r="E33" s="82" t="n"/>
      <c r="F33" s="82" t="n"/>
      <c r="G33" s="82" t="n"/>
      <c r="H33" s="82" t="n"/>
      <c r="I33" s="82" t="n"/>
      <c r="J33" s="82" t="n"/>
      <c r="K33" s="82" t="n"/>
      <c r="L33" s="82" t="n"/>
      <c r="M33" s="82" t="n"/>
      <c r="N33" s="82" t="n"/>
      <c r="O33" s="82" t="n"/>
      <c r="P33" s="82" t="n"/>
      <c r="Q33" s="98">
        <f>IF(OR(L33="",L33="در انتظار"),"",IF(Q33="",TODAY(),Q33))</f>
        <v/>
      </c>
    </row>
    <row r="34">
      <c r="A34" s="82" t="n"/>
      <c r="B34" s="82" t="n"/>
      <c r="C34" s="82" t="n"/>
      <c r="D34" s="82" t="n"/>
      <c r="E34" s="82" t="n"/>
      <c r="F34" s="82" t="n"/>
      <c r="G34" s="82" t="n"/>
      <c r="H34" s="82" t="n"/>
      <c r="I34" s="82" t="n"/>
      <c r="J34" s="82" t="n"/>
      <c r="K34" s="82" t="n"/>
      <c r="L34" s="82" t="n"/>
      <c r="M34" s="82" t="n"/>
      <c r="N34" s="82" t="n"/>
      <c r="O34" s="82" t="n"/>
      <c r="P34" s="82" t="n"/>
      <c r="Q34" s="98">
        <f>IF(OR(L34="",L34="در انتظار"),"",IF(Q34="",TODAY(),Q34))</f>
        <v/>
      </c>
    </row>
    <row r="35">
      <c r="A35" s="82" t="n"/>
      <c r="B35" s="82" t="n"/>
      <c r="C35" s="82" t="n"/>
      <c r="D35" s="82" t="n"/>
      <c r="E35" s="82" t="n"/>
      <c r="F35" s="82" t="n"/>
      <c r="G35" s="82" t="n"/>
      <c r="H35" s="82" t="n"/>
      <c r="I35" s="82" t="n"/>
      <c r="J35" s="82" t="n"/>
      <c r="K35" s="82" t="n"/>
      <c r="L35" s="82" t="n"/>
      <c r="M35" s="82" t="n"/>
      <c r="N35" s="82" t="n"/>
      <c r="O35" s="82" t="n"/>
      <c r="P35" s="82" t="n"/>
      <c r="Q35" s="98">
        <f>IF(OR(L35="",L35="در انتظار"),"",IF(Q35="",TODAY(),Q35))</f>
        <v/>
      </c>
    </row>
    <row r="36">
      <c r="A36" s="82" t="n"/>
      <c r="B36" s="82" t="n"/>
      <c r="C36" s="82" t="n"/>
      <c r="D36" s="82" t="n"/>
      <c r="E36" s="82" t="n"/>
      <c r="F36" s="82" t="n"/>
      <c r="G36" s="82" t="n"/>
      <c r="H36" s="82" t="n"/>
      <c r="I36" s="82" t="n"/>
      <c r="J36" s="82" t="n"/>
      <c r="K36" s="82" t="n"/>
      <c r="L36" s="82" t="n"/>
      <c r="M36" s="82" t="n"/>
      <c r="N36" s="82" t="n"/>
      <c r="O36" s="82" t="n"/>
      <c r="P36" s="82" t="n"/>
      <c r="Q36" s="98">
        <f>IF(OR(L36="",L36="در انتظار"),"",IF(Q36="",TODAY(),Q36))</f>
        <v/>
      </c>
    </row>
    <row r="37">
      <c r="A37" s="82" t="n"/>
      <c r="B37" s="82" t="n"/>
      <c r="C37" s="82" t="n"/>
      <c r="D37" s="82" t="n"/>
      <c r="E37" s="82" t="n"/>
      <c r="F37" s="82" t="n"/>
      <c r="G37" s="82" t="n"/>
      <c r="H37" s="82" t="n"/>
      <c r="I37" s="82" t="n"/>
      <c r="J37" s="82" t="n"/>
      <c r="K37" s="82" t="n"/>
      <c r="L37" s="82" t="n"/>
      <c r="M37" s="82" t="n"/>
      <c r="N37" s="82" t="n"/>
      <c r="O37" s="82" t="n"/>
      <c r="P37" s="82" t="n"/>
      <c r="Q37" s="98">
        <f>IF(OR(L37="",L37="در انتظار"),"",IF(Q37="",TODAY(),Q37))</f>
        <v/>
      </c>
    </row>
    <row r="38">
      <c r="A38" s="82" t="n"/>
      <c r="B38" s="82" t="n"/>
      <c r="C38" s="82" t="n"/>
      <c r="D38" s="82" t="n"/>
      <c r="E38" s="82" t="n"/>
      <c r="F38" s="82" t="n"/>
      <c r="G38" s="82" t="n"/>
      <c r="H38" s="82" t="n"/>
      <c r="I38" s="82" t="n"/>
      <c r="J38" s="82" t="n"/>
      <c r="K38" s="82" t="n"/>
      <c r="L38" s="82" t="n"/>
      <c r="M38" s="82" t="n"/>
      <c r="N38" s="82" t="n"/>
      <c r="O38" s="82" t="n"/>
      <c r="P38" s="82" t="n"/>
      <c r="Q38" s="98">
        <f>IF(OR(L38="",L38="در انتظار"),"",IF(Q38="",TODAY(),Q38))</f>
        <v/>
      </c>
    </row>
    <row r="39">
      <c r="A39" s="82" t="n"/>
      <c r="B39" s="82" t="n"/>
      <c r="C39" s="82" t="n"/>
      <c r="D39" s="82" t="n"/>
      <c r="E39" s="82" t="n"/>
      <c r="F39" s="82" t="n"/>
      <c r="G39" s="82" t="n"/>
      <c r="H39" s="82" t="n"/>
      <c r="I39" s="82" t="n"/>
      <c r="J39" s="82" t="n"/>
      <c r="K39" s="82" t="n"/>
      <c r="L39" s="82" t="n"/>
      <c r="M39" s="82" t="n"/>
      <c r="N39" s="82" t="n"/>
      <c r="O39" s="82" t="n"/>
      <c r="P39" s="82" t="n"/>
      <c r="Q39" s="98">
        <f>IF(OR(L39="",L39="در انتظار"),"",IF(Q39="",TODAY(),Q39))</f>
        <v/>
      </c>
    </row>
    <row r="40">
      <c r="A40" s="82" t="n"/>
      <c r="B40" s="82" t="n"/>
      <c r="C40" s="82" t="n"/>
      <c r="D40" s="82" t="n"/>
      <c r="E40" s="82" t="n"/>
      <c r="F40" s="82" t="n"/>
      <c r="G40" s="82" t="n"/>
      <c r="H40" s="82" t="n"/>
      <c r="I40" s="82" t="n"/>
      <c r="J40" s="82" t="n"/>
      <c r="K40" s="82" t="n"/>
      <c r="L40" s="82" t="n"/>
      <c r="M40" s="82" t="n"/>
      <c r="N40" s="82" t="n"/>
      <c r="O40" s="82" t="n"/>
      <c r="P40" s="82" t="n"/>
      <c r="Q40" s="98">
        <f>IF(OR(L40="",L40="در انتظار"),"",IF(Q40="",TODAY(),Q40))</f>
        <v/>
      </c>
    </row>
    <row r="41">
      <c r="A41" s="82" t="n"/>
      <c r="B41" s="82" t="n"/>
      <c r="C41" s="82" t="n"/>
      <c r="D41" s="82" t="n"/>
      <c r="E41" s="82" t="n"/>
      <c r="F41" s="82" t="n"/>
      <c r="G41" s="82" t="n"/>
      <c r="H41" s="82" t="n"/>
      <c r="I41" s="82" t="n"/>
      <c r="J41" s="82" t="n"/>
      <c r="K41" s="82" t="n"/>
      <c r="L41" s="82" t="n"/>
      <c r="M41" s="82" t="n"/>
      <c r="N41" s="82" t="n"/>
      <c r="O41" s="82" t="n"/>
      <c r="P41" s="82" t="n"/>
      <c r="Q41" s="98">
        <f>IF(OR(L41="",L41="در انتظار"),"",IF(Q41="",TODAY(),Q41))</f>
        <v/>
      </c>
    </row>
    <row r="42">
      <c r="A42" s="82" t="n"/>
      <c r="B42" s="82" t="n"/>
      <c r="C42" s="82" t="n"/>
      <c r="D42" s="82" t="n"/>
      <c r="E42" s="82" t="n"/>
      <c r="F42" s="82" t="n"/>
      <c r="G42" s="82" t="n"/>
      <c r="H42" s="82" t="n"/>
      <c r="I42" s="82" t="n"/>
      <c r="J42" s="82" t="n"/>
      <c r="K42" s="82" t="n"/>
      <c r="L42" s="82" t="n"/>
      <c r="M42" s="82" t="n"/>
      <c r="N42" s="82" t="n"/>
      <c r="O42" s="82" t="n"/>
      <c r="P42" s="82" t="n"/>
      <c r="Q42" s="98">
        <f>IF(OR(L42="",L42="در انتظار"),"",IF(Q42="",TODAY(),Q42))</f>
        <v/>
      </c>
    </row>
    <row r="43">
      <c r="A43" s="82" t="n"/>
      <c r="B43" s="82" t="n"/>
      <c r="C43" s="82" t="n"/>
      <c r="D43" s="82" t="n"/>
      <c r="E43" s="82" t="n"/>
      <c r="F43" s="82" t="n"/>
      <c r="G43" s="82" t="n"/>
      <c r="H43" s="82" t="n"/>
      <c r="I43" s="82" t="n"/>
      <c r="J43" s="82" t="n"/>
      <c r="K43" s="82" t="n"/>
      <c r="L43" s="82" t="n"/>
      <c r="M43" s="82" t="n"/>
      <c r="N43" s="82" t="n"/>
      <c r="O43" s="82" t="n"/>
      <c r="P43" s="82" t="n"/>
      <c r="Q43" s="98">
        <f>IF(OR(L43="",L43="در انتظار"),"",IF(Q43="",TODAY(),Q43))</f>
        <v/>
      </c>
    </row>
    <row r="44">
      <c r="A44" s="82" t="n"/>
      <c r="B44" s="82" t="n"/>
      <c r="C44" s="82" t="n"/>
      <c r="D44" s="82" t="n"/>
      <c r="E44" s="82" t="n"/>
      <c r="F44" s="82" t="n"/>
      <c r="G44" s="82" t="n"/>
      <c r="H44" s="82" t="n"/>
      <c r="I44" s="82" t="n"/>
      <c r="J44" s="82" t="n"/>
      <c r="K44" s="82" t="n"/>
      <c r="L44" s="82" t="n"/>
      <c r="M44" s="82" t="n"/>
      <c r="N44" s="82" t="n"/>
      <c r="O44" s="82" t="n"/>
      <c r="P44" s="82" t="n"/>
      <c r="Q44" s="98">
        <f>IF(OR(L44="",L44="در انتظار"),"",IF(Q44="",TODAY(),Q44))</f>
        <v/>
      </c>
    </row>
  </sheetData>
  <autoFilter ref="A4:Q24"/>
  <dataValidations count="1">
    <dataValidation sqref="L5 L6 L7 L8 L9 L10 L11 L12 L13 L14 L15 L16 L17 L18 L19 L20 L21 L22 L23 L24 L25 L26 L27 L28 L29 L30 L31 L32 L33 L34 L35 L36 L37 L38 L39 L40 L41 L42 L43 L44" showDropDown="0" showInputMessage="0" showErrorMessage="0" allowBlank="1" type="list">
      <formula1>='فهرست‌ها'!$A$2:$A$7</formula1>
    </dataValidation>
  </dataValidations>
  <hyperlinks>
    <hyperlink ref="E17" location="'تست‌های آزمایشگاهی'!A12"/>
    <hyperlink ref="D20" location="'تست‌های آزمایشگاهی'!A17"/>
    <hyperlink ref="E20" location="'تست‌های آزمایشگاهی'!A17"/>
    <hyperlink ref="E23" location="'تست‌های آزمایشگاهی'!A5"/>
    <hyperlink ref="E24" location="'تست‌های آزمایشگاهی'!A12"/>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808080"/>
    <outlinePr summaryBelow="1" summaryRight="1"/>
    <pageSetUpPr fitToPage="1"/>
  </sheetPr>
  <dimension ref="A1:Q2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08" t="inlineStr">
        <is>
          <t>تست‌های برنامه‌نویسی و هاست (جدا از ولیدیشن عملی برد)</t>
        </is>
      </c>
      <c r="B1" s="82" t="n"/>
      <c r="C1" s="82" t="n"/>
      <c r="D1" s="82" t="n"/>
      <c r="E1" s="82" t="n"/>
      <c r="F1" s="82" t="n"/>
      <c r="G1" s="82" t="n"/>
      <c r="H1" s="82" t="n"/>
      <c r="I1" s="82" t="n"/>
      <c r="J1" s="82" t="n"/>
      <c r="K1" s="82" t="n"/>
      <c r="L1" s="82" t="n"/>
      <c r="M1" s="82" t="n"/>
      <c r="N1" s="82" t="n"/>
      <c r="O1" s="82" t="n"/>
      <c r="P1" s="82" t="n"/>
      <c r="Q1" s="82" t="n"/>
    </row>
    <row r="2" ht="42" customHeight="1">
      <c r="A2" s="82" t="n"/>
      <c r="B2" s="109"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82" t="n"/>
      <c r="D2" s="82" t="n"/>
      <c r="E2" s="82" t="n"/>
      <c r="F2" s="82" t="n"/>
      <c r="G2" s="82" t="n"/>
      <c r="H2" s="82" t="n"/>
      <c r="I2" s="82" t="n"/>
      <c r="J2" s="82" t="n"/>
      <c r="K2" s="82" t="n"/>
      <c r="L2" s="82" t="n"/>
      <c r="M2" s="82" t="n"/>
      <c r="N2" s="82" t="n"/>
      <c r="O2" s="82" t="n"/>
      <c r="P2" s="82" t="n"/>
      <c r="Q2" s="82" t="n"/>
    </row>
    <row r="3">
      <c r="A3" s="82" t="n"/>
      <c r="B3" s="82" t="n"/>
      <c r="C3" s="82" t="n"/>
      <c r="D3" s="82" t="n"/>
      <c r="E3" s="82" t="n"/>
      <c r="F3" s="82" t="n"/>
      <c r="G3" s="82" t="n"/>
      <c r="H3" s="82" t="n"/>
      <c r="I3" s="82" t="n"/>
      <c r="J3" s="82" t="n"/>
      <c r="K3" s="82" t="n"/>
      <c r="L3" s="82" t="n"/>
      <c r="M3" s="82" t="n"/>
      <c r="N3" s="82" t="n"/>
      <c r="O3" s="82" t="n"/>
      <c r="P3" s="82" t="n"/>
      <c r="Q3" s="82" t="n"/>
    </row>
    <row r="4" ht="30" customHeight="1">
      <c r="A4" s="84" t="inlineStr">
        <is>
          <t>شناسه تست</t>
        </is>
      </c>
      <c r="B4" s="84" t="inlineStr">
        <is>
          <t>دسته</t>
        </is>
      </c>
      <c r="C4" s="84" t="inlineStr">
        <is>
          <t>اولویت</t>
        </is>
      </c>
      <c r="D4" s="84" t="inlineStr">
        <is>
          <t>پیش‌شرط</t>
        </is>
      </c>
      <c r="E4" s="84" t="inlineStr">
        <is>
          <t>روش اجرای دقیق</t>
        </is>
      </c>
      <c r="F4" s="84" t="inlineStr">
        <is>
          <t>ورودی‌ها</t>
        </is>
      </c>
      <c r="G4" s="84" t="inlineStr">
        <is>
          <t>مدت مشاهده</t>
        </is>
      </c>
      <c r="H4" s="84" t="inlineStr">
        <is>
          <t>نتیجه مورد انتظار</t>
        </is>
      </c>
      <c r="I4" s="84" t="inlineStr">
        <is>
          <t>معیار قبولی</t>
        </is>
      </c>
      <c r="J4" s="84" t="inlineStr">
        <is>
          <t>نتیجه واقعی</t>
        </is>
      </c>
      <c r="K4" s="84" t="inlineStr">
        <is>
          <t>وضعیت</t>
        </is>
      </c>
      <c r="L4" s="84" t="inlineStr">
        <is>
          <t>شرح ایراد</t>
        </is>
      </c>
      <c r="M4" s="84" t="inlineStr">
        <is>
          <t>مدرک تست</t>
        </is>
      </c>
      <c r="N4" s="84" t="inlineStr">
        <is>
          <t>commit</t>
        </is>
      </c>
      <c r="O4" s="84" t="inlineStr">
        <is>
          <t>نام تست‌کننده</t>
        </is>
      </c>
      <c r="P4" s="84" t="inlineStr">
        <is>
          <t>تاریخ</t>
        </is>
      </c>
      <c r="Q4" s="84" t="n"/>
    </row>
    <row r="5" ht="54" customHeight="1">
      <c r="A5" s="99" t="inlineStr">
        <is>
          <t>CO-020</t>
        </is>
      </c>
      <c r="B5" s="104" t="inlineStr">
        <is>
          <t>فقط PROTECT_BATTERY مجاز</t>
        </is>
      </c>
      <c r="C5" s="114" t="inlineStr">
        <is>
          <t>بالا</t>
        </is>
      </c>
      <c r="D5" s="104" t="inlineStr">
        <is>
          <t>کد review + تست</t>
        </is>
      </c>
      <c r="E5" s="106" t="inlineStr">
        <is>
          <t>گام ۱: کد changeover.c را بازبینی کن: تنها جایی که اجازهٔ نوشتن روی خروجی دارد باید func__BspGpio_Write با BSP_GPIO_PROTECT_BATTERY (همان PB11) باشد.
گام ۲: دنبال هر ارجاع مستقیم به board_pins یا HAL یا PB5/PB7 در این مسیر بگرد؛ نباید هیچ‌کدام باشد.
گام ۳: با اسیلوسکوپ PB11 را در چند تست قبلی چک کن که فقط همان تغییر می‌کند.
گام ۴: اگر PB5 یا PB7 در هیچ تستی تغییر نکرد، قبول است.</t>
        </is>
      </c>
      <c r="F5" s="105" t="inlineStr">
        <is>
          <t>کد + PB11</t>
        </is>
      </c>
      <c r="G5" s="105" t="inlineStr">
        <is>
          <t>—</t>
        </is>
      </c>
      <c r="H5" s="104" t="inlineStr">
        <is>
          <t>هیچ کد board_pins/HAL/PB5/PB7 نباشد، فقط PB11 تغییر کند. PASS: فقط PB11. FAIL: PB5/7.</t>
        </is>
      </c>
      <c r="I5" s="104" t="inlineStr">
        <is>
          <t>PASS: only PB11. FAIL: PB5/7 usage.</t>
        </is>
      </c>
      <c r="J5" s="104" t="n"/>
      <c r="K5" s="104" t="inlineStr">
        <is>
          <t>در انتظار</t>
        </is>
      </c>
      <c r="L5" s="115" t="n"/>
      <c r="M5" s="104" t="n"/>
      <c r="N5" s="104" t="inlineStr">
        <is>
          <t>c6b084f28f2c507cfd342e5dbd0dbd8e45686772</t>
        </is>
      </c>
      <c r="O5" s="105" t="n"/>
      <c r="P5" s="105" t="n"/>
      <c r="Q5" s="107">
        <f>IF(OR(L5="",L5="در انتظار"),"",IF(Q5="",TODAY(),Q5))</f>
        <v/>
      </c>
    </row>
    <row r="6" ht="54" customHeight="1">
      <c r="A6" s="99" t="inlineStr">
        <is>
          <t>CO-021</t>
        </is>
      </c>
      <c r="B6" s="100" t="inlineStr">
        <is>
          <t>زمان از rtos_time</t>
        </is>
      </c>
      <c r="C6" s="101" t="inlineStr">
        <is>
          <t>متوسط</t>
        </is>
      </c>
      <c r="D6" s="100" t="inlineStr">
        <is>
          <t>هر زمان</t>
        </is>
      </c>
      <c r="E6" s="100" t="inlineStr">
        <is>
          <t>گام ۱: کد را بازبینی کن: همهٔ تبدیل‌های میلی‌ثانیه به تیک باید فقط از func__Rtos_MillisecondsToTicks و زمان فعلی از osKernelGetTickCount گرفته شود.
گام ۲: دنبال هر جا که «تیک برابر 1 میلی‌ثانیه» فرض شده باشد بگرد؛ نباید هیچ جا باشد.
گام ۳: در صورت امکان فرکانس تیک را در شبیه‌سازی تغییر بده و تست 3000 میلی‌ثانیه‌ای قطع را تکرار کن.
گام ۴: رفتار باید با هر فرکانس تیک درست بماند؛ وابستگی به فرض 1 میلی‌ثانیه یعنی رد تست.</t>
        </is>
      </c>
      <c r="F6" s="101" t="inlineStr">
        <is>
          <t>کد review</t>
        </is>
      </c>
      <c r="G6" s="101" t="inlineStr">
        <is>
          <t>—</t>
        </is>
      </c>
      <c r="H6" s="100" t="inlineStr">
        <is>
          <t>زمان با rtos_time قابل‌حمل باشد، 3000ms با هر فرکانس تیک درست کار کند. PASS: portable. FAIL: فرض 1ms.</t>
        </is>
      </c>
      <c r="I6" s="100" t="inlineStr">
        <is>
          <t>PASS: portable via rtos_time. FAIL: hardcoded 1ms.</t>
        </is>
      </c>
      <c r="J6" s="111" t="n"/>
      <c r="K6" s="112" t="inlineStr">
        <is>
          <t>در انتظار</t>
        </is>
      </c>
      <c r="L6" s="113" t="n"/>
      <c r="M6" s="100" t="n"/>
      <c r="N6" s="100" t="inlineStr">
        <is>
          <t>c6b084f28f2c507cfd342e5dbd0dbd8e45686772</t>
        </is>
      </c>
      <c r="O6" s="101" t="n"/>
      <c r="P6" s="101" t="n"/>
      <c r="Q6" s="103">
        <f>IF(OR(L6="",L6="در انتظار"),"",IF(Q6="",TODAY(),Q6))</f>
        <v/>
      </c>
    </row>
    <row r="7" ht="54" customHeight="1">
      <c r="A7" s="99" t="inlineStr">
        <is>
          <t>CO-022</t>
        </is>
      </c>
      <c r="B7" s="104" t="inlineStr">
        <is>
          <t>durationTicks صفر → no immediate cut</t>
        </is>
      </c>
      <c r="C7" s="114" t="inlineStr">
        <is>
          <t>بالا</t>
        </is>
      </c>
      <c r="D7" s="104" t="inlineStr">
        <is>
          <t>BATTERY با شرط قطع</t>
        </is>
      </c>
      <c r="E7" s="104" t="inlineStr">
        <is>
          <t>گام ۱: برد در BATTERY و شرط قطع برقرار باشد.
گام ۲: در شبیه‌سازی کاری کن فرکانس تیک صفر شود، طوری که func__Rtos_MillisecondsToTicks مقدار 0 برگرداند.
گام ۳: snapshot معتبر با v=20700 و flag=true را 3500 میلی‌ثانیه نگه دار.
گام ۴: هیچ قطع یا وصل فوری نباید اتفاق بیفتد؛ وضعیت و PB11 باید حفظ شوند و فقط تایمر reset شود. قطع فوری یعنی رد تست.</t>
        </is>
      </c>
      <c r="F7" s="105" t="inlineStr">
        <is>
          <t>valid true v20700 durTicks0</t>
        </is>
      </c>
      <c r="G7" s="105" t="inlineStr">
        <is>
          <t>3500ms</t>
        </is>
      </c>
      <c r="H7" s="104" t="inlineStr">
        <is>
          <t>هیچ قطع/وصل فوری انجام نشود، state و PB11 حفظ، تایمر reset. PASS: guard بدون تصمیم. FAIL: قطع فوری.</t>
        </is>
      </c>
      <c r="I7" s="104" t="inlineStr">
        <is>
          <t>PASS: guard preserves. FAIL: immediate cut.</t>
        </is>
      </c>
      <c r="J7" s="104" t="n"/>
      <c r="K7" s="104" t="inlineStr">
        <is>
          <t>در انتظار</t>
        </is>
      </c>
      <c r="L7" s="115" t="n"/>
      <c r="M7" s="104" t="n"/>
      <c r="N7" s="104" t="inlineStr">
        <is>
          <t>c6b084f28f2c507cfd342e5dbd0dbd8e45686772</t>
        </is>
      </c>
      <c r="O7" s="105" t="n"/>
      <c r="P7" s="105" t="n"/>
      <c r="Q7" s="107">
        <f>IF(OR(L7="",L7="در انتظار"),"",IF(Q7="",TODAY(),Q7))</f>
        <v/>
      </c>
    </row>
    <row r="8" ht="54" customHeight="1">
      <c r="A8" s="99" t="inlineStr">
        <is>
          <t>CO-023</t>
        </is>
      </c>
      <c r="B8" s="100" t="inlineStr">
        <is>
          <t>snapshot zeroing task_control</t>
        </is>
      </c>
      <c r="C8" s="110" t="inlineStr">
        <is>
          <t>بالا</t>
        </is>
      </c>
      <c r="D8" s="100" t="inlineStr">
        <is>
          <t>MODULE_MEASUREMENT=0 یا GetSnapshot=false</t>
        </is>
      </c>
      <c r="E8" s="100" t="inlineStr">
        <is>
          <t>گام ۱: برد را با MODULE_MEASUREMENT=0 بیلد کن (یا ADC را نگه دار تا valid=false بماند).
گام ۲: 3 ثانیه وضعیت و PB11 را نگاه کن.
گام ۳: هیچ فیلد snapshot نباید زبالهٔ پشته داشته باشد: task_control مثل task_comm و task_ui و task_protection هر 9 فیلد را از قبل صفر می‌کند.
گام ۴: Changeover باید فقط روی valid تصمیم بگیرد و PB11 امن بماند؛ هیچ تصمیمی بر اساس زباله قبول نیست.</t>
        </is>
      </c>
      <c r="F8" s="101" t="inlineStr">
        <is>
          <t>valid=false</t>
        </is>
      </c>
      <c r="G8" s="101" t="inlineStr">
        <is>
          <t>3500ms</t>
        </is>
      </c>
      <c r="H8" s="100" t="inlineStr">
        <is>
          <t>هیچ فیلد snapshot حاوی زباله پشته نباشد؛ Changeover باید فقط روی valid گیت بزند و PB11 امن بماند؛ task_control مانند task_comm/task_ui/task_protection هر 9 فیلد را صفر کند</t>
        </is>
      </c>
      <c r="I8" s="100" t="inlineStr">
        <is>
          <t>امن</t>
        </is>
      </c>
      <c r="J8" s="100" t="inlineStr">
        <is>
          <t>بدون تصمیم بر اساس زباله؛ PB11 حفظ</t>
        </is>
      </c>
      <c r="K8" s="100" t="n"/>
      <c r="L8" s="117" t="inlineStr">
        <is>
          <t>نیاز به تکرار</t>
        </is>
      </c>
      <c r="M8" s="100" t="n"/>
      <c r="N8" s="100" t="n"/>
      <c r="O8" s="101" t="inlineStr">
        <is>
          <t>62f3782</t>
        </is>
      </c>
      <c r="P8" s="101" t="n"/>
      <c r="Q8" s="103" t="inlineStr">
        <is>
          <t>2026-10-12</t>
        </is>
      </c>
    </row>
    <row r="9">
      <c r="A9" s="82" t="n"/>
      <c r="B9" s="82" t="n"/>
      <c r="C9" s="82" t="n"/>
      <c r="D9" s="82" t="n"/>
      <c r="E9" s="82" t="n"/>
      <c r="F9" s="82" t="n"/>
      <c r="G9" s="82" t="n"/>
      <c r="H9" s="82" t="n"/>
      <c r="I9" s="82" t="n"/>
      <c r="J9" s="82" t="n"/>
      <c r="K9" s="82" t="n"/>
      <c r="L9" s="82" t="n"/>
      <c r="M9" s="82" t="n"/>
      <c r="N9" s="82" t="n"/>
      <c r="O9" s="82" t="n"/>
      <c r="P9" s="82" t="n"/>
      <c r="Q9" s="98">
        <f>IF(OR(L9="",L9="در انتظار"),"",IF(Q9="",TODAY(),Q9))</f>
        <v/>
      </c>
    </row>
    <row r="10">
      <c r="A10" s="82" t="n"/>
      <c r="B10" s="82" t="n"/>
      <c r="C10" s="82" t="n"/>
      <c r="D10" s="82" t="n"/>
      <c r="E10" s="82" t="n"/>
      <c r="F10" s="82" t="n"/>
      <c r="G10" s="82" t="n"/>
      <c r="H10" s="82" t="n"/>
      <c r="I10" s="82" t="n"/>
      <c r="J10" s="82" t="n"/>
      <c r="K10" s="82" t="n"/>
      <c r="L10" s="82" t="n"/>
      <c r="M10" s="82" t="n"/>
      <c r="N10" s="82" t="n"/>
      <c r="O10" s="82" t="n"/>
      <c r="P10" s="82" t="n"/>
      <c r="Q10" s="98">
        <f>IF(OR(L10="",L10="در انتظار"),"",IF(Q10="",TODAY(),Q10))</f>
        <v/>
      </c>
    </row>
    <row r="11">
      <c r="A11" s="82" t="n"/>
      <c r="B11" s="82" t="n"/>
      <c r="C11" s="82" t="n"/>
      <c r="D11" s="82" t="n"/>
      <c r="E11" s="82" t="n"/>
      <c r="F11" s="82" t="n"/>
      <c r="G11" s="82" t="n"/>
      <c r="H11" s="82" t="n"/>
      <c r="I11" s="82" t="n"/>
      <c r="J11" s="82" t="n"/>
      <c r="K11" s="82" t="n"/>
      <c r="L11" s="82" t="n"/>
      <c r="M11" s="82" t="n"/>
      <c r="N11" s="82" t="n"/>
      <c r="O11" s="82" t="n"/>
      <c r="P11" s="82" t="n"/>
      <c r="Q11" s="98">
        <f>IF(OR(L11="",L11="در انتظار"),"",IF(Q11="",TODAY(),Q11))</f>
        <v/>
      </c>
    </row>
    <row r="12">
      <c r="A12" s="82" t="n"/>
      <c r="B12" s="82" t="n"/>
      <c r="C12" s="82" t="n"/>
      <c r="D12" s="82" t="n"/>
      <c r="E12" s="82" t="n"/>
      <c r="F12" s="82" t="n"/>
      <c r="G12" s="82" t="n"/>
      <c r="H12" s="82" t="n"/>
      <c r="I12" s="82" t="n"/>
      <c r="J12" s="82" t="n"/>
      <c r="K12" s="82" t="n"/>
      <c r="L12" s="82" t="n"/>
      <c r="M12" s="82" t="n"/>
      <c r="N12" s="82" t="n"/>
      <c r="O12" s="82" t="n"/>
      <c r="P12" s="82" t="n"/>
      <c r="Q12" s="98">
        <f>IF(OR(L12="",L12="در انتظار"),"",IF(Q12="",TODAY(),Q12))</f>
        <v/>
      </c>
    </row>
    <row r="13">
      <c r="A13" s="82" t="n"/>
      <c r="B13" s="82" t="n"/>
      <c r="C13" s="82" t="n"/>
      <c r="D13" s="82" t="n"/>
      <c r="E13" s="82" t="n"/>
      <c r="F13" s="82" t="n"/>
      <c r="G13" s="82" t="n"/>
      <c r="H13" s="82" t="n"/>
      <c r="I13" s="82" t="n"/>
      <c r="J13" s="82" t="n"/>
      <c r="K13" s="82" t="n"/>
      <c r="L13" s="82" t="n"/>
      <c r="M13" s="82" t="n"/>
      <c r="N13" s="82" t="n"/>
      <c r="O13" s="82" t="n"/>
      <c r="P13" s="82" t="n"/>
      <c r="Q13" s="98">
        <f>IF(OR(L13="",L13="در انتظار"),"",IF(Q13="",TODAY(),Q13))</f>
        <v/>
      </c>
    </row>
    <row r="14">
      <c r="A14" s="82" t="n"/>
      <c r="B14" s="82" t="n"/>
      <c r="C14" s="82" t="n"/>
      <c r="D14" s="82" t="n"/>
      <c r="E14" s="82" t="n"/>
      <c r="F14" s="82" t="n"/>
      <c r="G14" s="82" t="n"/>
      <c r="H14" s="82" t="n"/>
      <c r="I14" s="82" t="n"/>
      <c r="J14" s="82" t="n"/>
      <c r="K14" s="82" t="n"/>
      <c r="L14" s="82" t="n"/>
      <c r="M14" s="82" t="n"/>
      <c r="N14" s="82" t="n"/>
      <c r="O14" s="82" t="n"/>
      <c r="P14" s="82" t="n"/>
      <c r="Q14" s="98">
        <f>IF(OR(L14="",L14="در انتظار"),"",IF(Q14="",TODAY(),Q14))</f>
        <v/>
      </c>
    </row>
    <row r="15">
      <c r="A15" s="82" t="n"/>
      <c r="B15" s="82" t="n"/>
      <c r="C15" s="82" t="n"/>
      <c r="D15" s="82" t="n"/>
      <c r="E15" s="82" t="n"/>
      <c r="F15" s="82" t="n"/>
      <c r="G15" s="82" t="n"/>
      <c r="H15" s="82" t="n"/>
      <c r="I15" s="82" t="n"/>
      <c r="J15" s="82" t="n"/>
      <c r="K15" s="82" t="n"/>
      <c r="L15" s="82" t="n"/>
      <c r="M15" s="82" t="n"/>
      <c r="N15" s="82" t="n"/>
      <c r="O15" s="82" t="n"/>
      <c r="P15" s="82" t="n"/>
      <c r="Q15" s="98">
        <f>IF(OR(L15="",L15="در انتظار"),"",IF(Q15="",TODAY(),Q15))</f>
        <v/>
      </c>
    </row>
    <row r="16">
      <c r="A16" s="82" t="n"/>
      <c r="B16" s="82" t="n"/>
      <c r="C16" s="82" t="n"/>
      <c r="D16" s="82" t="n"/>
      <c r="E16" s="82" t="n"/>
      <c r="F16" s="82" t="n"/>
      <c r="G16" s="82" t="n"/>
      <c r="H16" s="82" t="n"/>
      <c r="I16" s="82" t="n"/>
      <c r="J16" s="82" t="n"/>
      <c r="K16" s="82" t="n"/>
      <c r="L16" s="82" t="n"/>
      <c r="M16" s="82" t="n"/>
      <c r="N16" s="82" t="n"/>
      <c r="O16" s="82" t="n"/>
      <c r="P16" s="82" t="n"/>
      <c r="Q16" s="98">
        <f>IF(OR(L16="",L16="در انتظار"),"",IF(Q16="",TODAY(),Q16))</f>
        <v/>
      </c>
    </row>
    <row r="17">
      <c r="A17" s="82" t="n"/>
      <c r="B17" s="82" t="n"/>
      <c r="C17" s="82" t="n"/>
      <c r="D17" s="82" t="n"/>
      <c r="E17" s="82" t="n"/>
      <c r="F17" s="82" t="n"/>
      <c r="G17" s="82" t="n"/>
      <c r="H17" s="82" t="n"/>
      <c r="I17" s="82" t="n"/>
      <c r="J17" s="82" t="n"/>
      <c r="K17" s="82" t="n"/>
      <c r="L17" s="82" t="n"/>
      <c r="M17" s="82" t="n"/>
      <c r="N17" s="82" t="n"/>
      <c r="O17" s="82" t="n"/>
      <c r="P17" s="82" t="n"/>
      <c r="Q17" s="98">
        <f>IF(OR(L17="",L17="در انتظار"),"",IF(Q17="",TODAY(),Q17))</f>
        <v/>
      </c>
    </row>
    <row r="18">
      <c r="A18" s="82" t="n"/>
      <c r="B18" s="82" t="n"/>
      <c r="C18" s="82" t="n"/>
      <c r="D18" s="82" t="n"/>
      <c r="E18" s="82" t="n"/>
      <c r="F18" s="82" t="n"/>
      <c r="G18" s="82" t="n"/>
      <c r="H18" s="82" t="n"/>
      <c r="I18" s="82" t="n"/>
      <c r="J18" s="82" t="n"/>
      <c r="K18" s="82" t="n"/>
      <c r="L18" s="82" t="n"/>
      <c r="M18" s="82" t="n"/>
      <c r="N18" s="82" t="n"/>
      <c r="O18" s="82" t="n"/>
      <c r="P18" s="82" t="n"/>
      <c r="Q18" s="98">
        <f>IF(OR(L18="",L18="در انتظار"),"",IF(Q18="",TODAY(),Q18))</f>
        <v/>
      </c>
    </row>
    <row r="19">
      <c r="A19" s="82" t="n"/>
      <c r="B19" s="82" t="n"/>
      <c r="C19" s="82" t="n"/>
      <c r="D19" s="82" t="n"/>
      <c r="E19" s="82" t="n"/>
      <c r="F19" s="82" t="n"/>
      <c r="G19" s="82" t="n"/>
      <c r="H19" s="82" t="n"/>
      <c r="I19" s="82" t="n"/>
      <c r="J19" s="82" t="n"/>
      <c r="K19" s="82" t="n"/>
      <c r="L19" s="82" t="n"/>
      <c r="M19" s="82" t="n"/>
      <c r="N19" s="82" t="n"/>
      <c r="O19" s="82" t="n"/>
      <c r="P19" s="82" t="n"/>
      <c r="Q19" s="98">
        <f>IF(OR(L19="",L19="در انتظار"),"",IF(Q19="",TODAY(),Q19))</f>
        <v/>
      </c>
    </row>
    <row r="20">
      <c r="A20" s="82" t="n"/>
      <c r="B20" s="82" t="n"/>
      <c r="C20" s="82" t="n"/>
      <c r="D20" s="82" t="n"/>
      <c r="E20" s="82" t="n"/>
      <c r="F20" s="82" t="n"/>
      <c r="G20" s="82" t="n"/>
      <c r="H20" s="82" t="n"/>
      <c r="I20" s="82" t="n"/>
      <c r="J20" s="82" t="n"/>
      <c r="K20" s="82" t="n"/>
      <c r="L20" s="82" t="n"/>
      <c r="M20" s="82" t="n"/>
      <c r="N20" s="82" t="n"/>
      <c r="O20" s="82" t="n"/>
      <c r="P20" s="82" t="n"/>
      <c r="Q20" s="98">
        <f>IF(OR(L20="",L20="در انتظار"),"",IF(Q20="",TODAY(),Q20))</f>
        <v/>
      </c>
    </row>
    <row r="21">
      <c r="A21" s="82" t="n"/>
      <c r="B21" s="82" t="n"/>
      <c r="C21" s="82" t="n"/>
      <c r="D21" s="82" t="n"/>
      <c r="E21" s="82" t="n"/>
      <c r="F21" s="82" t="n"/>
      <c r="G21" s="82" t="n"/>
      <c r="H21" s="82" t="n"/>
      <c r="I21" s="82" t="n"/>
      <c r="J21" s="82" t="n"/>
      <c r="K21" s="82" t="n"/>
      <c r="L21" s="82" t="n"/>
      <c r="M21" s="82" t="n"/>
      <c r="N21" s="82" t="n"/>
      <c r="O21" s="82" t="n"/>
      <c r="P21" s="82" t="n"/>
      <c r="Q21" s="98">
        <f>IF(OR(L21="",L21="در انتظار"),"",IF(Q21="",TODAY(),Q21))</f>
        <v/>
      </c>
    </row>
    <row r="22">
      <c r="A22" s="82" t="n"/>
      <c r="B22" s="82" t="n"/>
      <c r="C22" s="82" t="n"/>
      <c r="D22" s="82" t="n"/>
      <c r="E22" s="82" t="n"/>
      <c r="F22" s="82" t="n"/>
      <c r="G22" s="82" t="n"/>
      <c r="H22" s="82" t="n"/>
      <c r="I22" s="82" t="n"/>
      <c r="J22" s="82" t="n"/>
      <c r="K22" s="82" t="n"/>
      <c r="L22" s="82" t="n"/>
      <c r="M22" s="82" t="n"/>
      <c r="N22" s="82" t="n"/>
      <c r="O22" s="82" t="n"/>
      <c r="P22" s="82" t="n"/>
      <c r="Q22" s="98">
        <f>IF(OR(L22="",L22="در انتظار"),"",IF(Q22="",TODAY(),Q22))</f>
        <v/>
      </c>
    </row>
    <row r="23">
      <c r="A23" s="82" t="n"/>
      <c r="B23" s="82" t="n"/>
      <c r="C23" s="82" t="n"/>
      <c r="D23" s="82" t="n"/>
      <c r="E23" s="82" t="n"/>
      <c r="F23" s="82" t="n"/>
      <c r="G23" s="82" t="n"/>
      <c r="H23" s="82" t="n"/>
      <c r="I23" s="82" t="n"/>
      <c r="J23" s="82" t="n"/>
      <c r="K23" s="82" t="n"/>
      <c r="L23" s="82" t="n"/>
      <c r="M23" s="82" t="n"/>
      <c r="N23" s="82" t="n"/>
      <c r="O23" s="82" t="n"/>
      <c r="P23" s="82" t="n"/>
      <c r="Q23" s="98">
        <f>IF(OR(L23="",L23="در انتظار"),"",IF(Q23="",TODAY(),Q23))</f>
        <v/>
      </c>
    </row>
    <row r="24">
      <c r="A24" s="82" t="n"/>
      <c r="B24" s="82" t="n"/>
      <c r="C24" s="82" t="n"/>
      <c r="D24" s="82" t="n"/>
      <c r="E24" s="82" t="n"/>
      <c r="F24" s="82" t="n"/>
      <c r="G24" s="82" t="n"/>
      <c r="H24" s="82" t="n"/>
      <c r="I24" s="82" t="n"/>
      <c r="J24" s="82" t="n"/>
      <c r="K24" s="82" t="n"/>
      <c r="L24" s="82" t="n"/>
      <c r="M24" s="82" t="n"/>
      <c r="N24" s="82" t="n"/>
      <c r="O24" s="82" t="n"/>
      <c r="P24" s="82" t="n"/>
      <c r="Q24" s="98">
        <f>IF(OR(L24="",L24="در انتظار"),"",IF(Q24="",TODAY(),Q24))</f>
        <v/>
      </c>
    </row>
    <row r="25">
      <c r="A25" s="82" t="n"/>
      <c r="B25" s="82" t="n"/>
      <c r="C25" s="82" t="n"/>
      <c r="D25" s="82" t="n"/>
      <c r="E25" s="82" t="n"/>
      <c r="F25" s="82" t="n"/>
      <c r="G25" s="82" t="n"/>
      <c r="H25" s="82" t="n"/>
      <c r="I25" s="82" t="n"/>
      <c r="J25" s="82" t="n"/>
      <c r="K25" s="82" t="n"/>
      <c r="L25" s="82" t="n"/>
      <c r="M25" s="82" t="n"/>
      <c r="N25" s="82" t="n"/>
      <c r="O25" s="82" t="n"/>
      <c r="P25" s="82" t="n"/>
      <c r="Q25" s="98">
        <f>IF(OR(L25="",L25="در انتظار"),"",IF(Q25="",TODAY(),Q25))</f>
        <v/>
      </c>
    </row>
    <row r="26">
      <c r="A26" s="82" t="n"/>
      <c r="B26" s="82" t="n"/>
      <c r="C26" s="82" t="n"/>
      <c r="D26" s="82" t="n"/>
      <c r="E26" s="82" t="n"/>
      <c r="F26" s="82" t="n"/>
      <c r="G26" s="82" t="n"/>
      <c r="H26" s="82" t="n"/>
      <c r="I26" s="82" t="n"/>
      <c r="J26" s="82" t="n"/>
      <c r="K26" s="82" t="n"/>
      <c r="L26" s="82" t="n"/>
      <c r="M26" s="82" t="n"/>
      <c r="N26" s="82" t="n"/>
      <c r="O26" s="82" t="n"/>
      <c r="P26" s="82" t="n"/>
      <c r="Q26" s="98">
        <f>IF(OR(L26="",L26="در انتظار"),"",IF(Q26="",TODAY(),Q26))</f>
        <v/>
      </c>
    </row>
    <row r="27">
      <c r="A27" s="82" t="n"/>
      <c r="B27" s="82" t="n"/>
      <c r="C27" s="82" t="n"/>
      <c r="D27" s="82" t="n"/>
      <c r="E27" s="82" t="n"/>
      <c r="F27" s="82" t="n"/>
      <c r="G27" s="82" t="n"/>
      <c r="H27" s="82" t="n"/>
      <c r="I27" s="82" t="n"/>
      <c r="J27" s="82" t="n"/>
      <c r="K27" s="82" t="n"/>
      <c r="L27" s="82" t="n"/>
      <c r="M27" s="82" t="n"/>
      <c r="N27" s="82" t="n"/>
      <c r="O27" s="82" t="n"/>
      <c r="P27" s="82" t="n"/>
      <c r="Q27" s="98">
        <f>IF(OR(L27="",L27="در انتظار"),"",IF(Q27="",TODAY(),Q27))</f>
        <v/>
      </c>
    </row>
    <row r="28">
      <c r="A28" s="82" t="n"/>
      <c r="B28" s="82" t="n"/>
      <c r="C28" s="82" t="n"/>
      <c r="D28" s="82" t="n"/>
      <c r="E28" s="82" t="n"/>
      <c r="F28" s="82" t="n"/>
      <c r="G28" s="82" t="n"/>
      <c r="H28" s="82" t="n"/>
      <c r="I28" s="82" t="n"/>
      <c r="J28" s="82" t="n"/>
      <c r="K28" s="82" t="n"/>
      <c r="L28" s="82" t="n"/>
      <c r="M28" s="82" t="n"/>
      <c r="N28" s="82" t="n"/>
      <c r="O28" s="82" t="n"/>
      <c r="P28" s="82" t="n"/>
      <c r="Q28" s="98">
        <f>IF(OR(L28="",L28="در انتظار"),"",IF(Q28="",TODAY(),Q28))</f>
        <v/>
      </c>
    </row>
  </sheetData>
  <autoFilter ref="A4:Q8"/>
  <dataValidations count="1">
    <dataValidation sqref="L5 L6 L7 L8 L9 L10 L11 L12 L13 L14 L15 L16 L17 L18 L19 L20 L21 L22 L23 L24 L25 L26 L27 L28"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BF8F00"/>
    <outlinePr summaryBelow="1" summaryRight="1"/>
    <pageSetUpPr fitToPage="1"/>
  </sheetPr>
  <dimension ref="A1:F15"/>
  <sheetViews>
    <sheetView rightToLeft="1" workbookViewId="0">
      <pane ySplit="1" topLeftCell="A2" activePane="bottomLeft" state="frozen"/>
      <selection pane="bottomLeft" activeCell="A1" sqref="A1"/>
    </sheetView>
  </sheetViews>
  <sheetFormatPr baseColWidth="8" defaultRowHeight="15"/>
  <cols>
    <col width="22" customWidth="1" min="1" max="1"/>
    <col width="26" customWidth="1" min="2" max="2"/>
    <col width="30" customWidth="1" min="3" max="3"/>
    <col width="22" customWidth="1" min="4" max="4"/>
    <col width="22" customWidth="1" min="5" max="5"/>
    <col width="18" customWidth="1" min="6" max="6"/>
  </cols>
  <sheetData>
    <row r="1" ht="30" customHeight="1">
      <c r="A1" s="84" t="inlineStr">
        <is>
          <t>مرجع سریع سناریوهای Changeover</t>
        </is>
      </c>
      <c r="B1" s="8" t="n"/>
      <c r="C1" s="8" t="n"/>
      <c r="D1" s="8" t="n"/>
      <c r="E1" s="8" t="n"/>
      <c r="F1" s="9" t="n"/>
    </row>
    <row r="2" ht="18" customHeight="1">
      <c r="A2" s="118" t="inlineStr">
        <is>
          <t>این صفحه مرجع انتظار است؛ نتیجه واقعی فقط در «برنامه تست» ثبت شود. مقادیر از کد واقعی استخراج شده؛ مقدار حدسی وجود ندارد.</t>
        </is>
      </c>
    </row>
    <row r="3" ht="18" customHeight="1">
      <c r="A3" s="90" t="inlineStr">
        <is>
          <t>موضوع</t>
        </is>
      </c>
      <c r="B3" s="90" t="inlineStr">
        <is>
          <t>شرط / مقدار (از کد)</t>
        </is>
      </c>
      <c r="C3" s="90" t="inlineStr">
        <is>
          <t>رفتار مورد انتظار</t>
        </is>
      </c>
      <c r="D3" s="90" t="inlineStr">
        <is>
          <t>ثابت / محل کد</t>
        </is>
      </c>
      <c r="E3" s="90" t="inlineStr">
        <is>
          <t>توضیح تکمیلی</t>
        </is>
      </c>
      <c r="F3" s="90" t="inlineStr">
        <is>
          <t>وابستگی</t>
        </is>
      </c>
    </row>
    <row r="4" ht="14" customHeight="1">
      <c r="A4" s="119" t="inlineStr">
        <is>
          <t>Snapshot نامعتبر</t>
        </is>
      </c>
      <c r="B4" s="119" t="inlineStr">
        <is>
          <t>valid==false یا NULL</t>
        </is>
      </c>
      <c r="C4" s="119" t="inlineStr">
        <is>
          <t>state حفظ، PB11 حفظ، تایمر reset</t>
        </is>
      </c>
      <c r="D4" s="120" t="inlineStr">
        <is>
          <t>changeover.c:valid check</t>
        </is>
      </c>
      <c r="E4" s="119" t="inlineStr">
        <is>
          <t>زمان نامعتبر شمرده نشود</t>
        </is>
      </c>
      <c r="F4" s="120" t="inlineStr">
        <is>
          <t>CO-001,002,017</t>
        </is>
      </c>
    </row>
    <row r="5" ht="14" customHeight="1">
      <c r="A5" s="119" t="inlineStr">
        <is>
          <t>Fault</t>
        </is>
      </c>
      <c r="B5" s="119" t="inlineStr">
        <is>
          <t>fault_mask !=0</t>
        </is>
      </c>
      <c r="C5" s="119" t="inlineStr">
        <is>
          <t>state=FAULT، هیچ pin تغییر نکند</t>
        </is>
      </c>
      <c r="D5" s="119" t="inlineStr">
        <is>
          <t>FAULT_NONE</t>
        </is>
      </c>
      <c r="E5" s="119" t="inlineStr">
        <is>
          <t>بالاترین اولویت پس از valid</t>
        </is>
      </c>
      <c r="F5" s="120" t="inlineStr">
        <is>
          <t>CO-004,005,018</t>
        </is>
      </c>
    </row>
    <row r="6" ht="14" customHeight="1">
      <c r="A6" s="119" t="inlineStr">
        <is>
          <t>قطع با آلارم</t>
        </is>
      </c>
      <c r="B6" s="119" t="inlineStr">
        <is>
          <t>v&lt;21000 و فلگ true</t>
        </is>
      </c>
      <c r="C6" s="119" t="inlineStr">
        <is>
          <t>پس از 3000ms PB11 Low (قطع) → SAFE</t>
        </is>
      </c>
      <c r="D6" s="119" t="inlineStr">
        <is>
          <t>CHANGEOVER_BAT_LOW_ALARM_CUT_MV=21000</t>
        </is>
      </c>
      <c r="E6" s="119" t="inlineStr">
        <is>
          <t>پیوسته</t>
        </is>
      </c>
      <c r="F6" s="120" t="inlineStr">
        <is>
          <t>CO-008,010,012</t>
        </is>
      </c>
    </row>
    <row r="7" ht="14" customHeight="1">
      <c r="A7" s="119" t="inlineStr">
        <is>
          <t>قطع مستقل</t>
        </is>
      </c>
      <c r="B7" s="119" t="inlineStr">
        <is>
          <t>v&lt;20800 (بدون فلگ)</t>
        </is>
      </c>
      <c r="C7" s="119" t="inlineStr">
        <is>
          <t>پس از 3000ms PB11 Low</t>
        </is>
      </c>
      <c r="D7" s="119" t="inlineStr">
        <is>
          <t>CHANGEOVER_BAT_CRITICAL_CUT_MV=20800</t>
        </is>
      </c>
      <c r="E7" s="119" t="inlineStr">
        <is>
          <t>مستقل</t>
        </is>
      </c>
      <c r="F7" s="120" t="inlineStr">
        <is>
          <t>CO-009,011</t>
        </is>
      </c>
    </row>
    <row r="8" ht="14" customHeight="1">
      <c r="A8" s="119" t="inlineStr">
        <is>
          <t>فیلتر زمان</t>
        </is>
      </c>
      <c r="B8" s="119" t="inlineStr">
        <is>
          <t>هر شرط &lt;3000ms</t>
        </is>
      </c>
      <c r="C8" s="119" t="inlineStr">
        <is>
          <t>عدم قطع/وصل</t>
        </is>
      </c>
      <c r="D8" s="119" t="inlineStr">
        <is>
          <t>CHANGEOVER_DURATION_MS=3000</t>
        </is>
      </c>
      <c r="E8" s="119" t="inlineStr">
        <is>
          <t>از rtos_time</t>
        </is>
      </c>
      <c r="F8" s="120" t="inlineStr">
        <is>
          <t>CO-012,015</t>
        </is>
      </c>
    </row>
    <row r="9" ht="14" customHeight="1">
      <c r="A9" s="119" t="inlineStr">
        <is>
          <t>وصل مجدد</t>
        </is>
      </c>
      <c r="B9" s="119" t="inlineStr">
        <is>
          <t>input==true و v≥21200</t>
        </is>
      </c>
      <c r="C9" s="119" t="inlineStr">
        <is>
          <t>پس از 3000ms PB11 High → INPUT</t>
        </is>
      </c>
      <c r="D9" s="119" t="inlineStr">
        <is>
          <t>CHANGEOVER_BAT_RECONNECT_MV=21200</t>
        </is>
      </c>
      <c r="E9" s="119" t="inlineStr">
        <is>
          <t>هر دو پیوسته</t>
        </is>
      </c>
      <c r="F9" s="120" t="inlineStr">
        <is>
          <t>CO-013,014,016</t>
        </is>
      </c>
    </row>
    <row r="10" ht="14" customHeight="1">
      <c r="A10" s="119" t="inlineStr">
        <is>
          <t>پس از reconnect</t>
        </is>
      </c>
      <c r="B10" s="119" t="inlineStr">
        <is>
          <t>state=INPUT</t>
        </is>
      </c>
      <c r="C10" s="119" t="inlineStr">
        <is>
          <t>نه IDLE</t>
        </is>
      </c>
      <c r="D10" s="120" t="inlineStr">
        <is>
          <t>app_types.h</t>
        </is>
      </c>
      <c r="E10" s="119" t="inlineStr">
        <is>
          <t>IDLE ممنوع برای valid</t>
        </is>
      </c>
      <c r="F10" s="120" t="inlineStr">
        <is>
          <t>CO-016</t>
        </is>
      </c>
    </row>
    <row r="11" ht="14" customHeight="1">
      <c r="A11" s="119" t="inlineStr">
        <is>
          <t>PB11 حفظ</t>
        </is>
      </c>
      <c r="B11" s="119" t="inlineStr">
        <is>
          <t>invalid/fault</t>
        </is>
      </c>
      <c r="C11" s="119" t="inlineStr">
        <is>
          <t>بدون تغییر</t>
        </is>
      </c>
      <c r="D11" s="119" t="inlineStr">
        <is>
          <t>—</t>
        </is>
      </c>
      <c r="E11" s="119" t="inlineStr">
        <is>
          <t>snapshot-first</t>
        </is>
      </c>
      <c r="F11" s="120" t="inlineStr">
        <is>
          <t>CO-017,018</t>
        </is>
      </c>
    </row>
    <row r="12" ht="14" customHeight="1">
      <c r="A12" s="119" t="inlineStr">
        <is>
          <t>PB5/PB7</t>
        </is>
      </c>
      <c r="B12" s="119" t="inlineStr">
        <is>
          <t>هیچ‌گاه</t>
        </is>
      </c>
      <c r="C12" s="119" t="inlineStr">
        <is>
          <t>بدون تغییر</t>
        </is>
      </c>
      <c r="D12" s="120" t="inlineStr">
        <is>
          <t>bsp_gpio.h:Forbidden</t>
        </is>
      </c>
      <c r="E12" s="119" t="inlineStr">
        <is>
          <t>فقط PROTECT_BATTERY</t>
        </is>
      </c>
      <c r="F12" s="120" t="inlineStr">
        <is>
          <t>CO-019,020</t>
        </is>
      </c>
    </row>
    <row r="13" ht="14" customHeight="1">
      <c r="A13" s="119" t="inlineStr">
        <is>
          <t>زمان</t>
        </is>
      </c>
      <c r="B13" s="119" t="inlineStr">
        <is>
          <t>ticks→ms via rtos_time</t>
        </is>
      </c>
      <c r="C13" s="119" t="inlineStr">
        <is>
          <t>بدون فرض 1ms</t>
        </is>
      </c>
      <c r="D13" s="119" t="inlineStr">
        <is>
          <t>func__Rtos_MillisecondsToTicks</t>
        </is>
      </c>
      <c r="E13" s="119" t="inlineStr">
        <is>
          <t>قابل‌حمل</t>
        </is>
      </c>
      <c r="F13" s="120" t="inlineStr">
        <is>
          <t>CO-021</t>
        </is>
      </c>
    </row>
    <row r="14" ht="14" customHeight="1">
      <c r="A14" s="119" t="inlineStr">
        <is>
          <t>duration0</t>
        </is>
      </c>
      <c r="B14" s="119" t="inlineStr">
        <is>
          <t>Ticks==0</t>
        </is>
      </c>
      <c r="C14" s="119" t="inlineStr">
        <is>
          <t>بدون تصمیم، حفظ state/PB11</t>
        </is>
      </c>
      <c r="D14" s="120" t="inlineStr">
        <is>
          <t>changeover.c guard</t>
        </is>
      </c>
      <c r="E14" s="119" t="inlineStr">
        <is>
          <t>frequency 0</t>
        </is>
      </c>
      <c r="F14" s="120" t="inlineStr">
        <is>
          <t>CO-022</t>
        </is>
      </c>
    </row>
    <row r="15" ht="14" customHeight="1">
      <c r="A15" s="119" t="inlineStr">
        <is>
          <t>منبع داده</t>
        </is>
      </c>
      <c r="B15" s="119" t="inlineStr">
        <is>
          <t>فقط 5 ورودی مجاز</t>
        </is>
      </c>
      <c r="C15" s="119" t="inlineStr">
        <is>
          <t>عدم استفاده از v_in/v_bat12 و ...</t>
        </is>
      </c>
      <c r="D15" s="120" t="inlineStr">
        <is>
          <t>app_types.h</t>
        </is>
      </c>
      <c r="E15" s="119" t="inlineStr">
        <is>
          <t>محدودیت</t>
        </is>
      </c>
      <c r="F15" s="120" t="inlineStr">
        <is>
          <t>CO-020</t>
        </is>
      </c>
    </row>
  </sheetData>
  <mergeCells count="2">
    <mergeCell ref="A2:F2"/>
    <mergeCell ref="A1:F1"/>
  </mergeCells>
  <hyperlinks>
    <hyperlink xmlns:r="http://schemas.openxmlformats.org/officeDocument/2006/relationships" ref="D4" r:id="rId1"/>
    <hyperlink ref="F4" location="'تست‌های آزمایشگاهی'!A5"/>
    <hyperlink ref="F5" location="'تست‌های آزمایشگاهی'!A8"/>
    <hyperlink ref="F6" location="'تست‌های آزمایشگاهی'!A12"/>
    <hyperlink ref="F7" location="'تست‌های آزمایشگاهی'!A13"/>
    <hyperlink ref="F8" location="'تست‌های آزمایشگاهی'!A16"/>
    <hyperlink ref="F9" location="'تست‌های آزمایشگاهی'!A17"/>
    <hyperlink xmlns:r="http://schemas.openxmlformats.org/officeDocument/2006/relationships" ref="D10" r:id="rId2"/>
    <hyperlink ref="F10" location="'تست‌های آزمایشگاهی'!A20"/>
    <hyperlink ref="F11" location="'تست‌های آزمایشگاهی'!A21"/>
    <hyperlink xmlns:r="http://schemas.openxmlformats.org/officeDocument/2006/relationships" ref="D12" r:id="rId3"/>
    <hyperlink ref="F12" location="'تست‌های آزمایشگاهی'!A23"/>
    <hyperlink ref="F13" location="'تست‌های برنامه‌نویسی'!A6"/>
    <hyperlink xmlns:r="http://schemas.openxmlformats.org/officeDocument/2006/relationships" ref="D14" r:id="rId4"/>
    <hyperlink ref="F14" location="'تست‌های برنامه‌نویسی'!A7"/>
    <hyperlink xmlns:r="http://schemas.openxmlformats.org/officeDocument/2006/relationships" ref="D15" r:id="rId5"/>
    <hyperlink ref="F15" location="'تست‌های برنامه‌نویسی'!A5"/>
  </hyperlinks>
  <printOptions horizontalCentered="1"/>
  <pageMargins left="0.75" right="0.75" top="1" bottom="1" header="0.5" footer="0.5"/>
  <pageSetup orientation="landscape" paperSize="8" fitToHeight="0" fitToWidth="1"/>
</worksheet>
</file>

<file path=xl/worksheets/sheet6.xml><?xml version="1.0" encoding="utf-8"?>
<worksheet xmlns="http://schemas.openxmlformats.org/spreadsheetml/2006/main">
  <sheetPr>
    <tabColor rgb="00C00000"/>
    <outlinePr summaryBelow="1" summaryRight="1"/>
    <pageSetUpPr fitToPage="1"/>
  </sheetPr>
  <dimension ref="A1:M13"/>
  <sheetViews>
    <sheetView rightToLeft="1" workbookViewId="0">
      <pane ySplit="1" topLeftCell="A2" activePane="bottomLeft" state="frozen"/>
      <selection pane="bottomLeft" activeCell="A1" sqref="A1"/>
    </sheetView>
  </sheetViews>
  <sheetFormatPr baseColWidth="8" defaultRowHeight="15"/>
  <cols>
    <col width="12" customWidth="1" min="1" max="1"/>
    <col width="12" customWidth="1" min="2" max="2"/>
    <col width="11" customWidth="1" min="3" max="3"/>
    <col width="9" customWidth="1" min="4" max="4"/>
    <col width="20" customWidth="1" min="5" max="5"/>
    <col width="20" customWidth="1" min="6" max="6"/>
    <col width="14" customWidth="1" min="7" max="7"/>
    <col width="14" customWidth="1" min="8" max="8"/>
    <col width="18" customWidth="1" min="9" max="9"/>
    <col width="12" customWidth="1" min="10" max="10"/>
    <col width="14" customWidth="1" min="11" max="11"/>
    <col width="11" customWidth="1" min="12" max="12"/>
    <col width="18" customWidth="1" min="13" max="13"/>
  </cols>
  <sheetData>
    <row r="1" ht="20" customHeight="1">
      <c r="A1" s="121" t="inlineStr">
        <is>
          <t>ثبت ایرادهای مشاهده‌شده روی برد</t>
        </is>
      </c>
    </row>
    <row r="2" ht="30" customHeight="1">
      <c r="A2" s="84" t="inlineStr">
        <is>
          <t>برای هر وضعیت «رد» یا تفاوت مهم، یک ردیف با شناسه یکتا ثبت کن؛ پس از رفع، تست مربوطه را تکرار و در «برنامه تست» وضعیت را به‌روز کن.</t>
        </is>
      </c>
      <c r="B2" s="8" t="n"/>
      <c r="C2" s="8" t="n"/>
      <c r="D2" s="8" t="n"/>
      <c r="E2" s="8" t="n"/>
      <c r="F2" s="8" t="n"/>
      <c r="G2" s="8" t="n"/>
      <c r="H2" s="8" t="n"/>
      <c r="I2" s="8" t="n"/>
      <c r="J2" s="8" t="n"/>
      <c r="K2" s="8" t="n"/>
      <c r="L2" s="8" t="n"/>
      <c r="M2" s="9" t="n"/>
    </row>
    <row r="3" ht="22" customHeight="1">
      <c r="A3" s="90" t="inlineStr">
        <is>
          <t>شماره ایراد</t>
        </is>
      </c>
      <c r="B3" s="90" t="inlineStr">
        <is>
          <t>شناسه تست</t>
        </is>
      </c>
      <c r="C3" s="90" t="inlineStr">
        <is>
          <t>تاریخ کشف</t>
        </is>
      </c>
      <c r="D3" s="90" t="inlineStr">
        <is>
          <t>شدت</t>
        </is>
      </c>
      <c r="E3" s="90" t="inlineStr">
        <is>
          <t>شرح کوتاه ایراد</t>
        </is>
      </c>
      <c r="F3" s="90" t="inlineStr">
        <is>
          <t>مراحل بازتولید</t>
        </is>
      </c>
      <c r="G3" s="90" t="inlineStr">
        <is>
          <t>انتظار</t>
        </is>
      </c>
      <c r="H3" s="90" t="inlineStr">
        <is>
          <t>واقعیت</t>
        </is>
      </c>
      <c r="I3" s="90" t="inlineStr">
        <is>
          <t>مدرک / مسیر عکس یا scope</t>
        </is>
      </c>
      <c r="J3" s="90" t="inlineStr">
        <is>
          <t>commit firmware</t>
        </is>
      </c>
      <c r="K3" s="90" t="inlineStr">
        <is>
          <t>محل احتمالی</t>
        </is>
      </c>
      <c r="L3" s="90" t="inlineStr">
        <is>
          <t>وضعیت ایراد</t>
        </is>
      </c>
      <c r="M3" s="90" t="inlineStr">
        <is>
          <t>تأیید رفع / توضیحات</t>
        </is>
      </c>
    </row>
    <row r="4" ht="14" customHeight="1">
      <c r="A4" s="122" t="inlineStr"/>
      <c r="B4" s="122" t="inlineStr"/>
      <c r="C4" s="122" t="inlineStr"/>
      <c r="D4" s="122" t="inlineStr"/>
      <c r="E4" s="122" t="inlineStr"/>
      <c r="F4" s="122" t="inlineStr"/>
      <c r="G4" s="122" t="inlineStr"/>
      <c r="H4" s="122" t="inlineStr"/>
      <c r="I4" s="122" t="inlineStr"/>
      <c r="J4" s="122" t="inlineStr"/>
      <c r="K4" s="122" t="inlineStr"/>
      <c r="L4" s="122" t="inlineStr"/>
      <c r="M4" s="122" t="inlineStr"/>
    </row>
    <row r="5" ht="14" customHeight="1">
      <c r="A5" s="123" t="inlineStr"/>
      <c r="B5" s="123" t="inlineStr"/>
      <c r="C5" s="123" t="inlineStr"/>
      <c r="D5" s="123" t="inlineStr"/>
      <c r="E5" s="123" t="inlineStr"/>
      <c r="F5" s="123" t="inlineStr"/>
      <c r="G5" s="123" t="inlineStr"/>
      <c r="H5" s="123" t="inlineStr"/>
      <c r="I5" s="123" t="inlineStr"/>
      <c r="J5" s="123" t="inlineStr"/>
      <c r="K5" s="123" t="inlineStr"/>
      <c r="L5" s="123" t="inlineStr"/>
      <c r="M5" s="123" t="inlineStr"/>
    </row>
    <row r="6" ht="14" customHeight="1">
      <c r="A6" s="122" t="inlineStr"/>
      <c r="B6" s="122" t="inlineStr"/>
      <c r="C6" s="122" t="inlineStr"/>
      <c r="D6" s="122" t="inlineStr"/>
      <c r="E6" s="122" t="inlineStr"/>
      <c r="F6" s="122" t="inlineStr"/>
      <c r="G6" s="122" t="inlineStr"/>
      <c r="H6" s="122" t="inlineStr"/>
      <c r="I6" s="122" t="inlineStr"/>
      <c r="J6" s="122" t="inlineStr"/>
      <c r="K6" s="122" t="inlineStr"/>
      <c r="L6" s="122" t="inlineStr"/>
      <c r="M6" s="122" t="inlineStr"/>
    </row>
    <row r="7" ht="14" customHeight="1">
      <c r="A7" s="123" t="inlineStr"/>
      <c r="B7" s="123" t="inlineStr"/>
      <c r="C7" s="123" t="inlineStr"/>
      <c r="D7" s="123" t="inlineStr"/>
      <c r="E7" s="123" t="inlineStr"/>
      <c r="F7" s="123" t="inlineStr"/>
      <c r="G7" s="123" t="inlineStr"/>
      <c r="H7" s="123" t="inlineStr"/>
      <c r="I7" s="123" t="inlineStr"/>
      <c r="J7" s="123" t="inlineStr"/>
      <c r="K7" s="123" t="inlineStr"/>
      <c r="L7" s="123" t="inlineStr"/>
      <c r="M7" s="123" t="inlineStr"/>
    </row>
    <row r="8" ht="14" customHeight="1">
      <c r="A8" s="122" t="inlineStr"/>
      <c r="B8" s="122" t="inlineStr"/>
      <c r="C8" s="122" t="inlineStr"/>
      <c r="D8" s="122" t="inlineStr"/>
      <c r="E8" s="122" t="inlineStr"/>
      <c r="F8" s="122" t="inlineStr"/>
      <c r="G8" s="122" t="inlineStr"/>
      <c r="H8" s="122" t="inlineStr"/>
      <c r="I8" s="122" t="inlineStr"/>
      <c r="J8" s="122" t="inlineStr"/>
      <c r="K8" s="122" t="inlineStr"/>
      <c r="L8" s="122" t="inlineStr"/>
      <c r="M8" s="122" t="inlineStr"/>
    </row>
    <row r="9" ht="14" customHeight="1">
      <c r="A9" s="123" t="inlineStr"/>
      <c r="B9" s="123" t="inlineStr"/>
      <c r="C9" s="123" t="inlineStr"/>
      <c r="D9" s="123" t="inlineStr"/>
      <c r="E9" s="123" t="inlineStr"/>
      <c r="F9" s="123" t="inlineStr"/>
      <c r="G9" s="123" t="inlineStr"/>
      <c r="H9" s="123" t="inlineStr"/>
      <c r="I9" s="123" t="inlineStr"/>
      <c r="J9" s="123" t="inlineStr"/>
      <c r="K9" s="123" t="inlineStr"/>
      <c r="L9" s="123" t="inlineStr"/>
      <c r="M9" s="123" t="inlineStr"/>
    </row>
    <row r="10" ht="14" customHeight="1">
      <c r="A10" s="122" t="inlineStr"/>
      <c r="B10" s="122" t="inlineStr"/>
      <c r="C10" s="122" t="inlineStr"/>
      <c r="D10" s="122" t="inlineStr"/>
      <c r="E10" s="122" t="inlineStr"/>
      <c r="F10" s="122" t="inlineStr"/>
      <c r="G10" s="122" t="inlineStr"/>
      <c r="H10" s="122" t="inlineStr"/>
      <c r="I10" s="122" t="inlineStr"/>
      <c r="J10" s="122" t="inlineStr"/>
      <c r="K10" s="122" t="inlineStr"/>
      <c r="L10" s="122" t="inlineStr"/>
      <c r="M10" s="122" t="inlineStr"/>
    </row>
    <row r="11" ht="14" customHeight="1">
      <c r="A11" s="123" t="inlineStr"/>
      <c r="B11" s="123" t="inlineStr"/>
      <c r="C11" s="123" t="inlineStr"/>
      <c r="D11" s="123" t="inlineStr"/>
      <c r="E11" s="123" t="inlineStr"/>
      <c r="F11" s="123" t="inlineStr"/>
      <c r="G11" s="123" t="inlineStr"/>
      <c r="H11" s="123" t="inlineStr"/>
      <c r="I11" s="123" t="inlineStr"/>
      <c r="J11" s="123" t="inlineStr"/>
      <c r="K11" s="123" t="inlineStr"/>
      <c r="L11" s="123" t="inlineStr"/>
      <c r="M11" s="123" t="inlineStr"/>
    </row>
    <row r="12" ht="14" customHeight="1">
      <c r="A12" s="122" t="inlineStr"/>
      <c r="B12" s="122" t="inlineStr"/>
      <c r="C12" s="122" t="inlineStr"/>
      <c r="D12" s="122" t="inlineStr"/>
      <c r="E12" s="122" t="inlineStr"/>
      <c r="F12" s="122" t="inlineStr"/>
      <c r="G12" s="122" t="inlineStr"/>
      <c r="H12" s="122" t="inlineStr"/>
      <c r="I12" s="122" t="inlineStr"/>
      <c r="J12" s="122" t="inlineStr"/>
      <c r="K12" s="122" t="inlineStr"/>
      <c r="L12" s="122" t="inlineStr"/>
      <c r="M12" s="122" t="inlineStr"/>
    </row>
    <row r="13" ht="14" customHeight="1">
      <c r="A13" s="123" t="inlineStr"/>
      <c r="B13" s="123" t="inlineStr"/>
      <c r="C13" s="123" t="inlineStr"/>
      <c r="D13" s="123" t="inlineStr"/>
      <c r="E13" s="123" t="inlineStr"/>
      <c r="F13" s="123" t="inlineStr"/>
      <c r="G13" s="123" t="inlineStr"/>
      <c r="H13" s="123" t="inlineStr"/>
      <c r="I13" s="123" t="inlineStr"/>
      <c r="J13" s="123" t="inlineStr"/>
      <c r="K13" s="123" t="inlineStr"/>
      <c r="L13" s="123" t="inlineStr"/>
      <c r="M13" s="123" t="inlineStr"/>
    </row>
  </sheetData>
  <mergeCells count="2">
    <mergeCell ref="A2:M2"/>
    <mergeCell ref="A1:M1"/>
  </mergeCells>
  <printOptions horizontalCentered="1"/>
  <pageMargins left="0.75" right="0.75" top="1" bottom="1" header="0.5" footer="0.5"/>
  <pageSetup orientation="landscape" paperSize="8" fitToHeight="0" fitToWidth="1"/>
</worksheet>
</file>

<file path=xl/worksheets/sheet7.xml><?xml version="1.0" encoding="utf-8"?>
<worksheet xmlns="http://schemas.openxmlformats.org/spreadsheetml/2006/main">
  <sheetPr>
    <tabColor rgb="00548235"/>
    <outlinePr summaryBelow="1" summaryRight="1"/>
    <pageSetUpPr fitToPage="1"/>
  </sheetPr>
  <dimension ref="A1:F28"/>
  <sheetViews>
    <sheetView rightToLeft="1" workbookViewId="0">
      <pane ySplit="3" topLeftCell="A4" activePane="bottomLeft" state="frozen"/>
      <selection pane="bottomLeft" activeCell="A1" sqref="A1"/>
    </sheetView>
  </sheetViews>
  <sheetFormatPr baseColWidth="8" defaultRowHeight="15"/>
  <cols>
    <col width="18" customWidth="1" min="1" max="1"/>
    <col width="18" customWidth="1" min="2" max="2"/>
    <col width="14" customWidth="1" min="3" max="3"/>
    <col width="12" customWidth="1" min="4" max="4"/>
    <col width="14" customWidth="1" min="5" max="5"/>
    <col width="14" customWidth="1" min="6" max="6"/>
  </cols>
  <sheetData>
    <row r="1" ht="22" customHeight="1">
      <c r="A1" s="124" t="inlineStr">
        <is>
          <t>تأیید نهایی اعتبارسنجی روی برد — Changeover — PB11</t>
        </is>
      </c>
    </row>
    <row r="2" ht="18" customHeight="1">
      <c r="A2" s="125" t="inlineStr">
        <is>
          <t>این صفحه فقط پس از تکمیل تست‌ها و بستن ایرادهای باز امضا شود. بدون تکمیل این صفحه، اعتبارسنجی ناقص است.</t>
        </is>
      </c>
    </row>
    <row r="3">
      <c r="A3" s="89" t="inlineStr">
        <is>
          <t>مشخصات تست</t>
        </is>
      </c>
    </row>
    <row r="4" ht="14" customHeight="1">
      <c r="A4" s="126" t="inlineStr">
        <is>
          <t>پروژه</t>
        </is>
      </c>
      <c r="B4" s="92" t="inlineStr">
        <is>
          <t>ChangeOver</t>
        </is>
      </c>
      <c r="C4" s="126" t="inlineStr">
        <is>
          <t>ماژول</t>
        </is>
      </c>
      <c r="D4" s="92" t="inlineStr">
        <is>
          <t>Changeover — PB11</t>
        </is>
      </c>
      <c r="E4" s="93" t="n"/>
      <c r="F4" s="9" t="n"/>
    </row>
    <row r="5" ht="14" customHeight="1">
      <c r="A5" s="126" t="inlineStr">
        <is>
          <t>تاریخ ساخت فرم</t>
        </is>
      </c>
      <c r="B5" s="92" t="inlineStr">
        <is>
          <t>2026-09-16 (2.1 — فیلتر 3000ms)</t>
        </is>
      </c>
      <c r="C5" s="126" t="inlineStr">
        <is>
          <t>نسخه فرم</t>
        </is>
      </c>
      <c r="D5" s="92" t="inlineStr">
        <is>
          <t>2.1 — فیلتر 3000ms</t>
        </is>
      </c>
      <c r="E5" s="93" t="n"/>
      <c r="F5" s="9" t="n"/>
    </row>
    <row r="6" ht="14" customHeight="1">
      <c r="A6" s="126" t="inlineStr">
        <is>
          <t>commit firmware</t>
        </is>
      </c>
      <c r="B6" s="92" t="inlineStr">
        <is>
          <t>TESTER: fill flashed firmware commit</t>
        </is>
      </c>
      <c r="C6" s="126" t="inlineStr">
        <is>
          <t>شناسه برد</t>
        </is>
      </c>
      <c r="D6" s="127" t="inlineStr"/>
      <c r="E6" s="93" t="n"/>
      <c r="F6" s="9" t="n"/>
    </row>
    <row r="7" ht="14" customHeight="1">
      <c r="A7" s="126" t="inlineStr">
        <is>
          <t>تست‌کننده اصلی</t>
        </is>
      </c>
      <c r="B7" s="127" t="inlineStr"/>
      <c r="C7" s="126" t="inlineStr">
        <is>
          <t>تاریخ شروع</t>
        </is>
      </c>
      <c r="D7" s="127" t="inlineStr"/>
      <c r="E7" s="93" t="n"/>
      <c r="F7" s="9" t="n"/>
    </row>
    <row r="8" ht="14" customHeight="1">
      <c r="A8" s="126" t="inlineStr">
        <is>
          <t>تاریخ پایان</t>
        </is>
      </c>
      <c r="B8" s="127" t="inlineStr"/>
      <c r="C8" s="126" t="inlineStr">
        <is>
          <t>ابزار اندازه‌گیری</t>
        </is>
      </c>
      <c r="D8" s="92" t="inlineStr">
        <is>
          <t>منبع آزمایشگاهی + DMM + اسیلوسکوپ + تایمر RTOS</t>
        </is>
      </c>
      <c r="E8" s="93" t="n"/>
      <c r="F8" s="9" t="n"/>
    </row>
    <row r="9" ht="14" customHeight="1">
      <c r="A9" s="126" t="inlineStr">
        <is>
          <t>فرکانس تیک</t>
        </is>
      </c>
      <c r="B9" s="92" t="inlineStr">
        <is>
          <t>از osKernelGetTickFreq (قابل‌حمل)</t>
        </is>
      </c>
      <c r="C9" s="126" t="inlineStr"/>
      <c r="D9" s="127" t="inlineStr"/>
      <c r="E9" s="93" t="n"/>
      <c r="F9" s="9" t="n"/>
    </row>
    <row r="10" ht="14" customHeight="1">
      <c r="A10" s="126" t="inlineStr">
        <is>
          <t>فرکانس تیک</t>
        </is>
      </c>
      <c r="B10" s="92" t="inlineStr">
        <is>
          <t>از osKernelGetTickFreq (قابل‌حمل)</t>
        </is>
      </c>
      <c r="C10" s="126" t="inlineStr"/>
      <c r="D10" s="127" t="inlineStr"/>
      <c r="E10" s="93" t="n"/>
      <c r="F10" s="93" t="n"/>
    </row>
    <row r="11" ht="14" customHeight="1">
      <c r="A11" s="126" t="inlineStr">
        <is>
          <t>آستانه‌ها</t>
        </is>
      </c>
      <c r="B11" s="92" t="inlineStr">
        <is>
          <t>21000/20800/21200</t>
        </is>
      </c>
      <c r="C11" s="126" t="inlineStr"/>
      <c r="D11" s="127" t="inlineStr"/>
      <c r="E11" s="93" t="n"/>
      <c r="F11" s="93" t="n"/>
    </row>
    <row r="12" ht="14" customHeight="1">
      <c r="A12" s="126" t="inlineStr">
        <is>
          <t>فیلتر</t>
        </is>
      </c>
      <c r="B12" s="92" t="inlineStr">
        <is>
          <t>3000ms</t>
        </is>
      </c>
      <c r="C12" s="126" t="inlineStr"/>
      <c r="D12" s="127" t="inlineStr"/>
      <c r="E12" s="93" t="n"/>
      <c r="F12" s="93" t="n"/>
    </row>
    <row r="13" ht="14" customHeight="1">
      <c r="A13" s="126" t="inlineStr">
        <is>
          <t>مجاز pin</t>
        </is>
      </c>
      <c r="B13" s="92" t="inlineStr">
        <is>
          <t>فقط BSP_GPIO_PROTECT_BATTERY</t>
        </is>
      </c>
      <c r="C13" s="126" t="inlineStr"/>
      <c r="D13" s="127" t="inlineStr"/>
      <c r="E13" s="93" t="n"/>
      <c r="F13" s="93" t="n"/>
    </row>
    <row r="14" ht="14" customHeight="1">
      <c r="A14" s="126" t="inlineStr">
        <is>
          <t>ممنوع</t>
        </is>
      </c>
      <c r="B14" s="92" t="inlineStr">
        <is>
          <t>PB5/PB7/HAL/board_pins</t>
        </is>
      </c>
      <c r="C14" s="126" t="inlineStr"/>
      <c r="D14" s="127" t="inlineStr"/>
      <c r="E14" s="93" t="n"/>
      <c r="F14" s="93" t="n"/>
    </row>
    <row r="15">
      <c r="A15" s="89" t="inlineStr">
        <is>
          <t>خلاصه خودکار وضعیت تست‌ها (پس از تست برد پر شود)</t>
        </is>
      </c>
    </row>
    <row r="16">
      <c r="A16" s="90" t="inlineStr">
        <is>
          <t>شاخص</t>
        </is>
      </c>
      <c r="B16" s="90" t="inlineStr">
        <is>
          <t>مقدار</t>
        </is>
      </c>
      <c r="C16" s="90" t="inlineStr">
        <is>
          <t>توضیح</t>
        </is>
      </c>
      <c r="D16" s="90" t="inlineStr">
        <is>
          <t>فرمول پیشنهادی</t>
        </is>
      </c>
      <c r="E16" s="8" t="n"/>
      <c r="F16" s="9" t="n"/>
    </row>
    <row r="17" ht="13" customHeight="1">
      <c r="A17" s="92" t="inlineStr">
        <is>
          <t>تعداد کل تست‌ها</t>
        </is>
      </c>
      <c r="B17" s="128">
        <f>COUNTA('برنامه تست'!A5:A200)</f>
        <v/>
      </c>
      <c r="C17" s="92" t="inlineStr">
        <is>
          <t>کل ردیف‌های برنامه تست</t>
        </is>
      </c>
      <c r="D17" s="92" t="inlineStr"/>
      <c r="E17" s="8" t="n"/>
      <c r="F17" s="9" t="n"/>
    </row>
    <row r="18" ht="13" customHeight="1">
      <c r="A18" s="92" t="inlineStr">
        <is>
          <t>تعداد قبول (PASS)</t>
        </is>
      </c>
      <c r="B18" s="128">
        <f>COUNTIF('برنامه تست'!K5:K200,"قبول")</f>
        <v/>
      </c>
      <c r="C18" s="92" t="inlineStr">
        <is>
          <t>تعداد ردیف با وضعیت = قبول</t>
        </is>
      </c>
      <c r="D18" s="92" t="inlineStr">
        <is>
          <t>COUNTIF('برنامه تست'!K5:K200,"قبول")</t>
        </is>
      </c>
      <c r="E18" s="8" t="n"/>
      <c r="F18" s="9" t="n"/>
    </row>
    <row r="19" ht="13" customHeight="1">
      <c r="A19" s="92" t="inlineStr">
        <is>
          <t>تعداد رد (FAIL)</t>
        </is>
      </c>
      <c r="B19" s="128">
        <f>COUNTIF('برنامه تست'!K5:K200,"رد")</f>
        <v/>
      </c>
      <c r="C19" s="92" t="inlineStr">
        <is>
          <t>تعداد ردیف با وضعیت = رد</t>
        </is>
      </c>
      <c r="D19" s="92" t="inlineStr">
        <is>
          <t>COUNTIF('برنامه تست'!K5:K200,"رد")</t>
        </is>
      </c>
      <c r="E19" s="8" t="n"/>
      <c r="F19" s="9" t="n"/>
    </row>
    <row r="20" ht="13" customHeight="1">
      <c r="A20" s="92" t="inlineStr">
        <is>
          <t>تعداد در انتظار</t>
        </is>
      </c>
      <c r="B20" s="128">
        <f>COUNTIF('برنامه تست'!K5:K200,"در انتظار")</f>
        <v/>
      </c>
      <c r="C20" s="92" t="inlineStr">
        <is>
          <t>تعداد ردیف با وضعیت = در انتظار</t>
        </is>
      </c>
      <c r="D20" s="92" t="inlineStr">
        <is>
          <t>COUNTIF('برنامه تست'!K5:K200,"در انتظار")</t>
        </is>
      </c>
      <c r="E20" s="8" t="n"/>
      <c r="F20" s="9" t="n"/>
    </row>
    <row r="21" ht="13" customHeight="1">
      <c r="A21" s="92" t="inlineStr">
        <is>
          <t>تعداد مسدود</t>
        </is>
      </c>
      <c r="B21" s="128">
        <f>COUNTIF('برنامه تست'!K5:K200,"مسدود")</f>
        <v/>
      </c>
      <c r="C21" s="92" t="inlineStr">
        <is>
          <t>تعداد ردیف با وضعیت = مسدود</t>
        </is>
      </c>
      <c r="D21" s="92" t="inlineStr"/>
      <c r="E21" s="8" t="n"/>
      <c r="F21" s="9" t="n"/>
    </row>
    <row r="22" ht="13" customHeight="1">
      <c r="A22" s="92" t="inlineStr">
        <is>
          <t>نرخ قبولی</t>
        </is>
      </c>
      <c r="B22" s="128">
        <f>IF(B17=0,"",TEXT(B18/B17,"0%"))</f>
        <v/>
      </c>
      <c r="C22" s="92" t="inlineStr">
        <is>
          <t>PASS / TOTAL</t>
        </is>
      </c>
      <c r="D22" s="92" t="inlineStr"/>
      <c r="E22" s="8" t="n"/>
      <c r="F22" s="9" t="n"/>
    </row>
    <row r="23">
      <c r="A23" s="89" t="inlineStr">
        <is>
          <t>امضاها</t>
        </is>
      </c>
    </row>
    <row r="24" ht="18" customHeight="1">
      <c r="A24" s="90" t="inlineStr">
        <is>
          <t>نقش</t>
        </is>
      </c>
      <c r="B24" s="90" t="inlineStr">
        <is>
          <t>نام و نام خانوادگی</t>
        </is>
      </c>
      <c r="C24" s="90" t="inlineStr">
        <is>
          <t>تاریخ</t>
        </is>
      </c>
      <c r="D24" s="90" t="inlineStr">
        <is>
          <t>امضا</t>
        </is>
      </c>
      <c r="E24" s="90" t="inlineStr">
        <is>
          <t>توضیحات</t>
        </is>
      </c>
      <c r="F24" s="9" t="n"/>
    </row>
    <row r="25" ht="22" customHeight="1">
      <c r="A25" s="92" t="inlineStr">
        <is>
          <t>تست‌کننده</t>
        </is>
      </c>
      <c r="B25" s="92" t="inlineStr"/>
      <c r="C25" s="92" t="inlineStr"/>
      <c r="D25" s="92" t="inlineStr"/>
      <c r="E25" s="92" t="inlineStr"/>
      <c r="F25" s="9" t="n"/>
    </row>
    <row r="26" ht="22" customHeight="1">
      <c r="A26" s="92" t="inlineStr">
        <is>
          <t>بازبین فنی</t>
        </is>
      </c>
      <c r="B26" s="92" t="inlineStr"/>
      <c r="C26" s="92" t="inlineStr"/>
      <c r="D26" s="92" t="inlineStr"/>
      <c r="E26" s="92" t="inlineStr"/>
      <c r="F26" s="9" t="n"/>
    </row>
    <row r="27" ht="22" customHeight="1">
      <c r="A27" s="92" t="inlineStr">
        <is>
          <t>تأیید نهایی</t>
        </is>
      </c>
      <c r="B27" s="92" t="inlineStr"/>
      <c r="C27" s="92" t="inlineStr"/>
      <c r="D27" s="92" t="inlineStr"/>
      <c r="E27" s="92" t="inlineStr"/>
      <c r="F27" s="9" t="n"/>
    </row>
    <row r="28">
      <c r="A28" s="125" t="inlineStr">
        <is>
          <t>یادداشت: بدون ثبت commit، شناسه برد، نام تست‌کننده، تاریخ و ابزار اندازه‌گیری، این فرم ناقص است. برای هر ردیف «رد»، یک ردیف در «ثبت ایراد» الزامی است.</t>
        </is>
      </c>
    </row>
  </sheetData>
  <mergeCells count="23">
    <mergeCell ref="E24:F24"/>
    <mergeCell ref="E5:F5"/>
    <mergeCell ref="D17:F17"/>
    <mergeCell ref="A3:F3"/>
    <mergeCell ref="D16:F16"/>
    <mergeCell ref="E8:F8"/>
    <mergeCell ref="A2:F2"/>
    <mergeCell ref="E4:F4"/>
    <mergeCell ref="A23:F23"/>
    <mergeCell ref="D18:F18"/>
    <mergeCell ref="E9:F9"/>
    <mergeCell ref="E6:F6"/>
    <mergeCell ref="A28:F28"/>
    <mergeCell ref="E27:F27"/>
    <mergeCell ref="E26:F26"/>
    <mergeCell ref="D20:F20"/>
    <mergeCell ref="A15:F15"/>
    <mergeCell ref="D19:F19"/>
    <mergeCell ref="E7:F7"/>
    <mergeCell ref="E25:F25"/>
    <mergeCell ref="A1:F1"/>
    <mergeCell ref="D22:F22"/>
    <mergeCell ref="D21:F21"/>
  </mergeCells>
  <printOptions horizontalCentered="1"/>
  <pageMargins left="0.75" right="0.75" top="1" bottom="1" header="0.5" footer="0.5"/>
  <pageSetup orientation="landscape" paperSize="8" fitToHeight="0" fitToWidth="1"/>
</worksheet>
</file>

<file path=xl/worksheets/sheet8.xml><?xml version="1.0" encoding="utf-8"?>
<worksheet xmlns="http://schemas.openxmlformats.org/spreadsheetml/2006/main">
  <sheetPr>
    <tabColor rgb="00808080"/>
    <outlinePr summaryBelow="1" summaryRight="1"/>
    <pageSetUpPr/>
  </sheetPr>
  <dimension ref="A1:A30"/>
  <sheetViews>
    <sheetView rightToLeft="1" workbookViewId="0">
      <selection activeCell="A1" sqref="A1"/>
    </sheetView>
  </sheetViews>
  <sheetFormatPr baseColWidth="8" defaultRowHeight="15"/>
  <cols>
    <col width="18" customWidth="1" min="1" max="1"/>
  </cols>
  <sheetData>
    <row r="1" ht="14" customHeight="1">
      <c r="A1" s="89" t="inlineStr">
        <is>
          <t>وضعیت</t>
        </is>
      </c>
    </row>
    <row r="2">
      <c r="A2" s="129" t="inlineStr">
        <is>
          <t>در انتظار</t>
        </is>
      </c>
    </row>
    <row r="3">
      <c r="A3" s="129" t="inlineStr">
        <is>
          <t>انجام شد</t>
        </is>
      </c>
    </row>
    <row r="4">
      <c r="A4" s="129" t="inlineStr">
        <is>
          <t>قبول</t>
        </is>
      </c>
    </row>
    <row r="5">
      <c r="A5" s="129" t="inlineStr">
        <is>
          <t>رد</t>
        </is>
      </c>
    </row>
    <row r="6">
      <c r="A6" s="129" t="inlineStr">
        <is>
          <t>مسدود</t>
        </is>
      </c>
    </row>
    <row r="7">
      <c r="A7" s="82" t="inlineStr">
        <is>
          <t>نیاز به تکرار</t>
        </is>
      </c>
    </row>
    <row r="8" ht="14" customHeight="1">
      <c r="A8" s="89" t="inlineStr">
        <is>
          <t>اولویت</t>
        </is>
      </c>
    </row>
    <row r="9">
      <c r="A9" s="129" t="inlineStr">
        <is>
          <t>بالا</t>
        </is>
      </c>
    </row>
    <row r="10">
      <c r="A10" s="129" t="inlineStr">
        <is>
          <t>متوسط</t>
        </is>
      </c>
    </row>
    <row r="11">
      <c r="A11" s="129" t="inlineStr">
        <is>
          <t>پایین</t>
        </is>
      </c>
    </row>
    <row r="12">
      <c r="A12" s="129" t="inlineStr">
        <is>
          <t>بحرانی</t>
        </is>
      </c>
    </row>
    <row r="13">
      <c r="A13" s="82" t="n"/>
    </row>
    <row r="14" ht="14" customHeight="1">
      <c r="A14" s="89" t="inlineStr">
        <is>
          <t>دسته</t>
        </is>
      </c>
    </row>
    <row r="15">
      <c r="A15" s="129" t="inlineStr">
        <is>
          <t>BoardTest</t>
        </is>
      </c>
    </row>
    <row r="16">
      <c r="A16" s="129" t="inlineStr">
        <is>
          <t>InputOk</t>
        </is>
      </c>
    </row>
    <row r="17">
      <c r="A17" s="129" t="inlineStr">
        <is>
          <t>Charging</t>
        </is>
      </c>
    </row>
    <row r="18">
      <c r="A18" s="129" t="inlineStr">
        <is>
          <t>BatteryRun</t>
        </is>
      </c>
    </row>
    <row r="19">
      <c r="A19" s="129" t="inlineStr">
        <is>
          <t>هیسترزیس</t>
        </is>
      </c>
    </row>
    <row r="20">
      <c r="A20" s="129" t="inlineStr">
        <is>
          <t>InputOverVoltage</t>
        </is>
      </c>
    </row>
    <row r="21">
      <c r="A21" s="129" t="inlineStr">
        <is>
          <t>Snapshot</t>
        </is>
      </c>
    </row>
    <row r="22">
      <c r="A22" s="129" t="inlineStr">
        <is>
          <t>Buzzer</t>
        </is>
      </c>
    </row>
    <row r="23">
      <c r="A23" s="129" t="inlineStr">
        <is>
          <t>Measurement</t>
        </is>
      </c>
    </row>
    <row r="24">
      <c r="A24" s="129" t="inlineStr">
        <is>
          <t>Changeover</t>
        </is>
      </c>
    </row>
    <row r="25">
      <c r="A25" s="82" t="n"/>
    </row>
    <row r="26" ht="14" customHeight="1">
      <c r="A26" s="89" t="inlineStr">
        <is>
          <t>نتیجه ایراد</t>
        </is>
      </c>
    </row>
    <row r="27">
      <c r="A27" s="129" t="inlineStr">
        <is>
          <t>باز</t>
        </is>
      </c>
    </row>
    <row r="28">
      <c r="A28" s="129" t="inlineStr">
        <is>
          <t>در حال بررسی</t>
        </is>
      </c>
    </row>
    <row r="29">
      <c r="A29" s="129" t="inlineStr">
        <is>
          <t>رفع شد</t>
        </is>
      </c>
    </row>
    <row r="30">
      <c r="A30" s="129" t="inlineStr">
        <is>
          <t>بسته</t>
        </is>
      </c>
    </row>
  </sheetData>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31" t="inlineStr">
        <is>
          <t>ماشین حالت ماژول تغییر مسیر (Changeover)</t>
        </is>
      </c>
    </row>
    <row r="2">
      <c r="A2" s="82" t="n"/>
      <c r="B2" s="82" t="n"/>
      <c r="C2" s="82" t="n"/>
    </row>
    <row r="3" ht="24" customHeight="1">
      <c r="A3" s="32" t="inlineStr">
        <is>
          <t>حالت‌ها و گذارهای همین ماژول</t>
        </is>
      </c>
      <c r="B3" s="33" t="inlineStr">
        <is>
          <t>Changeover_State_Machine.xlsx</t>
        </is>
      </c>
      <c r="C3" s="82" t="n"/>
    </row>
    <row r="4" ht="24" customHeight="1">
      <c r="A4" s="32" t="inlineStr">
        <is>
          <t>ماشین حالت کل برنامه (نمای سیستمی)</t>
        </is>
      </c>
      <c r="B4" s="33" t="inlineStr">
        <is>
          <t>../../../Documentation/System_State_Machine.xlsx</t>
        </is>
      </c>
      <c r="C4" s="82" t="n"/>
    </row>
    <row r="5" ht="24" customHeight="1">
      <c r="A5" s="32" t="inlineStr">
        <is>
          <t>راهنمای رنگ‌ها</t>
        </is>
      </c>
      <c r="B5" s="34" t="inlineStr">
        <is>
          <t>سبز = عادی/سالم · زرد = هشدار یا انتظار · قرمز = خطا یا قفل · نارنجی = در حال کار · خاکستری = بی‌کار · آبی = اطلاعاتی</t>
        </is>
      </c>
      <c r="C5" s="82" t="n"/>
    </row>
    <row r="6" ht="24" customHeight="1">
      <c r="A6" s="32" t="inlineStr">
        <is>
          <t>بازتولید</t>
        </is>
      </c>
      <c r="B6" s="33" t="inlineStr">
        <is>
          <t>python3 tools/make_module_state_machines.py</t>
        </is>
      </c>
      <c r="C6" s="82" t="n"/>
    </row>
  </sheetData>
  <mergeCells count="1">
    <mergeCell ref="A1:C1"/>
  </mergeCells>
  <hyperlinks>
    <hyperlink xmlns:r="http://schemas.openxmlformats.org/officeDocument/2006/relationships" ref="B3" r:id="rId1"/>
    <hyperlink xmlns:r="http://schemas.openxmlformats.org/officeDocument/2006/relationships" ref="B4" r:id="rId2"/>
    <hyperlink xmlns:r="http://schemas.openxmlformats.org/officeDocument/2006/relationships" ref="B6" r:id="rId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2026-09-16T16:35:39Z</dcterms:created>
  <dcterms:modified xsi:type="dcterms:W3CDTF">2026-10-17T12:14:14Z</dcterms:modified>
</cp:coreProperties>
</file>