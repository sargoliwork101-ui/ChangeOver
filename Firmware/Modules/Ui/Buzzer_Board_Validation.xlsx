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برنامه تست" sheetId="2" state="visible" r:id="rId2"/>
    <sheet name="مراجع سناریو" sheetId="3" state="visible" r:id="rId3"/>
    <sheet name="ثبت ایراد" sheetId="4" state="visible" r:id="rId4"/>
    <sheet name="تأیید نهایی" sheetId="5" state="visible" r:id="rId5"/>
    <sheet name="فهرست‌ها" sheetId="6" state="hidden" r:id="rId6"/>
  </sheets>
  <definedNames>
    <definedName name="_xlnm._FilterDatabase" localSheetId="1" hidden="1">'برنامه تست'!$A$4:$P$26</definedName>
    <definedName name="_xlnm.Print_Titles" localSheetId="1">'برنامه تست'!$1:$4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203764"/>
      <sz val="13"/>
    </font>
    <font>
      <name val="Calibri"/>
      <i val="1"/>
      <color rgb="00404040"/>
      <sz val="9"/>
    </font>
    <font>
      <name val="Calibri"/>
      <b val="1"/>
      <color rgb="00FFFFFF"/>
      <sz val="10"/>
    </font>
    <font>
      <name val="Calibri"/>
      <sz val="8"/>
    </font>
    <font>
      <name val="Calibri"/>
      <b val="1"/>
      <color rgb="00FFFFFF"/>
      <sz val="9"/>
    </font>
    <font>
      <name val="Calibri"/>
      <b val="1"/>
      <color rgb="00203764"/>
      <sz val="12"/>
    </font>
    <font>
      <name val="Calibri"/>
      <i val="1"/>
      <color rgb="00404040"/>
      <sz val="8"/>
    </font>
    <font>
      <name val="Calibri"/>
      <color rgb="00C00000"/>
      <sz val="7"/>
    </font>
    <font>
      <name val="Calibri"/>
      <sz val="7"/>
    </font>
    <font>
      <name val="Calibri"/>
      <color rgb="00808080"/>
      <sz val="7"/>
    </font>
    <font>
      <name val="Calibri"/>
      <b val="1"/>
      <color rgb="00203764"/>
      <sz val="11"/>
    </font>
    <font>
      <name val="Calibri"/>
      <i val="1"/>
      <sz val="7"/>
    </font>
    <font>
      <name val="Calibri"/>
      <i val="1"/>
      <color rgb="00C00000"/>
      <sz val="7"/>
    </font>
    <font>
      <name val="Calibri"/>
      <b val="1"/>
      <sz val="8"/>
    </font>
    <font>
      <b val="1"/>
      <color rgb="00FFFFFF"/>
    </font>
    <font>
      <sz val="8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F8FAFF"/>
        <bgColor rgb="00F8FAFF"/>
      </patternFill>
    </fill>
    <fill>
      <patternFill patternType="solid">
        <fgColor rgb="00E9EDF4"/>
        <bgColor rgb="00E9EDF4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 readingOrder="2"/>
    </xf>
    <xf numFmtId="0" fontId="3" fillId="3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 readingOrder="2"/>
    </xf>
    <xf numFmtId="0" fontId="10" fillId="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 readingOrder="2"/>
    </xf>
    <xf numFmtId="0" fontId="10" fillId="6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1" t="inlineStr">
        <is>
          <t>برگه تست و اعتبارسنجی عملی ماژول Buzzer — سرویس دوره‌ای مستقل</t>
        </is>
      </c>
    </row>
    <row r="2" ht="40" customHeight="1">
      <c r="A2" s="2" t="inlineStr">
        <is>
          <t>ChangeOver | Buzzer PA4 (BSP_GPIO_BUZZER) | period/duty/count/gap | نسخه 1.0 — غیرمسدودکننده با rtos_time</t>
        </is>
      </c>
    </row>
    <row r="3" ht="18" customHeight="1">
      <c r="A3" s="3" t="inlineStr">
        <is>
          <t>هدف فایل</t>
        </is>
      </c>
    </row>
    <row r="4" ht="13" customHeight="1">
      <c r="A4" s="4" t="inlineStr">
        <is>
          <t>این فایل مستقل فقط Buzzer را از طریق func__Ui_Buzzer_Tick(period,duty,count,gap) اعتبارسنجی می‌کند؛ هر تست زمان روشن، خاموش، تعداد بوق و tail را دقیق اندازه می‌گیرد.</t>
        </is>
      </c>
    </row>
    <row r="5" ht="13" customHeight="1">
      <c r="A5" s="4" t="inlineStr">
        <is>
          <t>هیچ ردیفی بدون «روش اجرا» و «نتیجه مورد انتظار» نیست؛ هر نتیجه PASS/FAIL با مقدار ms و تعداد قابل اندازه‌گیری تعریف شده است.</t>
        </is>
      </c>
    </row>
    <row r="6" ht="13" customHeight="1">
      <c r="A6" s="4" t="inlineStr">
        <is>
          <t>قبل از تست برد، «نتیجه واقعی» خالی و «وضعیت» = در انتظار بماند؛ ادعای PASS برای تست انجام‌نشده ممنوع است.</t>
        </is>
      </c>
    </row>
    <row r="7" ht="18" customHeight="1">
      <c r="A7" s="3" t="inlineStr">
        <is>
          <t>دامنه</t>
        </is>
      </c>
    </row>
    <row r="8" ht="13" customHeight="1">
      <c r="A8" s="4" t="inlineStr">
        <is>
          <t>سرویس Buzzer تک‌سرویس دوره‌ای است: dutyWindow=period*duty/100، totalGap=gap*(count-1)، availableOn=dutyWindow-totalGap، beepOn=availableOn/count، tail=period-dutyWindow، nextCheck=10% کوچک‌ترین segment (min 1ms).</t>
        </is>
      </c>
    </row>
    <row r="9" ht="13" customHeight="1">
      <c r="A9" s="4" t="inlineStr">
        <is>
          <t>محدودیت‌های کد: period==0/duty==0/count==0 → خاموش امن (0)؛ period&lt;1000 یا duty&gt;100 یا gap&lt;100 برای count&gt;1 یا عدم زمان مثبت برای هر بوق → نامعتبر (-1) و Buzzer Low.</t>
        </is>
      </c>
    </row>
    <row r="10" ht="13" customHeight="1">
      <c r="A10" s="4" t="inlineStr">
        <is>
          <t>زمان با func__Rtos_TicksToMilliseconds و osKernelGetTickCount محاسبه می‌شود؛ HAL_Delay ممنوع و non-blocking است.</t>
        </is>
      </c>
    </row>
    <row r="11" ht="13" customHeight="1">
      <c r="A11" s="4" t="inlineStr">
        <is>
          <t>زمان‌های واقعی از کد: UI_BUZZER_MIN_PERIOD_MS=1000، UI_BUZZER_MIN_GAP_MS=100، UI_BUZZER_CHECK_PERCENT=10، tail و gap از اسکوپ خوانده شود.</t>
        </is>
      </c>
    </row>
    <row r="12" ht="18" customHeight="1">
      <c r="A12" s="3" t="inlineStr">
        <is>
          <t>روش اجرای تست</t>
        </is>
      </c>
    </row>
    <row r="13" ht="13" customHeight="1">
      <c r="A13" s="4" t="inlineStr">
        <is>
          <t>۱) برد را با منبع محدود تغذیه کن، PA4 را به اسیلوسکوپ (یا لاجیک‌آنالایزر با تایمر RTOS) وصل کن؛ ground مشترک.</t>
        </is>
      </c>
    </row>
    <row r="14" ht="13" customHeight="1">
      <c r="A14" s="4" t="inlineStr">
        <is>
          <t>۲) firmware با commit c6b084f را پروگرام کن، در «تأیید نهایی» commit/برد/ابزار را ثبت کن.</t>
        </is>
      </c>
    </row>
    <row r="15" ht="13" customHeight="1">
      <c r="A15" s="4" t="inlineStr">
        <is>
          <t>۳) هر تست را با فراخوانی func__Ui_Buzzer_Tick با پارامترهای داده شده هر ≤nextCheck ms صدا بزن؛ Buzzer را با اسکوپ در طول کل period اندازه بگیر.</t>
        </is>
      </c>
    </row>
    <row r="16" ht="13" customHeight="1">
      <c r="A16" s="4" t="inlineStr">
        <is>
          <t>۴) برای تست‌های نامعتبر، انتظار Buzzer Low و return -1؛ برای صفر، انتظار Low و return 0.</t>
        </is>
      </c>
    </row>
    <row r="17" ht="13" customHeight="1">
      <c r="A17" s="4" t="inlineStr">
        <is>
          <t>۵) برای تست عدم قفل، حین بوق، Measurement را چک کن که هر 10ms snapshot به‌روز شود.</t>
        </is>
      </c>
    </row>
    <row r="18" ht="13" customHeight="1">
      <c r="A18" s="4" t="inlineStr">
        <is>
          <t>۶) نتیجه را با اسکرین‌شات اسکوپ/CSV در «مدرک تست» ضمیمه کن.</t>
        </is>
      </c>
    </row>
    <row r="19">
      <c r="A19" s="5" t="inlineStr">
        <is>
          <t>تاریخچه نسخه</t>
        </is>
      </c>
    </row>
    <row r="20">
      <c r="A20" s="6" t="inlineStr">
        <is>
          <t>تاریخ</t>
        </is>
      </c>
      <c r="B20" s="6" t="inlineStr">
        <is>
          <t>نسخه</t>
        </is>
      </c>
      <c r="C20" s="6" t="inlineStr">
        <is>
          <t>شرح تغییر</t>
        </is>
      </c>
      <c r="D20" s="6" t="inlineStr">
        <is>
          <t>commit</t>
        </is>
      </c>
      <c r="E20" s="7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9" t="n"/>
    </row>
    <row r="21" ht="14" customHeight="1">
      <c r="A21" s="10" t="inlineStr">
        <is>
          <t>2026-09-16</t>
        </is>
      </c>
      <c r="B21" s="10" t="inlineStr">
        <is>
          <t>1.0</t>
        </is>
      </c>
      <c r="C21" s="10" t="inlineStr">
        <is>
          <t>ایجاد مستقل Buzzer_Board_Validation با ۲۲ تست، زمان‌های دقیق On/Off/Tail و PASS/FAIL</t>
        </is>
      </c>
      <c r="D21" s="10" t="inlineStr">
        <is>
          <t>c6b084f28f2c507cfd342e5dbd0dbd8e45686772</t>
        </is>
      </c>
      <c r="E21" s="11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9" t="n"/>
    </row>
  </sheetData>
  <mergeCells count="21">
    <mergeCell ref="E20:P20"/>
    <mergeCell ref="A5:P5"/>
    <mergeCell ref="A14:P14"/>
    <mergeCell ref="A17:P17"/>
    <mergeCell ref="A8:P8"/>
    <mergeCell ref="A4:P4"/>
    <mergeCell ref="A19:P19"/>
    <mergeCell ref="A10:P10"/>
    <mergeCell ref="A13:P13"/>
    <mergeCell ref="A9:P9"/>
    <mergeCell ref="A15:P15"/>
    <mergeCell ref="A11:P11"/>
    <mergeCell ref="A1:P1"/>
    <mergeCell ref="A6:P6"/>
    <mergeCell ref="A16:P16"/>
    <mergeCell ref="A7:P7"/>
    <mergeCell ref="E21:P21"/>
    <mergeCell ref="A18:P18"/>
    <mergeCell ref="A12:P12"/>
    <mergeCell ref="A3:P3"/>
    <mergeCell ref="A2:P2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8" customWidth="1" min="3" max="3"/>
    <col width="13" customWidth="1" min="4" max="4"/>
    <col width="28" customWidth="1" min="5" max="5"/>
    <col width="18" customWidth="1" min="6" max="6"/>
    <col width="10" customWidth="1" min="7" max="7"/>
    <col width="28" customWidth="1" min="8" max="8"/>
    <col width="22" customWidth="1" min="9" max="9"/>
    <col width="14" customWidth="1" min="10" max="10"/>
    <col width="9" customWidth="1" min="11" max="11"/>
    <col width="14" customWidth="1" min="12" max="12"/>
    <col width="12" customWidth="1" min="13" max="13"/>
    <col width="9" customWidth="1" min="14" max="14"/>
    <col width="12" customWidth="1" min="15" max="15"/>
    <col width="10" customWidth="1" min="16" max="16"/>
  </cols>
  <sheetData>
    <row r="1" ht="22" customHeight="1">
      <c r="A1" s="12" t="inlineStr">
        <is>
          <t>برنامه تست عملی — ماژول Buzzer</t>
        </is>
      </c>
    </row>
    <row r="2" ht="30" customHeight="1">
      <c r="A2" s="13" t="inlineStr">
        <is>
          <t>هر ردیف را با اسیلوسکوپ/تایمر RTOS اندازه بگیر؛ زمان روشن/خاموش، تعداد بوق و tail باید دقیقاً مطابق ستون «نتیجه مورد انتظار» باشد.</t>
        </is>
      </c>
    </row>
    <row r="3" ht="32" customHeight="1">
      <c r="A3" s="14" t="inlineStr">
        <is>
          <t>برای هر تست، محاسبه On/Off/Tail از کد واقعی ui_buzzer.c است؛ حدس نزن. ستون PASS/FAIL توضیح می‌دهد چه چیزی قبول و چه چیزی رد است.</t>
        </is>
      </c>
    </row>
    <row r="4" ht="28" customHeight="1">
      <c r="A4" s="6" t="inlineStr">
        <is>
          <t>شناسه تست</t>
        </is>
      </c>
      <c r="B4" s="6" t="inlineStr">
        <is>
          <t>دسته</t>
        </is>
      </c>
      <c r="C4" s="6" t="inlineStr">
        <is>
          <t>اولویت</t>
        </is>
      </c>
      <c r="D4" s="6" t="inlineStr">
        <is>
          <t>پیش‌شرط</t>
        </is>
      </c>
      <c r="E4" s="6" t="inlineStr">
        <is>
          <t>روش اجرای دقیق</t>
        </is>
      </c>
      <c r="F4" s="6" t="inlineStr">
        <is>
          <t>ورودی‌ها</t>
        </is>
      </c>
      <c r="G4" s="6" t="inlineStr">
        <is>
          <t>مدت مشاهده</t>
        </is>
      </c>
      <c r="H4" s="6" t="inlineStr">
        <is>
          <t>نتیجه مورد انتظار</t>
        </is>
      </c>
      <c r="I4" s="6" t="inlineStr">
        <is>
          <t>معیار قبولی</t>
        </is>
      </c>
      <c r="J4" s="6" t="inlineStr">
        <is>
          <t>نتیجه واقعی</t>
        </is>
      </c>
      <c r="K4" s="6" t="inlineStr">
        <is>
          <t>وضعیت</t>
        </is>
      </c>
      <c r="L4" s="6" t="inlineStr">
        <is>
          <t>شرح ایراد</t>
        </is>
      </c>
      <c r="M4" s="6" t="inlineStr">
        <is>
          <t>مدرک تست</t>
        </is>
      </c>
      <c r="N4" s="6" t="inlineStr">
        <is>
          <t>commit</t>
        </is>
      </c>
      <c r="O4" s="6" t="inlineStr">
        <is>
          <t>نام تست‌کننده</t>
        </is>
      </c>
      <c r="P4" s="6" t="inlineStr">
        <is>
          <t>تاریخ</t>
        </is>
      </c>
    </row>
    <row r="5" ht="38" customHeight="1">
      <c r="A5" s="15" t="inlineStr">
        <is>
          <t>BZ-001</t>
        </is>
      </c>
      <c r="B5" s="15" t="inlineStr">
        <is>
          <t>بوق معتبر / 1 بوق</t>
        </is>
      </c>
      <c r="C5" s="15" t="inlineStr">
        <is>
          <t>بالا</t>
        </is>
      </c>
      <c r="D5" s="15" t="inlineStr">
        <is>
          <t>Buzzer خاموش</t>
        </is>
      </c>
      <c r="E5" s="15" t="inlineStr">
        <is>
          <t>period=10000 duty=10 count=1 gap=0 را هر 5ms صدا بزن، 15s ضبط</t>
        </is>
      </c>
      <c r="F5" s="15" t="inlineStr">
        <is>
          <t>period=10000, duty=10% (~1000 window), count=1, gap=0</t>
        </is>
      </c>
      <c r="G5" s="15" t="inlineStr">
        <is>
          <t>15s (1.5 period)</t>
        </is>
      </c>
      <c r="H5" s="15" t="inlineStr">
        <is>
          <t>هر period: On=1000ms High سپس 9000ms Low (tail). dutyWindow=1000, tail=9000, smallest=1000 → nextCheck=100ms. PASS: On 1000±10% و tail 9000±10% هر دوره. FAIL: On متفاوت یا drift.</t>
        </is>
      </c>
      <c r="I5" s="15" t="inlineStr">
        <is>
          <t>PASS: On 1000ms و tail 9000ms در هر دوره. FAIL: هر انحراف &gt;10% یا jitter &gt;50ms.</t>
        </is>
      </c>
      <c r="J5" s="16" t="inlineStr"/>
      <c r="K5" s="17" t="inlineStr">
        <is>
          <t>در انتظار</t>
        </is>
      </c>
      <c r="L5" s="18" t="inlineStr"/>
      <c r="M5" s="18" t="inlineStr"/>
      <c r="N5" s="18" t="inlineStr">
        <is>
          <t>c6b084f28f2c507cfd342e5dbd0dbd8e45686772</t>
        </is>
      </c>
      <c r="O5" s="18" t="inlineStr"/>
      <c r="P5" s="18" t="inlineStr"/>
    </row>
    <row r="6" ht="38" customHeight="1">
      <c r="A6" s="19" t="inlineStr">
        <is>
          <t>BZ-002</t>
        </is>
      </c>
      <c r="B6" s="19" t="inlineStr">
        <is>
          <t>دوره مرزی / 1000ms</t>
        </is>
      </c>
      <c r="C6" s="19" t="inlineStr">
        <is>
          <t>بالا</t>
        </is>
      </c>
      <c r="D6" s="19" t="inlineStr">
        <is>
          <t>Buzzer خاموش</t>
        </is>
      </c>
      <c r="E6" s="19" t="inlineStr">
        <is>
          <t>period=1000 duty=50 count=1 gap=0 را 3s ضبط</t>
        </is>
      </c>
      <c r="F6" s="19" t="inlineStr">
        <is>
          <t>period=1000, duty=50, count=1</t>
        </is>
      </c>
      <c r="G6" s="19" t="inlineStr">
        <is>
          <t>3s</t>
        </is>
      </c>
      <c r="H6" s="19" t="inlineStr">
        <is>
          <t>On=500 Off=500 (tail 500). PASS: دقیق. FAIL: نامعتبر شناخته شود.</t>
        </is>
      </c>
      <c r="I6" s="19" t="inlineStr">
        <is>
          <t>PASS: On 500ms. FAIL: return -1.</t>
        </is>
      </c>
      <c r="J6" s="16" t="inlineStr"/>
      <c r="K6" s="17" t="inlineStr">
        <is>
          <t>در انتظار</t>
        </is>
      </c>
      <c r="L6" s="20" t="inlineStr"/>
      <c r="M6" s="20" t="inlineStr"/>
      <c r="N6" s="20" t="inlineStr">
        <is>
          <t>c6b084f28f2c507cfd342e5dbd0dbd8e45686772</t>
        </is>
      </c>
      <c r="O6" s="20" t="inlineStr"/>
      <c r="P6" s="20" t="inlineStr"/>
    </row>
    <row r="7" ht="38" customHeight="1">
      <c r="A7" s="15" t="inlineStr">
        <is>
          <t>BZ-003</t>
        </is>
      </c>
      <c r="B7" s="15" t="inlineStr">
        <is>
          <t>duty صفر</t>
        </is>
      </c>
      <c r="C7" s="15" t="inlineStr">
        <is>
          <t>بالا</t>
        </is>
      </c>
      <c r="D7" s="15" t="inlineStr">
        <is>
          <t>Buzzer خاموش</t>
        </is>
      </c>
      <c r="E7" s="15" t="inlineStr">
        <is>
          <t>period=10000 duty=0 count=1 gap=100</t>
        </is>
      </c>
      <c r="F7" s="15" t="inlineStr">
        <is>
          <t>period=10000, duty=0</t>
        </is>
      </c>
      <c r="G7" s="15" t="inlineStr">
        <is>
          <t>2s</t>
        </is>
      </c>
      <c r="H7" s="15" t="inlineStr">
        <is>
          <t>Buzzer Low ثابت، return 0 (خاموش امن). PASS: Low. FAIL: هر High.</t>
        </is>
      </c>
      <c r="I7" s="15" t="inlineStr">
        <is>
          <t>PASS: خاموش امن و 0. FAIL: High یا -1.</t>
        </is>
      </c>
      <c r="J7" s="16" t="inlineStr"/>
      <c r="K7" s="17" t="inlineStr">
        <is>
          <t>در انتظار</t>
        </is>
      </c>
      <c r="L7" s="18" t="inlineStr"/>
      <c r="M7" s="18" t="inlineStr"/>
      <c r="N7" s="18" t="inlineStr">
        <is>
          <t>c6b084f28f2c507cfd342e5dbd0dbd8e45686772</t>
        </is>
      </c>
      <c r="O7" s="18" t="inlineStr"/>
      <c r="P7" s="18" t="inlineStr"/>
    </row>
    <row r="8" ht="38" customHeight="1">
      <c r="A8" s="19" t="inlineStr">
        <is>
          <t>BZ-004</t>
        </is>
      </c>
      <c r="B8" s="19" t="inlineStr">
        <is>
          <t>count صفر</t>
        </is>
      </c>
      <c r="C8" s="19" t="inlineStr">
        <is>
          <t>بالا</t>
        </is>
      </c>
      <c r="D8" s="19" t="inlineStr">
        <is>
          <t>Buzzer خاموش</t>
        </is>
      </c>
      <c r="E8" s="19" t="inlineStr">
        <is>
          <t>period=10000 duty=50 count=0 gap=100</t>
        </is>
      </c>
      <c r="F8" s="19" t="inlineStr">
        <is>
          <t>period=10000 count=0</t>
        </is>
      </c>
      <c r="G8" s="19" t="inlineStr">
        <is>
          <t>2s</t>
        </is>
      </c>
      <c r="H8" s="19" t="inlineStr">
        <is>
          <t>Buzzer Low، return 0. PASS: Low. FAIL: High.</t>
        </is>
      </c>
      <c r="I8" s="19" t="inlineStr">
        <is>
          <t>PASS: Low و 0. FAIL: -1 یا High.</t>
        </is>
      </c>
      <c r="J8" s="16" t="inlineStr"/>
      <c r="K8" s="17" t="inlineStr">
        <is>
          <t>در انتظار</t>
        </is>
      </c>
      <c r="L8" s="20" t="inlineStr"/>
      <c r="M8" s="20" t="inlineStr"/>
      <c r="N8" s="20" t="inlineStr">
        <is>
          <t>c6b084f28f2c507cfd342e5dbd0dbd8e45686772</t>
        </is>
      </c>
      <c r="O8" s="20" t="inlineStr"/>
      <c r="P8" s="20" t="inlineStr"/>
    </row>
    <row r="9" ht="38" customHeight="1">
      <c r="A9" s="15" t="inlineStr">
        <is>
          <t>BZ-005</t>
        </is>
      </c>
      <c r="B9" s="15" t="inlineStr">
        <is>
          <t>period صفر</t>
        </is>
      </c>
      <c r="C9" s="15" t="inlineStr">
        <is>
          <t>بالا</t>
        </is>
      </c>
      <c r="D9" s="15" t="inlineStr">
        <is>
          <t>Buzzer خاموش</t>
        </is>
      </c>
      <c r="E9" s="15" t="inlineStr">
        <is>
          <t>period=0 duty=50 count=1 gap=0</t>
        </is>
      </c>
      <c r="F9" s="15" t="inlineStr">
        <is>
          <t>period=0</t>
        </is>
      </c>
      <c r="G9" s="15" t="inlineStr">
        <is>
          <t>2s</t>
        </is>
      </c>
      <c r="H9" s="15" t="inlineStr">
        <is>
          <t>Buzzer Low، return 0. PASS: Low. FAIL: High.</t>
        </is>
      </c>
      <c r="I9" s="15" t="inlineStr">
        <is>
          <t>PASS: Low و 0. FAIL: otherwise.</t>
        </is>
      </c>
      <c r="J9" s="16" t="inlineStr"/>
      <c r="K9" s="17" t="inlineStr">
        <is>
          <t>در انتظار</t>
        </is>
      </c>
      <c r="L9" s="18" t="inlineStr"/>
      <c r="M9" s="18" t="inlineStr"/>
      <c r="N9" s="18" t="inlineStr">
        <is>
          <t>c6b084f28f2c507cfd342e5dbd0dbd8e45686772</t>
        </is>
      </c>
      <c r="O9" s="18" t="inlineStr"/>
      <c r="P9" s="18" t="inlineStr"/>
    </row>
    <row r="10" ht="38" customHeight="1">
      <c r="A10" s="19" t="inlineStr">
        <is>
          <t>BZ-006</t>
        </is>
      </c>
      <c r="B10" s="19" t="inlineStr">
        <is>
          <t>پارامتر نامعتبر / period کوچک</t>
        </is>
      </c>
      <c r="C10" s="19" t="inlineStr">
        <is>
          <t>بالا</t>
        </is>
      </c>
      <c r="D10" s="19" t="inlineStr">
        <is>
          <t>Buzzer خاموش</t>
        </is>
      </c>
      <c r="E10" s="19" t="inlineStr">
        <is>
          <t>period=500 (&lt;1000) duty=50 count=1</t>
        </is>
      </c>
      <c r="F10" s="19" t="inlineStr">
        <is>
          <t>period=500 (&lt;1000)</t>
        </is>
      </c>
      <c r="G10" s="19" t="inlineStr">
        <is>
          <t>2s</t>
        </is>
      </c>
      <c r="H10" s="19" t="inlineStr">
        <is>
          <t>Buzzer Low، return -1 (نامعتبر). PASS: Low و -1. FAIL: High یا 0.</t>
        </is>
      </c>
      <c r="I10" s="19" t="inlineStr">
        <is>
          <t>PASS: -1 و Low. FAIL: 0.</t>
        </is>
      </c>
      <c r="J10" s="16" t="inlineStr"/>
      <c r="K10" s="17" t="inlineStr">
        <is>
          <t>در انتظار</t>
        </is>
      </c>
      <c r="L10" s="20" t="inlineStr"/>
      <c r="M10" s="20" t="inlineStr"/>
      <c r="N10" s="20" t="inlineStr">
        <is>
          <t>c6b084f28f2c507cfd342e5dbd0dbd8e45686772</t>
        </is>
      </c>
      <c r="O10" s="20" t="inlineStr"/>
      <c r="P10" s="20" t="inlineStr"/>
    </row>
    <row r="11" ht="38" customHeight="1">
      <c r="A11" s="15" t="inlineStr">
        <is>
          <t>BZ-007</t>
        </is>
      </c>
      <c r="B11" s="15" t="inlineStr">
        <is>
          <t>نامعتبر / duty بزرگ</t>
        </is>
      </c>
      <c r="C11" s="15" t="inlineStr">
        <is>
          <t>بالا</t>
        </is>
      </c>
      <c r="D11" s="15" t="inlineStr">
        <is>
          <t>Buzzer خاموش</t>
        </is>
      </c>
      <c r="E11" s="15" t="inlineStr">
        <is>
          <t>period=10000 duty=110 (&gt;100) count=1</t>
        </is>
      </c>
      <c r="F11" s="15" t="inlineStr">
        <is>
          <t>duty=110</t>
        </is>
      </c>
      <c r="G11" s="15" t="inlineStr">
        <is>
          <t>2s</t>
        </is>
      </c>
      <c r="H11" s="15" t="inlineStr">
        <is>
          <t>Buzzer Low، return -1. PASS. FAIL: 0.</t>
        </is>
      </c>
      <c r="I11" s="15" t="inlineStr">
        <is>
          <t>PASS: -1 و Low.</t>
        </is>
      </c>
      <c r="J11" s="16" t="inlineStr"/>
      <c r="K11" s="17" t="inlineStr">
        <is>
          <t>در انتظار</t>
        </is>
      </c>
      <c r="L11" s="18" t="inlineStr"/>
      <c r="M11" s="18" t="inlineStr"/>
      <c r="N11" s="18" t="inlineStr">
        <is>
          <t>c6b084f28f2c507cfd342e5dbd0dbd8e45686772</t>
        </is>
      </c>
      <c r="O11" s="18" t="inlineStr"/>
      <c r="P11" s="18" t="inlineStr"/>
    </row>
    <row r="12" ht="38" customHeight="1">
      <c r="A12" s="19" t="inlineStr">
        <is>
          <t>BZ-008</t>
        </is>
      </c>
      <c r="B12" s="19" t="inlineStr">
        <is>
          <t>نامعتبر / gap کوچک</t>
        </is>
      </c>
      <c r="C12" s="19" t="inlineStr">
        <is>
          <t>بالا</t>
        </is>
      </c>
      <c r="D12" s="19" t="inlineStr">
        <is>
          <t>Buzzer خاموش</t>
        </is>
      </c>
      <c r="E12" s="19" t="inlineStr">
        <is>
          <t>period=10000 duty=50 count=2 gap=50 (&lt;100)</t>
        </is>
      </c>
      <c r="F12" s="19" t="inlineStr">
        <is>
          <t>gap=50 (&lt;100) برای count2</t>
        </is>
      </c>
      <c r="G12" s="19" t="inlineStr">
        <is>
          <t>2s</t>
        </is>
      </c>
      <c r="H12" s="19" t="inlineStr">
        <is>
          <t>Buzzer Low، return -1. PASS. FAIL: valid شناخته شود.</t>
        </is>
      </c>
      <c r="I12" s="19" t="inlineStr">
        <is>
          <t>PASS: -1 و Low.</t>
        </is>
      </c>
      <c r="J12" s="16" t="inlineStr"/>
      <c r="K12" s="17" t="inlineStr">
        <is>
          <t>در انتظار</t>
        </is>
      </c>
      <c r="L12" s="20" t="inlineStr"/>
      <c r="M12" s="20" t="inlineStr"/>
      <c r="N12" s="20" t="inlineStr">
        <is>
          <t>c6b084f28f2c507cfd342e5dbd0dbd8e45686772</t>
        </is>
      </c>
      <c r="O12" s="20" t="inlineStr"/>
      <c r="P12" s="20" t="inlineStr"/>
    </row>
    <row r="13" ht="38" customHeight="1">
      <c r="A13" s="15" t="inlineStr">
        <is>
          <t>BZ-009</t>
        </is>
      </c>
      <c r="B13" s="15" t="inlineStr">
        <is>
          <t>نامعتبر / عدم زمان مثبت</t>
        </is>
      </c>
      <c r="C13" s="15" t="inlineStr">
        <is>
          <t>بالا</t>
        </is>
      </c>
      <c r="D13" s="15" t="inlineStr">
        <is>
          <t>Buzzer خاموش</t>
        </is>
      </c>
      <c r="E13" s="15" t="inlineStr">
        <is>
          <t>period=10000 duty=10 count=5 gap=300 → totalGap=1200 &gt; dutyWindow=1000</t>
        </is>
      </c>
      <c r="F13" s="15" t="inlineStr">
        <is>
          <t>duty=10, count=5, gap=300</t>
        </is>
      </c>
      <c r="G13" s="15" t="inlineStr">
        <is>
          <t>2s</t>
        </is>
      </c>
      <c r="H13" s="15" t="inlineStr">
        <is>
          <t>Buzzer Low، return -1 (gaps بیش از window). PASS. FAIL: High.</t>
        </is>
      </c>
      <c r="I13" s="15" t="inlineStr">
        <is>
          <t>PASS: -1 و Low.</t>
        </is>
      </c>
      <c r="J13" s="16" t="inlineStr"/>
      <c r="K13" s="17" t="inlineStr">
        <is>
          <t>در انتظار</t>
        </is>
      </c>
      <c r="L13" s="18" t="inlineStr"/>
      <c r="M13" s="18" t="inlineStr"/>
      <c r="N13" s="18" t="inlineStr">
        <is>
          <t>c6b084f28f2c507cfd342e5dbd0dbd8e45686772</t>
        </is>
      </c>
      <c r="O13" s="18" t="inlineStr"/>
      <c r="P13" s="18" t="inlineStr"/>
    </row>
    <row r="14" ht="38" customHeight="1">
      <c r="A14" s="19" t="inlineStr">
        <is>
          <t>BZ-010</t>
        </is>
      </c>
      <c r="B14" s="19" t="inlineStr">
        <is>
          <t>یک بوق</t>
        </is>
      </c>
      <c r="C14" s="19" t="inlineStr">
        <is>
          <t>بالا</t>
        </is>
      </c>
      <c r="D14" s="19" t="inlineStr">
        <is>
          <t>Buzzer خاموش</t>
        </is>
      </c>
      <c r="E14" s="19" t="inlineStr">
        <is>
          <t>period=60000 duty=2 count=1 gap=0 (standard 1 beep 60s) → dutyWindow=1200ms ON=1200ms tail=58800ms nextCheck=120ms</t>
        </is>
      </c>
      <c r="F14" s="19" t="inlineStr">
        <is>
          <t>period=60000 duty=2 count1</t>
        </is>
      </c>
      <c r="G14" s="19" t="inlineStr">
        <is>
          <t>65s</t>
        </is>
      </c>
      <c r="H14" s="19" t="inlineStr">
        <is>
          <t>dutyWindow=1200ms، ON=1200ms، tail=58800ms، nextCheck=120ms. هر 60s یک پالس 1200ms High سپس 58800ms Low. PASS: یک پالس/60s دقیق. FAIL: دو پالس یا زمان اشتباه.</t>
        </is>
      </c>
      <c r="I14" s="19" t="inlineStr">
        <is>
          <t>PASS: dutyWindow1200 ON1200 tail58800 nextCheck120. FAIL: otherwise.</t>
        </is>
      </c>
      <c r="J14" s="16" t="inlineStr"/>
      <c r="K14" s="17" t="inlineStr">
        <is>
          <t>در انتظار</t>
        </is>
      </c>
      <c r="L14" s="20" t="inlineStr"/>
      <c r="M14" s="20" t="inlineStr"/>
      <c r="N14" s="20" t="inlineStr">
        <is>
          <t>c6b084f28f2c507cfd342e5dbd0dbd8e45686772</t>
        </is>
      </c>
      <c r="O14" s="20" t="inlineStr"/>
      <c r="P14" s="20" t="inlineStr"/>
    </row>
    <row r="15" ht="38" customHeight="1">
      <c r="A15" s="15" t="inlineStr">
        <is>
          <t>BZ-011</t>
        </is>
      </c>
      <c r="B15" s="15" t="inlineStr">
        <is>
          <t>دو بوق</t>
        </is>
      </c>
      <c r="C15" s="15" t="inlineStr">
        <is>
          <t>بالا</t>
        </is>
      </c>
      <c r="D15" s="15" t="inlineStr">
        <is>
          <t>Buzzer خاموش</t>
        </is>
      </c>
      <c r="E15" s="15" t="inlineStr">
        <is>
          <t>period=60000 duty=4 count=2 gap=100 → dutyWindow=2400 totalGap=100 avail=2300 beepOn=1150 each tail=57600</t>
        </is>
      </c>
      <c r="F15" s="15" t="inlineStr">
        <is>
          <t>period=60000 duty4 count2 gap100</t>
        </is>
      </c>
      <c r="G15" s="15" t="inlineStr">
        <is>
          <t>65s</t>
        </is>
      </c>
      <c r="H15" s="15" t="inlineStr">
        <is>
          <t>دو پالس هر 1150ms با gap100 بین، tail 57600. PASS: دو بوق متوالی. FAIL: یک یا سه.</t>
        </is>
      </c>
      <c r="I15" s="15" t="inlineStr">
        <is>
          <t>PASS: 2 beeps/60s with 100ms gap. FAIL: otherwise.</t>
        </is>
      </c>
      <c r="J15" s="16" t="inlineStr"/>
      <c r="K15" s="17" t="inlineStr">
        <is>
          <t>در انتظار</t>
        </is>
      </c>
      <c r="L15" s="18" t="inlineStr"/>
      <c r="M15" s="18" t="inlineStr"/>
      <c r="N15" s="18" t="inlineStr">
        <is>
          <t>c6b084f28f2c507cfd342e5dbd0dbd8e45686772</t>
        </is>
      </c>
      <c r="O15" s="18" t="inlineStr"/>
      <c r="P15" s="18" t="inlineStr"/>
    </row>
    <row r="16" ht="38" customHeight="1">
      <c r="A16" s="19" t="inlineStr">
        <is>
          <t>BZ-012</t>
        </is>
      </c>
      <c r="B16" s="19" t="inlineStr">
        <is>
          <t>سه بوق</t>
        </is>
      </c>
      <c r="C16" s="19" t="inlineStr">
        <is>
          <t>بالا</t>
        </is>
      </c>
      <c r="D16" s="19" t="inlineStr">
        <is>
          <t>Buzzer خاموش</t>
        </is>
      </c>
      <c r="E16" s="19" t="inlineStr">
        <is>
          <t>period=20000 duty=31 count=3 gap=100 → dutyWindow=6200 totalGap=200 avail=6000 beepOn=2000 each tail=13800 (triple)</t>
        </is>
      </c>
      <c r="F16" s="19" t="inlineStr">
        <is>
          <t>period=20000 duty31 count3 gap100</t>
        </is>
      </c>
      <c r="G16" s="19" t="inlineStr">
        <is>
          <t>25s</t>
        </is>
      </c>
      <c r="H16" s="19" t="inlineStr">
        <is>
          <t>سه پالس هر 2000ms با gap100، tail 13800. PASS: سه بوق/20s. FAIL: otherwise.</t>
        </is>
      </c>
      <c r="I16" s="19" t="inlineStr">
        <is>
          <t>PASS: 3 beeps/20s. FAIL: otherwise.</t>
        </is>
      </c>
      <c r="J16" s="16" t="inlineStr"/>
      <c r="K16" s="17" t="inlineStr">
        <is>
          <t>در انتظار</t>
        </is>
      </c>
      <c r="L16" s="20" t="inlineStr"/>
      <c r="M16" s="20" t="inlineStr"/>
      <c r="N16" s="20" t="inlineStr">
        <is>
          <t>c6b084f28f2c507cfd342e5dbd0dbd8e45686772</t>
        </is>
      </c>
      <c r="O16" s="20" t="inlineStr"/>
      <c r="P16" s="20" t="inlineStr"/>
    </row>
    <row r="17" ht="38" customHeight="1">
      <c r="A17" s="15" t="inlineStr">
        <is>
          <t>BZ-013</t>
        </is>
      </c>
      <c r="B17" s="15" t="inlineStr">
        <is>
          <t>فاصله بین بوق‌ها</t>
        </is>
      </c>
      <c r="C17" s="15" t="inlineStr">
        <is>
          <t>بالا</t>
        </is>
      </c>
      <c r="D17" s="15" t="inlineStr">
        <is>
          <t>دو بوق</t>
        </is>
      </c>
      <c r="E17" s="15" t="inlineStr">
        <is>
          <t>period=10000 duty=20 count=2 gap=100 → window2000 gap100 avail1900 beep950 tail8000</t>
        </is>
      </c>
      <c r="F17" s="15" t="inlineStr">
        <is>
          <t>period10000 duty20 count2 gap100</t>
        </is>
      </c>
      <c r="G17" s="15" t="inlineStr">
        <is>
          <t>12s</t>
        </is>
      </c>
      <c r="H17" s="15" t="inlineStr">
        <is>
          <t>پالس1 950 High، 100 Low، پالس2 950 High، 8000 Low tail. PASS: gap دقیق 100ms ±10ms. FAIL: gap 50 یا 200.</t>
        </is>
      </c>
      <c r="I17" s="15" t="inlineStr">
        <is>
          <t>PASS: gap 100ms exact. FAIL: otherwise.</t>
        </is>
      </c>
      <c r="J17" s="16" t="inlineStr"/>
      <c r="K17" s="17" t="inlineStr">
        <is>
          <t>در انتظار</t>
        </is>
      </c>
      <c r="L17" s="18" t="inlineStr"/>
      <c r="M17" s="18" t="inlineStr"/>
      <c r="N17" s="18" t="inlineStr">
        <is>
          <t>c6b084f28f2c507cfd342e5dbd0dbd8e45686772</t>
        </is>
      </c>
      <c r="O17" s="18" t="inlineStr"/>
      <c r="P17" s="18" t="inlineStr"/>
    </row>
    <row r="18" ht="38" customHeight="1">
      <c r="A18" s="19" t="inlineStr">
        <is>
          <t>BZ-014</t>
        </is>
      </c>
      <c r="B18" s="19" t="inlineStr">
        <is>
          <t>tail دوره</t>
        </is>
      </c>
      <c r="C18" s="19" t="inlineStr">
        <is>
          <t>بالا</t>
        </is>
      </c>
      <c r="D18" s="19" t="inlineStr">
        <is>
          <t>1 بوق</t>
        </is>
      </c>
      <c r="E18" s="19" t="inlineStr">
        <is>
          <t>period=10000 duty=10 count1 gap0 → tail=9000 را اندازه بگیر</t>
        </is>
      </c>
      <c r="F18" s="19" t="inlineStr">
        <is>
          <t>period10000 duty10 count1</t>
        </is>
      </c>
      <c r="G18" s="19" t="inlineStr">
        <is>
          <t>15s</t>
        </is>
      </c>
      <c r="H18" s="19" t="inlineStr">
        <is>
          <t>پس از On 1000، باید 9000 Low تا period بعدی. PASS: tail 9000±10%. FAIL: tail کوتاه یا drift.</t>
        </is>
      </c>
      <c r="I18" s="19" t="inlineStr">
        <is>
          <t>PASS: tail 9000ms. FAIL: otherwise.</t>
        </is>
      </c>
      <c r="J18" s="16" t="inlineStr"/>
      <c r="K18" s="17" t="inlineStr">
        <is>
          <t>در انتظار</t>
        </is>
      </c>
      <c r="L18" s="20" t="inlineStr"/>
      <c r="M18" s="20" t="inlineStr"/>
      <c r="N18" s="20" t="inlineStr">
        <is>
          <t>c6b084f28f2c507cfd342e5dbd0dbd8e45686772</t>
        </is>
      </c>
      <c r="O18" s="20" t="inlineStr"/>
      <c r="P18" s="20" t="inlineStr"/>
    </row>
    <row r="19" ht="38" customHeight="1">
      <c r="A19" s="15" t="inlineStr">
        <is>
          <t>BZ-015</t>
        </is>
      </c>
      <c r="B19" s="15" t="inlineStr">
        <is>
          <t>توقف بوق هنگام تغییر سناریو</t>
        </is>
      </c>
      <c r="C19" s="15" t="inlineStr">
        <is>
          <t>متوسط</t>
        </is>
      </c>
      <c r="D19" s="15" t="inlineStr">
        <is>
          <t>حین بوق</t>
        </is>
      </c>
      <c r="E19" s="15" t="inlineStr">
        <is>
          <t>period=20000 duty31 count3 را 5s اجرا کن، سپس period=0 (یا سناریو InputOk) صدا بزن</t>
        </is>
      </c>
      <c r="F19" s="15" t="inlineStr">
        <is>
          <t>period20000→0</t>
        </is>
      </c>
      <c r="G19" s="15" t="inlineStr">
        <is>
          <t>7s</t>
        </is>
      </c>
      <c r="H19" s="15" t="inlineStr">
        <is>
          <t>بوق باید فوراً Low شود و دوره قطع شود (return 0). PASS: قطع فوری &lt;nextCheck. FAIL: ادامه بوق پس از تغییر.</t>
        </is>
      </c>
      <c r="I19" s="15" t="inlineStr">
        <is>
          <t>PASS: immediate Low. FAIL: continue.</t>
        </is>
      </c>
      <c r="J19" s="16" t="inlineStr"/>
      <c r="K19" s="17" t="inlineStr">
        <is>
          <t>در انتظار</t>
        </is>
      </c>
      <c r="L19" s="18" t="inlineStr"/>
      <c r="M19" s="18" t="inlineStr"/>
      <c r="N19" s="18" t="inlineStr">
        <is>
          <t>c6b084f28f2c507cfd342e5dbd0dbd8e45686772</t>
        </is>
      </c>
      <c r="O19" s="18" t="inlineStr"/>
      <c r="P19" s="18" t="inlineStr"/>
    </row>
    <row r="20" ht="38" customHeight="1">
      <c r="A20" s="19" t="inlineStr">
        <is>
          <t>BZ-016</t>
        </is>
      </c>
      <c r="B20" s="19" t="inlineStr">
        <is>
          <t>عدم تکرار ناخواسته</t>
        </is>
      </c>
      <c r="C20" s="19" t="inlineStr">
        <is>
          <t>متوسط</t>
        </is>
      </c>
      <c r="D20" s="19" t="inlineStr">
        <is>
          <t>یک دوره کامل</t>
        </is>
      </c>
      <c r="E20" s="19" t="inlineStr">
        <is>
          <t>period=10000 duty10 count1 را 3 دوره کامل (30s) ضبط کن</t>
        </is>
      </c>
      <c r="F20" s="19" t="inlineStr">
        <is>
          <t>period10000 duty10 count1</t>
        </is>
      </c>
      <c r="G20" s="19" t="inlineStr">
        <is>
          <t>30s</t>
        </is>
      </c>
      <c r="H20" s="19" t="inlineStr">
        <is>
          <t>هر دوره دقیقاً یک On 1000 سپس tail 9000 بدون بوق اضافی. PASS: period پایدار ±10ms. FAIL: drift یا بوق اضافی.</t>
        </is>
      </c>
      <c r="I20" s="19" t="inlineStr">
        <is>
          <t>PASS: 3 periods stable. FAIL: drift.</t>
        </is>
      </c>
      <c r="J20" s="16" t="inlineStr"/>
      <c r="K20" s="17" t="inlineStr">
        <is>
          <t>در انتظار</t>
        </is>
      </c>
      <c r="L20" s="20" t="inlineStr"/>
      <c r="M20" s="20" t="inlineStr"/>
      <c r="N20" s="20" t="inlineStr">
        <is>
          <t>c6b084f28f2c507cfd342e5dbd0dbd8e45686772</t>
        </is>
      </c>
      <c r="O20" s="20" t="inlineStr"/>
      <c r="P20" s="20" t="inlineStr"/>
    </row>
    <row r="21" ht="38" customHeight="1">
      <c r="A21" s="15" t="inlineStr">
        <is>
          <t>BZ-017</t>
        </is>
      </c>
      <c r="B21" s="15" t="inlineStr">
        <is>
          <t>عدم قفل‌شدن task</t>
        </is>
      </c>
      <c r="C21" s="15" t="inlineStr">
        <is>
          <t>متوسط</t>
        </is>
      </c>
      <c r="D21" s="15" t="inlineStr">
        <is>
          <t>RTOS</t>
        </is>
      </c>
      <c r="E21" s="15" t="inlineStr">
        <is>
          <t>حین period=10000 duty50 count3 gap100 بوق ممتد، Measurement را چک کن هر 10ms snapshot refresh شود</t>
        </is>
      </c>
      <c r="F21" s="15" t="inlineStr">
        <is>
          <t>period10000 duty50 count3</t>
        </is>
      </c>
      <c r="G21" s="15" t="inlineStr">
        <is>
          <t>5s</t>
        </is>
      </c>
      <c r="H21" s="15" t="inlineStr">
        <is>
          <t>Buzzer non-blocking: other tasks every 10ms update. PASS: Measurement valid هر 10ms. FAIL: قفل یا تاخیر &gt;20ms.</t>
        </is>
      </c>
      <c r="I21" s="15" t="inlineStr">
        <is>
          <t>PASS: non-blocking. FAIL: lock.</t>
        </is>
      </c>
      <c r="J21" s="16" t="inlineStr"/>
      <c r="K21" s="17" t="inlineStr">
        <is>
          <t>در انتظار</t>
        </is>
      </c>
      <c r="L21" s="18" t="inlineStr"/>
      <c r="M21" s="18" t="inlineStr"/>
      <c r="N21" s="18" t="inlineStr">
        <is>
          <t>c6b084f28f2c507cfd342e5dbd0dbd8e45686772</t>
        </is>
      </c>
      <c r="O21" s="18" t="inlineStr"/>
      <c r="P21" s="18" t="inlineStr"/>
    </row>
    <row r="22" ht="38" customHeight="1">
      <c r="A22" s="19" t="inlineStr">
        <is>
          <t>BZ-018</t>
        </is>
      </c>
      <c r="B22" s="19" t="inlineStr">
        <is>
          <t>اندازه‌گیری واقعی با اسکوپ</t>
        </is>
      </c>
      <c r="C22" s="19" t="inlineStr">
        <is>
          <t>بالا</t>
        </is>
      </c>
      <c r="D22" s="19" t="inlineStr">
        <is>
          <t>هر سناریو</t>
        </is>
      </c>
      <c r="E22" s="19" t="inlineStr">
        <is>
          <t>هر تست را با اسیلوسکوپ روی PA4 با تایم‌بیس مناسب ضبط و CSV ذخیره کن</t>
        </is>
      </c>
      <c r="F22" s="19" t="inlineStr">
        <is>
          <t>period متغیر</t>
        </is>
      </c>
      <c r="G22" s="19" t="inlineStr">
        <is>
          <t>per test</t>
        </is>
      </c>
      <c r="H22" s="19" t="inlineStr">
        <is>
          <t>CSV شامل زمان rising/falling با دقت ≥1ms. PASS: تطابق با محاسبه ms. FAIL: تفاوت &gt;10%.</t>
        </is>
      </c>
      <c r="I22" s="19" t="inlineStr">
        <is>
          <t>PASS: اسکوپ مطابق محاسبه. FAIL: otherwise.</t>
        </is>
      </c>
      <c r="J22" s="16" t="inlineStr"/>
      <c r="K22" s="17" t="inlineStr">
        <is>
          <t>در انتظار</t>
        </is>
      </c>
      <c r="L22" s="20" t="inlineStr"/>
      <c r="M22" s="20" t="inlineStr"/>
      <c r="N22" s="20" t="inlineStr">
        <is>
          <t>c6b084f28f2c507cfd342e5dbd0dbd8e45686772</t>
        </is>
      </c>
      <c r="O22" s="20" t="inlineStr"/>
      <c r="P22" s="20" t="inlineStr"/>
    </row>
    <row r="23" ht="38" customHeight="1">
      <c r="A23" s="15" t="inlineStr">
        <is>
          <t>BZ-019</t>
        </is>
      </c>
      <c r="B23" s="15" t="inlineStr">
        <is>
          <t>nextCheck / زمان مراجعه</t>
        </is>
      </c>
      <c r="C23" s="15" t="inlineStr">
        <is>
          <t>متوسط</t>
        </is>
      </c>
      <c r="D23" s="15" t="inlineStr">
        <is>
          <t>1 بوق 10s</t>
        </is>
      </c>
      <c r="E23" s="15" t="inlineStr">
        <is>
          <t>period=10000 duty10 count1 → smallest=1000 → nextCheck=100ms (10% *1000) را چک کن</t>
        </is>
      </c>
      <c r="F23" s="15" t="inlineStr">
        <is>
          <t>period10000 duty10</t>
        </is>
      </c>
      <c r="G23" s="15" t="inlineStr">
        <is>
          <t>—</t>
        </is>
      </c>
      <c r="H23" s="15" t="inlineStr">
        <is>
          <t>return value باید 100ms باشد (milis). PASS: return 100. FAIL: 1 یا 1000.</t>
        </is>
      </c>
      <c r="I23" s="15" t="inlineStr">
        <is>
          <t>PASS: nextCheck 100ms. FAIL: otherwise.</t>
        </is>
      </c>
      <c r="J23" s="16" t="inlineStr"/>
      <c r="K23" s="17" t="inlineStr">
        <is>
          <t>در انتظار</t>
        </is>
      </c>
      <c r="L23" s="18" t="inlineStr"/>
      <c r="M23" s="18" t="inlineStr"/>
      <c r="N23" s="18" t="inlineStr">
        <is>
          <t>c6b084f28f2c507cfd342e5dbd0dbd8e45686772</t>
        </is>
      </c>
      <c r="O23" s="18" t="inlineStr"/>
      <c r="P23" s="18" t="inlineStr"/>
    </row>
    <row r="24" ht="38" customHeight="1">
      <c r="A24" s="19" t="inlineStr">
        <is>
          <t>BZ-020</t>
        </is>
      </c>
      <c r="B24" s="19" t="inlineStr">
        <is>
          <t>nextCheck برای 2 بوق</t>
        </is>
      </c>
      <c r="C24" s="19" t="inlineStr">
        <is>
          <t>متوسط</t>
        </is>
      </c>
      <c r="D24" s="19" t="inlineStr">
        <is>
          <t>2 بوق</t>
        </is>
      </c>
      <c r="E24" s="19" t="inlineStr">
        <is>
          <t>period=60000 duty4 count2 gap100 → beep950 gap100 tail57600 smallest=100 → nextCheck=10ms</t>
        </is>
      </c>
      <c r="F24" s="19" t="inlineStr">
        <is>
          <t>period60000 duty4 count2</t>
        </is>
      </c>
      <c r="G24" s="19" t="inlineStr">
        <is>
          <t>—</t>
        </is>
      </c>
      <c r="H24" s="19" t="inlineStr">
        <is>
          <t>return 10ms (gap کوچکترین). PASS: 10. FAIL: 100.</t>
        </is>
      </c>
      <c r="I24" s="19" t="inlineStr">
        <is>
          <t>PASS: 10ms. FAIL: otherwise.</t>
        </is>
      </c>
      <c r="J24" s="16" t="inlineStr"/>
      <c r="K24" s="17" t="inlineStr">
        <is>
          <t>در انتظار</t>
        </is>
      </c>
      <c r="L24" s="20" t="inlineStr"/>
      <c r="M24" s="20" t="inlineStr"/>
      <c r="N24" s="20" t="inlineStr">
        <is>
          <t>c6b084f28f2c507cfd342e5dbd0dbd8e45686772</t>
        </is>
      </c>
      <c r="O24" s="20" t="inlineStr"/>
      <c r="P24" s="20" t="inlineStr"/>
    </row>
    <row r="25" ht="38" customHeight="1">
      <c r="A25" s="15" t="inlineStr">
        <is>
          <t>BZ-021</t>
        </is>
      </c>
      <c r="B25" s="15" t="inlineStr">
        <is>
          <t>دوره بحرانی 10s</t>
        </is>
      </c>
      <c r="C25" s="15" t="inlineStr">
        <is>
          <t>بالا</t>
        </is>
      </c>
      <c r="D25" s="15" t="inlineStr">
        <is>
          <t>BatteryRun critical</t>
        </is>
      </c>
      <c r="E25" s="15" t="inlineStr">
        <is>
          <t>period=10000 duty100 count1 gap0 → On=10000 tail0 → ممتد 10s High</t>
        </is>
      </c>
      <c r="F25" s="15" t="inlineStr">
        <is>
          <t>period10000 duty100 count1</t>
        </is>
      </c>
      <c r="G25" s="15" t="inlineStr">
        <is>
          <t>15s</t>
        </is>
      </c>
      <c r="H25" s="15" t="inlineStr">
        <is>
          <t>بوق ممتد 10s High سپس خاموشی latch (تا 10s بعدی reset). هر period 10s High بدون gap. PASS: 10s continuous. FAIL: قطع زود.</t>
        </is>
      </c>
      <c r="I25" s="15" t="inlineStr">
        <is>
          <t>PASS: 10s continuous High. FAIL: pulse.</t>
        </is>
      </c>
      <c r="J25" s="16" t="inlineStr"/>
      <c r="K25" s="17" t="inlineStr">
        <is>
          <t>در انتظار</t>
        </is>
      </c>
      <c r="L25" s="18" t="inlineStr"/>
      <c r="M25" s="18" t="inlineStr"/>
      <c r="N25" s="18" t="inlineStr">
        <is>
          <t>c6b084f28f2c507cfd342e5dbd0dbd8e45686772</t>
        </is>
      </c>
      <c r="O25" s="18" t="inlineStr"/>
      <c r="P25" s="18" t="inlineStr"/>
    </row>
    <row r="26" ht="38" customHeight="1">
      <c r="A26" s="19" t="inlineStr">
        <is>
          <t>BZ-022</t>
        </is>
      </c>
      <c r="B26" s="19" t="inlineStr">
        <is>
          <t>تغییر gap در حین اجرا</t>
        </is>
      </c>
      <c r="C26" s="19" t="inlineStr">
        <is>
          <t>متوسط</t>
        </is>
      </c>
      <c r="D26" s="19" t="inlineStr">
        <is>
          <t>2 بوق gap100</t>
        </is>
      </c>
      <c r="E26" s="19" t="inlineStr">
        <is>
          <t>اجرا با gap100 سپس mid-cycle gap=200 را عوض کن → باید cycle از نو شروع شود</t>
        </is>
      </c>
      <c r="F26" s="19" t="inlineStr">
        <is>
          <t>period10000 duty20 count2 gap100→200</t>
        </is>
      </c>
      <c r="G26" s="19" t="inlineStr">
        <is>
          <t>12s</t>
        </is>
      </c>
      <c r="H26" s="19" t="inlineStr">
        <is>
          <t>تغییر gap باید cycle restart → زمان‌بندی جدید. PASS: restart. FAIL: ادامه با gap قدیمی.</t>
        </is>
      </c>
      <c r="I26" s="19" t="inlineStr">
        <is>
          <t>PASS: restart on config change. FAIL: stale gap.</t>
        </is>
      </c>
      <c r="J26" s="16" t="inlineStr"/>
      <c r="K26" s="17" t="inlineStr">
        <is>
          <t>در انتظار</t>
        </is>
      </c>
      <c r="L26" s="20" t="inlineStr"/>
      <c r="M26" s="20" t="inlineStr"/>
      <c r="N26" s="20" t="inlineStr">
        <is>
          <t>c6b084f28f2c507cfd342e5dbd0dbd8e45686772</t>
        </is>
      </c>
      <c r="O26" s="20" t="inlineStr"/>
      <c r="P26" s="20" t="inlineStr"/>
    </row>
  </sheetData>
  <autoFilter ref="A4:P26"/>
  <mergeCells count="3">
    <mergeCell ref="A1:P1"/>
    <mergeCell ref="A3:P3"/>
    <mergeCell ref="A2:P2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0" customWidth="1" min="3" max="3"/>
    <col width="22" customWidth="1" min="4" max="4"/>
    <col width="22" customWidth="1" min="5" max="5"/>
    <col width="18" customWidth="1" min="6" max="6"/>
  </cols>
  <sheetData>
    <row r="1" ht="20" customHeight="1">
      <c r="A1" s="21" t="inlineStr">
        <is>
          <t>مرجع Buzzer — ثابت‌ها و محاسبات</t>
        </is>
      </c>
    </row>
    <row r="2" ht="18" customHeight="1">
      <c r="A2" s="22" t="inlineStr">
        <is>
          <t>این صفحه مرجع انتظار است؛ نتیجه واقعی فقط در «برنامه تست» ثبت شود. مقادیر از کد واقعی استخراج شده؛ مقدار حدسی وجود ندارد.</t>
        </is>
      </c>
    </row>
    <row r="3" ht="18" customHeight="1">
      <c r="A3" s="6" t="inlineStr">
        <is>
          <t>موضوع</t>
        </is>
      </c>
      <c r="B3" s="6" t="inlineStr">
        <is>
          <t>شرط / مقدار (از کد)</t>
        </is>
      </c>
      <c r="C3" s="6" t="inlineStr">
        <is>
          <t>رفتار مورد انتظار</t>
        </is>
      </c>
      <c r="D3" s="6" t="inlineStr">
        <is>
          <t>ثابت / محل کد</t>
        </is>
      </c>
      <c r="E3" s="6" t="inlineStr">
        <is>
          <t>توضیح تکمیلی</t>
        </is>
      </c>
      <c r="F3" s="6" t="inlineStr">
        <is>
          <t>وابستگی</t>
        </is>
      </c>
    </row>
    <row r="4" ht="14" customHeight="1">
      <c r="A4" s="15" t="inlineStr">
        <is>
          <t>پارامتر period</t>
        </is>
      </c>
      <c r="B4" s="15" t="inlineStr">
        <is>
          <t>0 → خاموش امن، &lt;1000 → نامعتبر، ≥1000 معتبر</t>
        </is>
      </c>
      <c r="C4" s="15" t="inlineStr">
        <is>
          <t>0→0، &lt;1000→-1، ≥1000→valid</t>
        </is>
      </c>
      <c r="D4" s="15" t="inlineStr">
        <is>
          <t>UI_BUZZER_MIN_PERIOD_MS=1000</t>
        </is>
      </c>
      <c r="E4" s="15" t="inlineStr">
        <is>
          <t>صفر intentional safe-off</t>
        </is>
      </c>
      <c r="F4" s="15" t="inlineStr">
        <is>
          <t>BZ-005,006</t>
        </is>
      </c>
    </row>
    <row r="5" ht="14" customHeight="1">
      <c r="A5" s="15" t="inlineStr">
        <is>
          <t>duty</t>
        </is>
      </c>
      <c r="B5" s="15" t="inlineStr">
        <is>
          <t>0 → خاموش (0)، 1-100 معتبر، &gt;100 نامعتبر</t>
        </is>
      </c>
      <c r="C5" s="15" t="inlineStr">
        <is>
          <t>0→0، &gt;100→-1</t>
        </is>
      </c>
      <c r="D5" s="15" t="inlineStr">
        <is>
          <t>UI_BUZZER_DUTY_MAX_PERCENT=100</t>
        </is>
      </c>
      <c r="E5" s="15" t="inlineStr">
        <is>
          <t>درصد</t>
        </is>
      </c>
      <c r="F5" s="15" t="inlineStr">
        <is>
          <t>BZ-003,007</t>
        </is>
      </c>
    </row>
    <row r="6" ht="14" customHeight="1">
      <c r="A6" s="15" t="inlineStr">
        <is>
          <t>count</t>
        </is>
      </c>
      <c r="B6" s="15" t="inlineStr">
        <is>
          <t>0 → خاموش (0)</t>
        </is>
      </c>
      <c r="C6" s="15" t="inlineStr">
        <is>
          <t>0→0</t>
        </is>
      </c>
      <c r="D6" s="15" t="inlineStr">
        <is>
          <t>—</t>
        </is>
      </c>
      <c r="E6" s="15" t="inlineStr">
        <is>
          <t>صفر safe-off</t>
        </is>
      </c>
      <c r="F6" s="15" t="inlineStr">
        <is>
          <t>BZ-004</t>
        </is>
      </c>
    </row>
    <row r="7" ht="14" customHeight="1">
      <c r="A7" s="15" t="inlineStr">
        <is>
          <t>gap</t>
        </is>
      </c>
      <c r="B7" s="15" t="inlineStr">
        <is>
          <t>count&gt;1 → gap≥100، count=1 → gap ignored</t>
        </is>
      </c>
      <c r="C7" s="15" t="inlineStr">
        <is>
          <t>&lt;100 برای count&gt;1 → -1</t>
        </is>
      </c>
      <c r="D7" s="15" t="inlineStr">
        <is>
          <t>UI_BUZZER_MIN_GAP_MS=100</t>
        </is>
      </c>
      <c r="E7" s="15" t="inlineStr">
        <is>
          <t>فقط بین پالس‌ها</t>
        </is>
      </c>
      <c r="F7" s="15" t="inlineStr">
        <is>
          <t>BZ-008</t>
        </is>
      </c>
    </row>
    <row r="8" ht="14" customHeight="1">
      <c r="A8" s="15" t="inlineStr">
        <is>
          <t>dutyWindow</t>
        </is>
      </c>
      <c r="B8" s="15" t="inlineStr">
        <is>
          <t>period*duty/100</t>
        </is>
      </c>
      <c r="C8" s="15" t="inlineStr">
        <is>
          <t>پنجره دیوتی</t>
        </is>
      </c>
      <c r="D8" s="15" t="inlineStr">
        <is>
          <t>ui_buzzer.c</t>
        </is>
      </c>
      <c r="E8" s="15" t="inlineStr">
        <is>
          <t>بدون سرریز 64bit</t>
        </is>
      </c>
      <c r="F8" s="15" t="inlineStr">
        <is>
          <t>BZ-001</t>
        </is>
      </c>
    </row>
    <row r="9" ht="14" customHeight="1">
      <c r="A9" s="15" t="inlineStr">
        <is>
          <t>beepOn</t>
        </is>
      </c>
      <c r="B9" s="15" t="inlineStr">
        <is>
          <t>(dutyWindow - totalGap)/count</t>
        </is>
      </c>
      <c r="C9" s="15" t="inlineStr">
        <is>
          <t>زمان هر بوق</t>
        </is>
      </c>
      <c r="D9" s="15" t="inlineStr">
        <is>
          <t>ui_buzzer.c</t>
        </is>
      </c>
      <c r="E9" s="15" t="inlineStr">
        <is>
          <t>باقیمانده به آخرین بوق</t>
        </is>
      </c>
      <c r="F9" s="15" t="inlineStr">
        <is>
          <t>BZ-010..014</t>
        </is>
      </c>
    </row>
    <row r="10" ht="14" customHeight="1">
      <c r="A10" s="15" t="inlineStr">
        <is>
          <t>tail</t>
        </is>
      </c>
      <c r="B10" s="15" t="inlineStr">
        <is>
          <t>period - dutyWindow</t>
        </is>
      </c>
      <c r="C10" s="15" t="inlineStr">
        <is>
          <t>خاموشی انتهای دوره</t>
        </is>
      </c>
      <c r="D10" s="15" t="inlineStr">
        <is>
          <t>ui_buzzer.c</t>
        </is>
      </c>
      <c r="E10" s="15" t="inlineStr">
        <is>
          <t>تا period بعدی</t>
        </is>
      </c>
      <c r="F10" s="15" t="inlineStr">
        <is>
          <t>BZ-014</t>
        </is>
      </c>
    </row>
    <row r="11" ht="14" customHeight="1">
      <c r="A11" s="15" t="inlineStr">
        <is>
          <t>nextCheck</t>
        </is>
      </c>
      <c r="B11" s="15" t="inlineStr">
        <is>
          <t>10% کوچک‌ترین segment، min 1ms</t>
        </is>
      </c>
      <c r="C11" s="15" t="inlineStr">
        <is>
          <t>زمان مراجعه بعدی RTOS</t>
        </is>
      </c>
      <c r="D11" s="15" t="inlineStr">
        <is>
          <t>UI_BUZZER_CHECK_PERCENT=10</t>
        </is>
      </c>
      <c r="E11" s="15" t="inlineStr">
        <is>
          <t>non-blocking</t>
        </is>
      </c>
      <c r="F11" s="15" t="inlineStr">
        <is>
          <t>BZ-019,020</t>
        </is>
      </c>
    </row>
    <row r="12" ht="14" customHeight="1">
      <c r="A12" s="15" t="inlineStr">
        <is>
          <t>period صفر</t>
        </is>
      </c>
      <c r="B12" s="15" t="inlineStr">
        <is>
          <t>High never</t>
        </is>
      </c>
      <c r="C12" s="15" t="inlineStr">
        <is>
          <t>Low</t>
        </is>
      </c>
      <c r="D12" s="15" t="inlineStr">
        <is>
          <t>UI_BUZZER_OFF_RESULT=0</t>
        </is>
      </c>
      <c r="E12" s="15" t="inlineStr">
        <is>
          <t>safe-off</t>
        </is>
      </c>
      <c r="F12" s="15" t="inlineStr">
        <is>
          <t>BZ-003..005</t>
        </is>
      </c>
    </row>
    <row r="13" ht="14" customHeight="1">
      <c r="A13" s="15" t="inlineStr">
        <is>
          <t>invalid</t>
        </is>
      </c>
      <c r="B13" s="15" t="inlineStr">
        <is>
          <t>High never، return -1</t>
        </is>
      </c>
      <c r="C13" s="15" t="inlineStr">
        <is>
          <t>Low و -1</t>
        </is>
      </c>
      <c r="D13" s="15" t="inlineStr">
        <is>
          <t>UI_BUZZER_INVALID_RESULT=-1</t>
        </is>
      </c>
      <c r="E13" s="15" t="inlineStr">
        <is>
          <t>ناامن</t>
        </is>
      </c>
      <c r="F13" s="15" t="inlineStr">
        <is>
          <t>BZ-006..009</t>
        </is>
      </c>
    </row>
    <row r="14" ht="14" customHeight="1">
      <c r="A14" s="15" t="inlineStr">
        <is>
          <t>یک بوق</t>
        </is>
      </c>
      <c r="B14" s="15" t="inlineStr">
        <is>
          <t>1 pulse/ period</t>
        </is>
      </c>
      <c r="C14" s="15" t="inlineStr">
        <is>
          <t>On=window</t>
        </is>
      </c>
      <c r="D14" s="15" t="inlineStr">
        <is>
          <t>UI_BATTERY_RUN_BEEP_STANDARD</t>
        </is>
      </c>
      <c r="E14" s="15" t="inlineStr">
        <is>
          <t>60s</t>
        </is>
      </c>
      <c r="F14" s="15" t="inlineStr">
        <is>
          <t>BZ-010</t>
        </is>
      </c>
    </row>
    <row r="15" ht="14" customHeight="1">
      <c r="A15" s="15" t="inlineStr">
        <is>
          <t>دو بوق</t>
        </is>
      </c>
      <c r="B15" s="15" t="inlineStr">
        <is>
          <t>2 pulse +1 gap</t>
        </is>
      </c>
      <c r="C15" s="15" t="inlineStr">
        <is>
          <t>On≈1150 gap100</t>
        </is>
      </c>
      <c r="D15" s="15" t="inlineStr">
        <is>
          <t>UI_BATTERY_RUN_BEEP_DOUBLE</t>
        </is>
      </c>
      <c r="E15" s="15" t="inlineStr">
        <is>
          <t>60s</t>
        </is>
      </c>
      <c r="F15" s="15" t="inlineStr">
        <is>
          <t>BZ-011</t>
        </is>
      </c>
    </row>
    <row r="16" ht="14" customHeight="1">
      <c r="A16" s="15" t="inlineStr">
        <is>
          <t>سه بوق</t>
        </is>
      </c>
      <c r="B16" s="15" t="inlineStr">
        <is>
          <t>3 pulse +2 gap هر 20s</t>
        </is>
      </c>
      <c r="C16" s="15" t="inlineStr">
        <is>
          <t>2000+100</t>
        </is>
      </c>
      <c r="D16" s="15" t="inlineStr">
        <is>
          <t>UI_BATTERY_RUN_BEEP_TRIPLE</t>
        </is>
      </c>
      <c r="E16" s="15" t="inlineStr">
        <is>
          <t>20s</t>
        </is>
      </c>
      <c r="F16" s="15" t="inlineStr">
        <is>
          <t>BZ-012</t>
        </is>
      </c>
    </row>
    <row r="17" ht="14" customHeight="1">
      <c r="A17" s="15" t="inlineStr">
        <is>
          <t>بحرانی</t>
        </is>
      </c>
      <c r="B17" s="15" t="inlineStr">
        <is>
          <t>1 pulse ممتد 10s</t>
        </is>
      </c>
      <c r="C17" s="15" t="inlineStr">
        <is>
          <t>On=10000</t>
        </is>
      </c>
      <c r="D17" s="15" t="inlineStr">
        <is>
          <t>UI_BATTERY_RUN_BEEP_CRITICAL</t>
        </is>
      </c>
      <c r="E17" s="15" t="inlineStr">
        <is>
          <t>10s</t>
        </is>
      </c>
      <c r="F17" s="15" t="inlineStr">
        <is>
          <t>BZ-021</t>
        </is>
      </c>
    </row>
  </sheetData>
  <mergeCells count="2">
    <mergeCell ref="A2:F2"/>
    <mergeCell ref="A1:F1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9" customWidth="1" min="4" max="4"/>
    <col width="20" customWidth="1" min="5" max="5"/>
    <col width="20" customWidth="1" min="6" max="6"/>
    <col width="14" customWidth="1" min="7" max="7"/>
    <col width="14" customWidth="1" min="8" max="8"/>
    <col width="18" customWidth="1" min="9" max="9"/>
    <col width="12" customWidth="1" min="10" max="10"/>
    <col width="14" customWidth="1" min="11" max="11"/>
    <col width="11" customWidth="1" min="12" max="12"/>
    <col width="18" customWidth="1" min="13" max="13"/>
  </cols>
  <sheetData>
    <row r="1" ht="20" customHeight="1">
      <c r="A1" s="21" t="inlineStr">
        <is>
          <t>ثبت ایرادهای مشاهده‌شده روی برد</t>
        </is>
      </c>
    </row>
    <row r="2">
      <c r="A2" s="22" t="inlineStr">
        <is>
          <t>برای هر وضعیت «رد» یا تفاوت مهم، یک ردیف با شناسه یکتا ثبت کن؛ پس از رفع، تست مربوطه را تکرار و در «برنامه تست» وضعیت را به‌روز کن.</t>
        </is>
      </c>
    </row>
    <row r="3" ht="22" customHeight="1">
      <c r="A3" s="6" t="inlineStr">
        <is>
          <t>شماره ایراد</t>
        </is>
      </c>
      <c r="B3" s="6" t="inlineStr">
        <is>
          <t>شناسه تست</t>
        </is>
      </c>
      <c r="C3" s="6" t="inlineStr">
        <is>
          <t>تاریخ کشف</t>
        </is>
      </c>
      <c r="D3" s="6" t="inlineStr">
        <is>
          <t>شدت</t>
        </is>
      </c>
      <c r="E3" s="6" t="inlineStr">
        <is>
          <t>شرح کوتاه ایراد</t>
        </is>
      </c>
      <c r="F3" s="6" t="inlineStr">
        <is>
          <t>مراحل بازتولید</t>
        </is>
      </c>
      <c r="G3" s="6" t="inlineStr">
        <is>
          <t>انتظار</t>
        </is>
      </c>
      <c r="H3" s="6" t="inlineStr">
        <is>
          <t>واقعیت</t>
        </is>
      </c>
      <c r="I3" s="6" t="inlineStr">
        <is>
          <t>مدرک / مسیر عکس یا scope</t>
        </is>
      </c>
      <c r="J3" s="6" t="inlineStr">
        <is>
          <t>commit firmware</t>
        </is>
      </c>
      <c r="K3" s="6" t="inlineStr">
        <is>
          <t>محل احتمالی</t>
        </is>
      </c>
      <c r="L3" s="6" t="inlineStr">
        <is>
          <t>وضعیت ایراد</t>
        </is>
      </c>
      <c r="M3" s="6" t="inlineStr">
        <is>
          <t>تأیید رفع / توضیحات</t>
        </is>
      </c>
    </row>
    <row r="4" ht="14" customHeight="1">
      <c r="A4" s="23" t="inlineStr"/>
      <c r="B4" s="23" t="inlineStr"/>
      <c r="C4" s="23" t="inlineStr"/>
      <c r="D4" s="23" t="inlineStr"/>
      <c r="E4" s="23" t="inlineStr"/>
      <c r="F4" s="23" t="inlineStr"/>
      <c r="G4" s="23" t="inlineStr"/>
      <c r="H4" s="23" t="inlineStr"/>
      <c r="I4" s="23" t="inlineStr"/>
      <c r="J4" s="23" t="inlineStr"/>
      <c r="K4" s="23" t="inlineStr"/>
      <c r="L4" s="23" t="inlineStr"/>
      <c r="M4" s="23" t="inlineStr"/>
    </row>
    <row r="5" ht="14" customHeight="1">
      <c r="A5" s="24" t="inlineStr"/>
      <c r="B5" s="24" t="inlineStr"/>
      <c r="C5" s="24" t="inlineStr"/>
      <c r="D5" s="24" t="inlineStr"/>
      <c r="E5" s="24" t="inlineStr"/>
      <c r="F5" s="24" t="inlineStr"/>
      <c r="G5" s="24" t="inlineStr"/>
      <c r="H5" s="24" t="inlineStr"/>
      <c r="I5" s="24" t="inlineStr"/>
      <c r="J5" s="24" t="inlineStr"/>
      <c r="K5" s="24" t="inlineStr"/>
      <c r="L5" s="24" t="inlineStr"/>
      <c r="M5" s="24" t="inlineStr"/>
    </row>
    <row r="6" ht="14" customHeight="1">
      <c r="A6" s="23" t="inlineStr"/>
      <c r="B6" s="23" t="inlineStr"/>
      <c r="C6" s="23" t="inlineStr"/>
      <c r="D6" s="23" t="inlineStr"/>
      <c r="E6" s="23" t="inlineStr"/>
      <c r="F6" s="23" t="inlineStr"/>
      <c r="G6" s="23" t="inlineStr"/>
      <c r="H6" s="23" t="inlineStr"/>
      <c r="I6" s="23" t="inlineStr"/>
      <c r="J6" s="23" t="inlineStr"/>
      <c r="K6" s="23" t="inlineStr"/>
      <c r="L6" s="23" t="inlineStr"/>
      <c r="M6" s="23" t="inlineStr"/>
    </row>
    <row r="7" ht="14" customHeight="1">
      <c r="A7" s="24" t="inlineStr"/>
      <c r="B7" s="24" t="inlineStr"/>
      <c r="C7" s="24" t="inlineStr"/>
      <c r="D7" s="24" t="inlineStr"/>
      <c r="E7" s="24" t="inlineStr"/>
      <c r="F7" s="24" t="inlineStr"/>
      <c r="G7" s="24" t="inlineStr"/>
      <c r="H7" s="24" t="inlineStr"/>
      <c r="I7" s="24" t="inlineStr"/>
      <c r="J7" s="24" t="inlineStr"/>
      <c r="K7" s="24" t="inlineStr"/>
      <c r="L7" s="24" t="inlineStr"/>
      <c r="M7" s="24" t="inlineStr"/>
    </row>
    <row r="8" ht="14" customHeight="1">
      <c r="A8" s="23" t="inlineStr"/>
      <c r="B8" s="23" t="inlineStr"/>
      <c r="C8" s="23" t="inlineStr"/>
      <c r="D8" s="23" t="inlineStr"/>
      <c r="E8" s="23" t="inlineStr"/>
      <c r="F8" s="23" t="inlineStr"/>
      <c r="G8" s="23" t="inlineStr"/>
      <c r="H8" s="23" t="inlineStr"/>
      <c r="I8" s="23" t="inlineStr"/>
      <c r="J8" s="23" t="inlineStr"/>
      <c r="K8" s="23" t="inlineStr"/>
      <c r="L8" s="23" t="inlineStr"/>
      <c r="M8" s="23" t="inlineStr"/>
    </row>
    <row r="9" ht="14" customHeight="1">
      <c r="A9" s="24" t="inlineStr"/>
      <c r="B9" s="24" t="inlineStr"/>
      <c r="C9" s="24" t="inlineStr"/>
      <c r="D9" s="24" t="inlineStr"/>
      <c r="E9" s="24" t="inlineStr"/>
      <c r="F9" s="24" t="inlineStr"/>
      <c r="G9" s="24" t="inlineStr"/>
      <c r="H9" s="24" t="inlineStr"/>
      <c r="I9" s="24" t="inlineStr"/>
      <c r="J9" s="24" t="inlineStr"/>
      <c r="K9" s="24" t="inlineStr"/>
      <c r="L9" s="24" t="inlineStr"/>
      <c r="M9" s="24" t="inlineStr"/>
    </row>
    <row r="10" ht="14" customHeight="1">
      <c r="A10" s="23" t="inlineStr"/>
      <c r="B10" s="23" t="inlineStr"/>
      <c r="C10" s="23" t="inlineStr"/>
      <c r="D10" s="23" t="inlineStr"/>
      <c r="E10" s="23" t="inlineStr"/>
      <c r="F10" s="23" t="inlineStr"/>
      <c r="G10" s="23" t="inlineStr"/>
      <c r="H10" s="23" t="inlineStr"/>
      <c r="I10" s="23" t="inlineStr"/>
      <c r="J10" s="23" t="inlineStr"/>
      <c r="K10" s="23" t="inlineStr"/>
      <c r="L10" s="23" t="inlineStr"/>
      <c r="M10" s="23" t="inlineStr"/>
    </row>
    <row r="11" ht="14" customHeight="1">
      <c r="A11" s="24" t="inlineStr"/>
      <c r="B11" s="24" t="inlineStr"/>
      <c r="C11" s="24" t="inlineStr"/>
      <c r="D11" s="24" t="inlineStr"/>
      <c r="E11" s="24" t="inlineStr"/>
      <c r="F11" s="24" t="inlineStr"/>
      <c r="G11" s="24" t="inlineStr"/>
      <c r="H11" s="24" t="inlineStr"/>
      <c r="I11" s="24" t="inlineStr"/>
      <c r="J11" s="24" t="inlineStr"/>
      <c r="K11" s="24" t="inlineStr"/>
      <c r="L11" s="24" t="inlineStr"/>
      <c r="M11" s="24" t="inlineStr"/>
    </row>
    <row r="12" ht="14" customHeight="1">
      <c r="A12" s="23" t="inlineStr"/>
      <c r="B12" s="23" t="inlineStr"/>
      <c r="C12" s="23" t="inlineStr"/>
      <c r="D12" s="23" t="inlineStr"/>
      <c r="E12" s="23" t="inlineStr"/>
      <c r="F12" s="23" t="inlineStr"/>
      <c r="G12" s="23" t="inlineStr"/>
      <c r="H12" s="23" t="inlineStr"/>
      <c r="I12" s="23" t="inlineStr"/>
      <c r="J12" s="23" t="inlineStr"/>
      <c r="K12" s="23" t="inlineStr"/>
      <c r="L12" s="23" t="inlineStr"/>
      <c r="M12" s="23" t="inlineStr"/>
    </row>
    <row r="13" ht="14" customHeight="1">
      <c r="A13" s="24" t="inlineStr"/>
      <c r="B13" s="24" t="inlineStr"/>
      <c r="C13" s="24" t="inlineStr"/>
      <c r="D13" s="24" t="inlineStr"/>
      <c r="E13" s="24" t="inlineStr"/>
      <c r="F13" s="24" t="inlineStr"/>
      <c r="G13" s="24" t="inlineStr"/>
      <c r="H13" s="24" t="inlineStr"/>
      <c r="I13" s="24" t="inlineStr"/>
      <c r="J13" s="24" t="inlineStr"/>
      <c r="K13" s="24" t="inlineStr"/>
      <c r="L13" s="24" t="inlineStr"/>
      <c r="M13" s="24" t="inlineStr"/>
    </row>
  </sheetData>
  <mergeCells count="2">
    <mergeCell ref="A2:M2"/>
    <mergeCell ref="A1:M1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</cols>
  <sheetData>
    <row r="1" ht="22" customHeight="1">
      <c r="A1" s="12" t="inlineStr">
        <is>
          <t>تأیید نهایی اعتبارسنجی روی برد — Buzzer — PA4</t>
        </is>
      </c>
    </row>
    <row r="2" ht="18" customHeight="1">
      <c r="A2" s="25" t="inlineStr">
        <is>
          <t>این صفحه فقط پس از تکمیل تست‌ها و بستن ایرادهای باز امضا شود. بدون تکمیل این صفحه، اعتبارسنجی ناقص است.</t>
        </is>
      </c>
    </row>
    <row r="3">
      <c r="A3" s="5" t="inlineStr">
        <is>
          <t>مشخصات تست</t>
        </is>
      </c>
    </row>
    <row r="4" ht="14" customHeight="1">
      <c r="A4" s="26" t="inlineStr">
        <is>
          <t>پروژه</t>
        </is>
      </c>
      <c r="B4" s="10" t="inlineStr">
        <is>
          <t>ChangeOver</t>
        </is>
      </c>
      <c r="C4" s="26" t="inlineStr">
        <is>
          <t>ماژول</t>
        </is>
      </c>
      <c r="D4" s="10" t="inlineStr">
        <is>
          <t>Buzzer — PA4</t>
        </is>
      </c>
      <c r="E4" s="11" t="n"/>
      <c r="F4" s="9" t="n"/>
    </row>
    <row r="5" ht="14" customHeight="1">
      <c r="A5" s="26" t="inlineStr">
        <is>
          <t>تاریخ ساخت فرم</t>
        </is>
      </c>
      <c r="B5" s="10" t="inlineStr">
        <is>
          <t>2026-09-16 (1.0)</t>
        </is>
      </c>
      <c r="C5" s="26" t="inlineStr">
        <is>
          <t>نسخه فرم</t>
        </is>
      </c>
      <c r="D5" s="10" t="inlineStr">
        <is>
          <t>1.0</t>
        </is>
      </c>
      <c r="E5" s="11" t="n"/>
      <c r="F5" s="9" t="n"/>
    </row>
    <row r="6" ht="14" customHeight="1">
      <c r="A6" s="26" t="inlineStr">
        <is>
          <t>commit firmware</t>
        </is>
      </c>
      <c r="B6" s="10" t="inlineStr">
        <is>
          <t>c8c0265e2c3086702f1369b50b467011fd967a94</t>
        </is>
      </c>
      <c r="C6" s="26" t="inlineStr">
        <is>
          <t>شناسه برد</t>
        </is>
      </c>
      <c r="D6" s="27" t="inlineStr"/>
      <c r="E6" s="11" t="n"/>
      <c r="F6" s="9" t="n"/>
    </row>
    <row r="7" ht="14" customHeight="1">
      <c r="A7" s="26" t="inlineStr">
        <is>
          <t>تست‌کننده اصلی</t>
        </is>
      </c>
      <c r="B7" s="27" t="inlineStr"/>
      <c r="C7" s="26" t="inlineStr">
        <is>
          <t>تاریخ شروع</t>
        </is>
      </c>
      <c r="D7" s="27" t="inlineStr"/>
      <c r="E7" s="11" t="n"/>
      <c r="F7" s="9" t="n"/>
    </row>
    <row r="8" ht="14" customHeight="1">
      <c r="A8" s="26" t="inlineStr">
        <is>
          <t>تاریخ پایان</t>
        </is>
      </c>
      <c r="B8" s="27" t="inlineStr"/>
      <c r="C8" s="26" t="inlineStr">
        <is>
          <t>ابزار اندازه‌گیری</t>
        </is>
      </c>
      <c r="D8" s="10" t="inlineStr">
        <is>
          <t>منبع آزمایشگاهی + DMM + اسیلوسکوپ + تایمر RTOS</t>
        </is>
      </c>
      <c r="E8" s="11" t="n"/>
      <c r="F8" s="9" t="n"/>
    </row>
    <row r="9" ht="14" customHeight="1">
      <c r="A9" s="26" t="inlineStr">
        <is>
          <t>فرکانس تیک</t>
        </is>
      </c>
      <c r="B9" s="10" t="inlineStr">
        <is>
          <t>از osKernelGetTickFreq (قابل‌حمل)</t>
        </is>
      </c>
      <c r="C9" s="26" t="inlineStr"/>
      <c r="D9" s="27" t="inlineStr"/>
      <c r="E9" s="11" t="n"/>
      <c r="F9" s="9" t="n"/>
    </row>
    <row r="10" ht="14" customHeight="1">
      <c r="A10" s="26" t="inlineStr">
        <is>
          <t>دامنه</t>
        </is>
      </c>
      <c r="B10" s="10" t="inlineStr">
        <is>
          <t>period/duty/count/gap → On/Off/Tail</t>
        </is>
      </c>
      <c r="C10" s="26" t="inlineStr"/>
      <c r="D10" s="27" t="inlineStr"/>
      <c r="E10" s="11" t="n"/>
      <c r="F10" s="11" t="n"/>
    </row>
    <row r="11" ht="14" customHeight="1">
      <c r="A11" s="26" t="inlineStr">
        <is>
          <t>محدودیت</t>
        </is>
      </c>
      <c r="B11" s="10" t="inlineStr">
        <is>
          <t>period≥1000، duty≤100، gap≥100</t>
        </is>
      </c>
      <c r="C11" s="26" t="inlineStr"/>
      <c r="D11" s="27" t="inlineStr"/>
      <c r="E11" s="11" t="n"/>
      <c r="F11" s="11" t="n"/>
    </row>
    <row r="12" ht="14" customHeight="1">
      <c r="A12" s="26" t="inlineStr">
        <is>
          <t>دوره‌ها</t>
        </is>
      </c>
      <c r="B12" s="10" t="inlineStr">
        <is>
          <t>1s/10s/20s/60s از ui_buzzer.h</t>
        </is>
      </c>
      <c r="C12" s="26" t="inlineStr"/>
      <c r="D12" s="27" t="inlineStr"/>
      <c r="E12" s="11" t="n"/>
      <c r="F12" s="11" t="n"/>
    </row>
    <row r="13">
      <c r="A13" s="5" t="inlineStr">
        <is>
          <t>خلاصه خودکار وضعیت تست‌ها (پس از تست برد پر شود)</t>
        </is>
      </c>
    </row>
    <row r="14">
      <c r="A14" s="6" t="inlineStr">
        <is>
          <t>شاخص</t>
        </is>
      </c>
      <c r="B14" s="6" t="inlineStr">
        <is>
          <t>مقدار</t>
        </is>
      </c>
      <c r="C14" s="6" t="inlineStr">
        <is>
          <t>توضیح</t>
        </is>
      </c>
      <c r="D14" s="6" t="inlineStr">
        <is>
          <t>فرمول پیشنهادی</t>
        </is>
      </c>
      <c r="E14" s="8" t="n"/>
      <c r="F14" s="9" t="n"/>
    </row>
    <row r="15" ht="13" customHeight="1">
      <c r="A15" s="10" t="inlineStr">
        <is>
          <t>تعداد کل تست‌ها</t>
        </is>
      </c>
      <c r="B15" s="28">
        <f>COUNTA('برنامه تست'!A5:A200)</f>
        <v/>
      </c>
      <c r="C15" s="10" t="inlineStr">
        <is>
          <t>کل ردیف‌های برنامه تست</t>
        </is>
      </c>
      <c r="D15" s="10" t="inlineStr"/>
      <c r="E15" s="8" t="n"/>
      <c r="F15" s="9" t="n"/>
    </row>
    <row r="16" ht="13" customHeight="1">
      <c r="A16" s="10" t="inlineStr">
        <is>
          <t>تعداد قبول (PASS)</t>
        </is>
      </c>
      <c r="B16" s="28">
        <f>COUNTIF('برنامه تست'!K5:K200,"قبول")</f>
        <v/>
      </c>
      <c r="C16" s="10" t="inlineStr">
        <is>
          <t>تعداد ردیف با وضعیت = قبول</t>
        </is>
      </c>
      <c r="D16" s="10" t="inlineStr">
        <is>
          <t>COUNTIF('برنامه تست'!K5:K200,"قبول")</t>
        </is>
      </c>
      <c r="E16" s="8" t="n"/>
      <c r="F16" s="9" t="n"/>
    </row>
    <row r="17" ht="13" customHeight="1">
      <c r="A17" s="10" t="inlineStr">
        <is>
          <t>تعداد رد (FAIL)</t>
        </is>
      </c>
      <c r="B17" s="28">
        <f>COUNTIF('برنامه تست'!K5:K200,"رد")</f>
        <v/>
      </c>
      <c r="C17" s="10" t="inlineStr">
        <is>
          <t>تعداد ردیف با وضعیت = رد</t>
        </is>
      </c>
      <c r="D17" s="10" t="inlineStr">
        <is>
          <t>COUNTIF('برنامه تست'!K5:K200,"رد")</t>
        </is>
      </c>
      <c r="E17" s="8" t="n"/>
      <c r="F17" s="9" t="n"/>
    </row>
    <row r="18" ht="13" customHeight="1">
      <c r="A18" s="10" t="inlineStr">
        <is>
          <t>تعداد در انتظار</t>
        </is>
      </c>
      <c r="B18" s="28">
        <f>COUNTIF('برنامه تست'!K5:K200,"در انتظار")</f>
        <v/>
      </c>
      <c r="C18" s="10" t="inlineStr">
        <is>
          <t>تعداد ردیف با وضعیت = در انتظار</t>
        </is>
      </c>
      <c r="D18" s="10" t="inlineStr">
        <is>
          <t>COUNTIF('برنامه تست'!K5:K200,"در انتظار")</t>
        </is>
      </c>
      <c r="E18" s="8" t="n"/>
      <c r="F18" s="9" t="n"/>
    </row>
    <row r="19" ht="13" customHeight="1">
      <c r="A19" s="10" t="inlineStr">
        <is>
          <t>تعداد مسدود</t>
        </is>
      </c>
      <c r="B19" s="28">
        <f>COUNTIF('برنامه تست'!K5:K200,"مسدود")</f>
        <v/>
      </c>
      <c r="C19" s="10" t="inlineStr">
        <is>
          <t>تعداد ردیف با وضعیت = مسدود</t>
        </is>
      </c>
      <c r="D19" s="10" t="inlineStr"/>
      <c r="E19" s="8" t="n"/>
      <c r="F19" s="9" t="n"/>
    </row>
    <row r="20" ht="13" customHeight="1">
      <c r="A20" s="10" t="inlineStr">
        <is>
          <t>نرخ قبولی</t>
        </is>
      </c>
      <c r="B20" s="28">
        <f>IF(B15=0,"",TEXT(B16/B15,"0%"))</f>
        <v/>
      </c>
      <c r="C20" s="10" t="inlineStr">
        <is>
          <t>PASS / TOTAL</t>
        </is>
      </c>
      <c r="D20" s="10" t="inlineStr"/>
      <c r="E20" s="8" t="n"/>
      <c r="F20" s="9" t="n"/>
    </row>
    <row r="21">
      <c r="A21" s="5" t="inlineStr">
        <is>
          <t>امضاها</t>
        </is>
      </c>
    </row>
    <row r="22" ht="18" customHeight="1">
      <c r="A22" s="6" t="inlineStr">
        <is>
          <t>نقش</t>
        </is>
      </c>
      <c r="B22" s="6" t="inlineStr">
        <is>
          <t>نام و نام خانوادگی</t>
        </is>
      </c>
      <c r="C22" s="6" t="inlineStr">
        <is>
          <t>تاریخ</t>
        </is>
      </c>
      <c r="D22" s="6" t="inlineStr">
        <is>
          <t>امضا</t>
        </is>
      </c>
      <c r="E22" s="6" t="inlineStr">
        <is>
          <t>توضیحات</t>
        </is>
      </c>
      <c r="F22" s="9" t="n"/>
    </row>
    <row r="23" ht="22" customHeight="1">
      <c r="A23" s="10" t="inlineStr">
        <is>
          <t>تست‌کننده</t>
        </is>
      </c>
      <c r="B23" s="10" t="inlineStr"/>
      <c r="C23" s="10" t="inlineStr"/>
      <c r="D23" s="10" t="inlineStr"/>
      <c r="E23" s="10" t="inlineStr"/>
      <c r="F23" s="9" t="n"/>
    </row>
    <row r="24" ht="22" customHeight="1">
      <c r="A24" s="10" t="inlineStr">
        <is>
          <t>بازبین فنی</t>
        </is>
      </c>
      <c r="B24" s="10" t="inlineStr"/>
      <c r="C24" s="10" t="inlineStr"/>
      <c r="D24" s="10" t="inlineStr"/>
      <c r="E24" s="10" t="inlineStr"/>
      <c r="F24" s="9" t="n"/>
    </row>
    <row r="25" ht="22" customHeight="1">
      <c r="A25" s="10" t="inlineStr">
        <is>
          <t>تأیید نهایی</t>
        </is>
      </c>
      <c r="B25" s="10" t="inlineStr"/>
      <c r="C25" s="10" t="inlineStr"/>
      <c r="D25" s="10" t="inlineStr"/>
      <c r="E25" s="10" t="inlineStr"/>
      <c r="F25" s="9" t="n"/>
    </row>
    <row r="26">
      <c r="A26" s="25" t="inlineStr">
        <is>
          <t>یادداشت: بدون ثبت commit، شناسه برد، نام تست‌کننده، تاریخ و ابزار اندازه‌گیری، این فرم ناقص است. برای هر ردیف «رد»، یک ردیف در «ثبت ایراد» الزامی است.</t>
        </is>
      </c>
    </row>
  </sheetData>
  <mergeCells count="23">
    <mergeCell ref="E24:F24"/>
    <mergeCell ref="E5:F5"/>
    <mergeCell ref="E23:F23"/>
    <mergeCell ref="D17:F17"/>
    <mergeCell ref="A3:F3"/>
    <mergeCell ref="A26:F26"/>
    <mergeCell ref="A21:F21"/>
    <mergeCell ref="D16:F16"/>
    <mergeCell ref="E8:F8"/>
    <mergeCell ref="A2:F2"/>
    <mergeCell ref="E4:F4"/>
    <mergeCell ref="D18:F18"/>
    <mergeCell ref="E9:F9"/>
    <mergeCell ref="D15:F15"/>
    <mergeCell ref="E6:F6"/>
    <mergeCell ref="D14:F14"/>
    <mergeCell ref="A13:F13"/>
    <mergeCell ref="D20:F20"/>
    <mergeCell ref="D19:F19"/>
    <mergeCell ref="E7:F7"/>
    <mergeCell ref="E25:F25"/>
    <mergeCell ref="A1:F1"/>
    <mergeCell ref="E22:F22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14" customHeight="1">
      <c r="A1" s="29" t="inlineStr">
        <is>
          <t>وضعیت</t>
        </is>
      </c>
    </row>
    <row r="2">
      <c r="A2" s="30" t="inlineStr">
        <is>
          <t>در انتظار</t>
        </is>
      </c>
    </row>
    <row r="3">
      <c r="A3" s="30" t="inlineStr">
        <is>
          <t>قبول</t>
        </is>
      </c>
    </row>
    <row r="4">
      <c r="A4" s="30" t="inlineStr">
        <is>
          <t>رد</t>
        </is>
      </c>
    </row>
    <row r="5">
      <c r="A5" s="30" t="inlineStr">
        <is>
          <t>مسدود</t>
        </is>
      </c>
    </row>
    <row r="6">
      <c r="A6" s="30" t="inlineStr">
        <is>
          <t>نیاز به تکرار</t>
        </is>
      </c>
    </row>
    <row r="8" ht="14" customHeight="1">
      <c r="A8" s="29" t="inlineStr">
        <is>
          <t>اولویت</t>
        </is>
      </c>
    </row>
    <row r="9">
      <c r="A9" s="30" t="inlineStr">
        <is>
          <t>بالا</t>
        </is>
      </c>
    </row>
    <row r="10">
      <c r="A10" s="30" t="inlineStr">
        <is>
          <t>متوسط</t>
        </is>
      </c>
    </row>
    <row r="11">
      <c r="A11" s="30" t="inlineStr">
        <is>
          <t>پایین</t>
        </is>
      </c>
    </row>
    <row r="12">
      <c r="A12" s="30" t="inlineStr">
        <is>
          <t>بحرانی</t>
        </is>
      </c>
    </row>
    <row r="14" ht="14" customHeight="1">
      <c r="A14" s="29" t="inlineStr">
        <is>
          <t>دسته</t>
        </is>
      </c>
    </row>
    <row r="15">
      <c r="A15" s="30" t="inlineStr">
        <is>
          <t>BoardTest</t>
        </is>
      </c>
    </row>
    <row r="16">
      <c r="A16" s="30" t="inlineStr">
        <is>
          <t>InputOk</t>
        </is>
      </c>
    </row>
    <row r="17">
      <c r="A17" s="30" t="inlineStr">
        <is>
          <t>Charging</t>
        </is>
      </c>
    </row>
    <row r="18">
      <c r="A18" s="30" t="inlineStr">
        <is>
          <t>BatteryRun</t>
        </is>
      </c>
    </row>
    <row r="19">
      <c r="A19" s="30" t="inlineStr">
        <is>
          <t>هیسترزیس</t>
        </is>
      </c>
    </row>
    <row r="20">
      <c r="A20" s="30" t="inlineStr">
        <is>
          <t>InputOverVoltage</t>
        </is>
      </c>
    </row>
    <row r="21">
      <c r="A21" s="30" t="inlineStr">
        <is>
          <t>Snapshot</t>
        </is>
      </c>
    </row>
    <row r="22">
      <c r="A22" s="30" t="inlineStr">
        <is>
          <t>Buzzer</t>
        </is>
      </c>
    </row>
    <row r="23">
      <c r="A23" s="30" t="inlineStr">
        <is>
          <t>Measurement</t>
        </is>
      </c>
    </row>
    <row r="24">
      <c r="A24" s="30" t="inlineStr">
        <is>
          <t>Changeover</t>
        </is>
      </c>
    </row>
    <row r="26" ht="14" customHeight="1">
      <c r="A26" s="29" t="inlineStr">
        <is>
          <t>نتیجه ایراد</t>
        </is>
      </c>
    </row>
    <row r="27">
      <c r="A27" s="30" t="inlineStr">
        <is>
          <t>باز</t>
        </is>
      </c>
    </row>
    <row r="28">
      <c r="A28" s="30" t="inlineStr">
        <is>
          <t>در حال بررسی</t>
        </is>
      </c>
    </row>
    <row r="29">
      <c r="A29" s="30" t="inlineStr">
        <is>
          <t>رفع شد</t>
        </is>
      </c>
    </row>
    <row r="30">
      <c r="A30" s="30" t="inlineStr">
        <is>
          <t>بسته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2026-09-16T16:35:38Z</dcterms:created>
  <dcterms:modified xsi:type="dcterms:W3CDTF">2026-09-16T17:02:05Z</dcterms:modified>
</cp:coreProperties>
</file>