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تست'!$A$4:$Q$61</definedName>
    <definedName name="_xlnm.Print_Titles" localSheetId="1">'برنامه تست'!$4:$4</definedName>
    <definedName name="_xlnm._FilterDatabase" localSheetId="2" hidden="1">'تست‌های آزمایشگاهی'!$A$4:$Q$8</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s>
  <fills count="10">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C6EFCE"/>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85">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0" borderId="2" applyAlignment="1" pivotButton="0" quotePrefix="0" xfId="0">
      <alignment horizontal="center"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0" fontId="8" fillId="9"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7" borderId="2" applyAlignment="1" pivotButton="0" quotePrefix="0" xfId="0">
      <alignment horizontal="center" vertical="center" wrapText="1"/>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7" fillId="0" borderId="2" applyAlignment="1" pivotButton="0" quotePrefix="0" xfId="0">
      <alignment horizontal="center" vertical="center" wrapText="1"/>
    </xf>
    <xf numFmtId="0" fontId="6" fillId="7" borderId="2" applyAlignment="1" pivotButton="0" quotePrefix="0" xfId="0">
      <alignment horizontal="right" vertical="center" wrapText="1"/>
    </xf>
    <xf numFmtId="0" fontId="6" fillId="0"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6" fillId="0" borderId="2" applyAlignment="1" pivotButton="0" quotePrefix="0" xfId="0">
      <alignment horizontal="center" vertical="center" wrapText="1"/>
    </xf>
    <xf numFmtId="0" fontId="5" fillId="9"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rger.h" TargetMode="External" Id="rId1" /></Relationships>
</file>

<file path=xl/worksheets/_rels/sheet5.xml.rels><Relationships xmlns="http://schemas.openxmlformats.org/package/2006/relationships"><Relationship Type="http://schemas.openxmlformats.org/officeDocument/2006/relationships/hyperlink" Target="charger.h" TargetMode="External" Id="rId1" /></Relationships>
</file>

<file path=xl/worksheets/_rels/sheet9.xml.rels><Relationships xmlns="http://schemas.openxmlformats.org/package/2006/relationships"><Relationship Type="http://schemas.openxmlformats.org/officeDocument/2006/relationships/hyperlink" Target="Charger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2"/>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9" t="inlineStr">
        <is>
          <t>برگه تست و اعتبارسنجی عملی ماژول Charger</t>
        </is>
      </c>
    </row>
    <row r="2">
      <c r="A2" s="50" t="inlineStr">
        <is>
          <t>Charger | دو شارژر مستقل ۱۲V؛ Ch1→باتری بالا (VHIGH)، Ch2→باتری پایین (VLOW)؛ پارامترهای زندهٔ ESP + مود تست دستی v1.2</t>
        </is>
      </c>
    </row>
    <row r="3" ht="30" customHeight="1">
      <c r="A3" s="51" t="inlineStr">
        <is>
          <t>هدف فایل</t>
        </is>
      </c>
    </row>
    <row r="4">
      <c r="A4" s="50" t="inlineStr"/>
    </row>
    <row r="5">
      <c r="A5" s="50" t="inlineStr">
        <is>
          <t>سناریوها حول رفتار قابل مشاهدهٔ هر کانال: state (تله‌متری ESP)، duty (اسکوپ PA0/PA6)، رلهٔ NC و پنل ESP نوشته شده‌اند.</t>
        </is>
      </c>
    </row>
    <row r="6">
      <c r="A6" s="52" t="inlineStr">
        <is>
          <t>ثابت‌های مرجع در charger.h: باند تنظیم 630..650mA تخمینی، خطای سخت 950mA، ابزورب 14.3/14.4/14.6V، فلوت 13.5V، reentry 12.8V، سقف duty 500‰، ددمن مود دستی 3000ms.</t>
        </is>
      </c>
    </row>
    <row r="7">
      <c r="A7" s="50" t="inlineStr">
        <is>
          <t>تست مود دستی فقط با بار مقاومتی یا electronic load با voltage clamp؛ مقاومت آزاد شبیه‌ساز باتری نیست و منبع ورودی باید محدودشده باشد.</t>
        </is>
      </c>
    </row>
    <row r="8">
      <c r="A8" s="50" t="inlineStr"/>
    </row>
    <row r="9">
      <c r="A9" s="50" t="inlineStr">
        <is>
          <t>هشدار: تست مود دستی بدون باتری فقط با electronic load دارای voltage clamp؛ هرگز با مقاومت آزاد.</t>
        </is>
      </c>
    </row>
    <row r="10">
      <c r="A10" s="50" t="inlineStr">
        <is>
          <t>هشدار: منبع ورودی در تست‌های اول محدودشده باشد؛ current-limit ورودی جای حفاظت خروجی firmware نیست.</t>
        </is>
      </c>
    </row>
    <row r="12">
      <c r="A12" s="82"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5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3" t="inlineStr">
        <is>
          <t>برنامهٔ تست عملی — ماژول Charger</t>
        </is>
      </c>
    </row>
    <row r="2">
      <c r="A2" s="50" t="inlineStr">
        <is>
          <t>وضعیت فقط یکی از: در انتظار / قبول / رد / مسدود / نیاز به تکرار. تست Host جایگزین تست برد نیست.</t>
        </is>
      </c>
    </row>
    <row r="3">
      <c r="A3" s="50" t="inlineStr">
        <is>
          <t>برای هر ردیف پیش‌شرط، ورودی، انتظار و معیار قبولی صریح است؛ نتیجهٔ واقعی فقط با اندازه‌گیری روی برد پر می‌شود.</t>
        </is>
      </c>
    </row>
    <row r="4" ht="30" customHeight="1">
      <c r="A4" s="51" t="inlineStr">
        <is>
          <t>شناسه</t>
        </is>
      </c>
      <c r="B4" s="51" t="inlineStr">
        <is>
          <t>دسته</t>
        </is>
      </c>
      <c r="C4" s="51" t="inlineStr">
        <is>
          <t>اولویت</t>
        </is>
      </c>
      <c r="D4" s="51" t="inlineStr">
        <is>
          <t>پیش‌شرط</t>
        </is>
      </c>
      <c r="E4" s="51" t="inlineStr">
        <is>
          <t>روش اجرای دقیق</t>
        </is>
      </c>
      <c r="F4" s="51" t="inlineStr">
        <is>
          <t>ورودی‌ها / شرایط</t>
        </is>
      </c>
      <c r="G4" s="51" t="inlineStr">
        <is>
          <t>مدت مشاهده</t>
        </is>
      </c>
      <c r="H4" s="51" t="inlineStr">
        <is>
          <t>رفتار مورد انتظار</t>
        </is>
      </c>
      <c r="I4" s="51" t="inlineStr">
        <is>
          <t>وضعیت حفظ / latch</t>
        </is>
      </c>
      <c r="J4" s="51" t="inlineStr">
        <is>
          <t>چه چیزی باید ببینید تا بگویید درست است</t>
        </is>
      </c>
      <c r="K4" s="51" t="inlineStr">
        <is>
          <t>نتیجهٔ واقعی / اندازه‌گیری</t>
        </is>
      </c>
      <c r="L4" s="51" t="inlineStr">
        <is>
          <t>وضعیت</t>
        </is>
      </c>
      <c r="M4" s="51" t="inlineStr">
        <is>
          <t>شرح ایراد / تفاوت</t>
        </is>
      </c>
      <c r="N4" s="51" t="inlineStr">
        <is>
          <t>مدرک تست / scope</t>
        </is>
      </c>
      <c r="O4" s="51" t="inlineStr">
        <is>
          <t>commit</t>
        </is>
      </c>
      <c r="P4" s="51" t="inlineStr">
        <is>
          <t>نام تست‌کننده</t>
        </is>
      </c>
      <c r="Q4" s="51" t="inlineStr">
        <is>
          <t>تاریخ</t>
        </is>
      </c>
    </row>
    <row r="5" ht="54" customHeight="1">
      <c r="A5" s="55" t="inlineStr">
        <is>
          <t>CH-042</t>
        </is>
      </c>
      <c r="B5" s="56" t="inlineStr">
        <is>
          <t>شروع شارژ با وصل ورودی</t>
        </is>
      </c>
      <c r="C5" s="57" t="inlineStr">
        <is>
          <t>بالا</t>
        </is>
      </c>
      <c r="D5" s="56" t="inlineStr">
        <is>
          <t>باتری نیمه‌خالی وصل و جاافتاده؛ ورودی قطع</t>
        </is>
      </c>
      <c r="E5" s="56" t="inlineStr">
        <is>
          <t>گام ۱: با ورودیِ قطع مطمئن شو شارژی در کار نیست (جریان صفر).
گام ۲: ورودی ۲۴ ولت را وصل کن.
گام ۳: تا یک دقیقه نگاه کن؛ شارژ باید خودش شروع شود.
گام ۴: ورودی را قطع کن؛ شارژ باید بایستد.</t>
        </is>
      </c>
      <c r="F5" s="58" t="inlineStr">
        <is>
          <t>ورودی ۲۴ ولت وصل و قطع</t>
        </is>
      </c>
      <c r="G5" s="58" t="inlineStr">
        <is>
          <t>یک دقیقه</t>
        </is>
      </c>
      <c r="H5" s="56" t="inlineStr">
        <is>
          <t>با وصل ورودی شارژ خودکار شروع و با قطع آن متوقف می‌شود</t>
        </is>
      </c>
      <c r="I5" s="56" t="inlineStr">
        <is>
          <t>—</t>
        </is>
      </c>
      <c r="J5" s="56" t="inlineStr">
        <is>
          <t>باید ببینید: با وصل ورودی، جریان شارژ در پنل (یا با مولتی‌متر) بالا می‌رود و چراغ زرد چشمک می‌زند؛ با قطع ورودی جریان صفر می‌شود. اگر شارژ شروع نشد یا با قطع ورودی ادامه داشت، قبول نیست.</t>
        </is>
      </c>
      <c r="K5" s="56" t="n"/>
      <c r="L5" s="59" t="inlineStr">
        <is>
          <t>در انتظار</t>
        </is>
      </c>
      <c r="M5" s="56" t="n"/>
      <c r="N5" s="56" t="n"/>
      <c r="O5" s="58" t="n"/>
      <c r="P5" s="58" t="n"/>
      <c r="Q5" s="60">
        <f>IF(OR(L5="",L5="در انتظار"),"",IF(Q5="",TODAY(),Q5))</f>
        <v/>
      </c>
    </row>
    <row r="6" ht="54" customHeight="1">
      <c r="A6" s="55" t="inlineStr">
        <is>
          <t>CH-004</t>
        </is>
      </c>
      <c r="B6" s="56" t="inlineStr">
        <is>
          <t>تنظیم BULK</t>
        </is>
      </c>
      <c r="C6" s="57" t="inlineStr">
        <is>
          <t>بالا</t>
        </is>
      </c>
      <c r="D6" s="56" t="inlineStr">
        <is>
          <t>یک باتری نیمه‌خالی واقعی وصل است و برق شهر برقرار؛ آمپرمتر دستی یا پنل برای دیدن جریان آماده است</t>
        </is>
      </c>
      <c r="E6" s="56" t="inlineStr">
        <is>
          <t>گام ۱: شارژ را شروع کن و بگذار یک دقیقه جا بیفتد.
گام ۲: جریان شارژ را از پنل یا آمپرمتر دستی بخوان.
گام ۳: یک دقیقه دیگر نگاه کن که جریان ثابت مانده یا نه.</t>
        </is>
      </c>
      <c r="F6" s="58" t="inlineStr">
        <is>
          <t>باتری نیمه‌خالی در حال شارژ</t>
        </is>
      </c>
      <c r="G6" s="58" t="inlineStr">
        <is>
          <t>دو دقیقه</t>
        </is>
      </c>
      <c r="H6" s="56" t="inlineStr">
        <is>
          <t>جریان شارژ نزدیک سقف تنظیم‌شده (حدود ۰٫۶۴ آمپر) می‌ایستد و پایدار می‌ماند؛ بالا و پایین نمی‌پرد</t>
        </is>
      </c>
      <c r="I6" s="56" t="inlineStr">
        <is>
          <t>پایدار تا وقتی باتری پرتر شود</t>
        </is>
      </c>
      <c r="J6" s="56" t="inlineStr">
        <is>
          <t>باید ببینید: جریان شارژ (در پنل یا با مولتی‌متر) نزدیک سقف تنظیم‌شده می‌ایستد و پایدار می‌ماند و بالا و پایین نمی‌پرد. اگر نوسان شدید داشت یا خیلی کمتر یا بیشتر بود، قبول نیست.</t>
        </is>
      </c>
      <c r="K6" s="56" t="n"/>
      <c r="L6" s="59" t="inlineStr">
        <is>
          <t>در انتظار</t>
        </is>
      </c>
      <c r="M6" s="56" t="n"/>
      <c r="N6" s="56" t="n"/>
      <c r="O6" s="58" t="inlineStr">
        <is>
          <t>TESTER: fill</t>
        </is>
      </c>
      <c r="P6" s="58" t="n"/>
      <c r="Q6" s="60">
        <f>IF(OR(L6="",L6="در انتظار"),"",IF(Q6="",TODAY(),Q6))</f>
        <v/>
      </c>
    </row>
    <row r="7" ht="54" customHeight="1">
      <c r="A7" s="55" t="inlineStr">
        <is>
          <t>CH-005</t>
        </is>
      </c>
      <c r="B7" s="61" t="inlineStr">
        <is>
          <t>ABSORB</t>
        </is>
      </c>
      <c r="C7" s="62" t="inlineStr">
        <is>
          <t>بالا</t>
        </is>
      </c>
      <c r="D7" s="61" t="inlineStr">
        <is>
          <t>باتری تقریباً پر است و شارژ ادامه دارد</t>
        </is>
      </c>
      <c r="E7" s="61" t="inlineStr">
        <is>
          <t>گام ۱: باتری نزدیک‌به‌پر را به شارژ نگه دار.
گام ۲: ولتاژ باتری را با مولتی‌متر و جریان شارژ را با پنل زیر نظر بگیر.</t>
        </is>
      </c>
      <c r="F7" s="63" t="inlineStr">
        <is>
          <t>باتری تقریباً پر در شارژ</t>
        </is>
      </c>
      <c r="G7" s="63" t="inlineStr">
        <is>
          <t>ده دقیقه</t>
        </is>
      </c>
      <c r="H7" s="61" t="inlineStr">
        <is>
          <t>ولتاژ باتری تقریباً ثابت می‌ماند و جریان شارژ آرام‌آرام کم می‌شود (شارژ ملایم پایانی)</t>
        </is>
      </c>
      <c r="I7" s="61" t="inlineStr">
        <is>
          <t>تا رسیدن به حالت نگهداری</t>
        </is>
      </c>
      <c r="J7" s="61" t="inlineStr">
        <is>
          <t>باید ببینید: ولتاژ باتری تقریباً ثابت می‌ماند و جریان شارژ آرام‌آرام کم می‌شود. اگر ولتاژ از حد شارژ بالا رفت، قبول نیست.</t>
        </is>
      </c>
      <c r="K7" s="61" t="n"/>
      <c r="L7" s="59" t="inlineStr">
        <is>
          <t>در انتظار</t>
        </is>
      </c>
      <c r="M7" s="61" t="n"/>
      <c r="N7" s="61" t="n"/>
      <c r="O7" s="63" t="inlineStr">
        <is>
          <t>TESTER: fill</t>
        </is>
      </c>
      <c r="P7" s="63" t="n"/>
      <c r="Q7" s="64">
        <f>IF(OR(L7="",L7="در انتظار"),"",IF(Q7="",TODAY(),Q7))</f>
        <v/>
      </c>
    </row>
    <row r="8" ht="54" customHeight="1">
      <c r="A8" s="55" t="inlineStr">
        <is>
          <t>CH-012</t>
        </is>
      </c>
      <c r="B8" s="56" t="inlineStr">
        <is>
          <t>اعتبار sense باتری</t>
        </is>
      </c>
      <c r="C8" s="57" t="inlineStr">
        <is>
          <t>بالا</t>
        </is>
      </c>
      <c r="D8" s="56" t="inlineStr">
        <is>
          <t>دستگاه در حال شارژ یک باتری واقعی است</t>
        </is>
      </c>
      <c r="E8" s="56" t="inlineStr">
        <is>
          <t>گام ۱: حین شارژ، سیم حس‌کردن ولتاژ باتری را جدا کن.
گام ۲: به شارژر نگاه کن؛ نباید کورکورانه به شارژ ادامه دهد.
گام ۳: سیم را وصل کن و برگشت شارژ را ببین.</t>
        </is>
      </c>
      <c r="F8" s="58" t="inlineStr">
        <is>
          <t>قطع و وصل سیم حس ولتاژ باتری</t>
        </is>
      </c>
      <c r="G8" s="58" t="inlineStr">
        <is>
          <t>دو دقیقه</t>
        </is>
      </c>
      <c r="H8" s="56" t="inlineStr">
        <is>
          <t>با قطع سیم حس، شارژ متوقف می‌ماند؛ با وصل آن، شارژ عادی برمی‌گردد</t>
        </is>
      </c>
      <c r="I8" s="56" t="inlineStr">
        <is>
          <t>توقف تا برگشت حس</t>
        </is>
      </c>
      <c r="J8" s="56" t="inlineStr">
        <is>
          <t>باید ببینید: با قطع سیم حس، شارژ متوقف می‌ماند و با وصل آن شارژ عادی برمی‌گردد. اگر بی‌حس هم شارژ ادامه داشت، قبول نیست.</t>
        </is>
      </c>
      <c r="K8" s="56" t="n"/>
      <c r="L8" s="59" t="inlineStr">
        <is>
          <t>در انتظار</t>
        </is>
      </c>
      <c r="M8" s="56" t="n"/>
      <c r="N8" s="56" t="n"/>
      <c r="O8" s="58" t="inlineStr">
        <is>
          <t>TESTER: fill</t>
        </is>
      </c>
      <c r="P8" s="58" t="n"/>
      <c r="Q8" s="60">
        <f>IF(OR(L8="",L8="در انتظار"),"",IF(Q8="",TODAY(),Q8))</f>
        <v/>
      </c>
    </row>
    <row r="9" ht="54" customHeight="1">
      <c r="A9" s="55" t="inlineStr">
        <is>
          <t>CH-013</t>
        </is>
      </c>
      <c r="B9" s="61" t="inlineStr">
        <is>
          <t>مود دستی: ورود</t>
        </is>
      </c>
      <c r="C9" s="62" t="inlineStr">
        <is>
          <t>بالا</t>
        </is>
      </c>
      <c r="D9" s="61" t="inlineStr">
        <is>
          <t>پنل وصل است و دستگاه روشن</t>
        </is>
      </c>
      <c r="E9" s="61" t="inlineStr">
        <is>
          <t>گام ۱: از پنل مود تست دستی شارژر را روشن کن.
گام ۲: نگاه کن شارژ خودکار کنار می‌رود و شارژر فقط به فرمان دستی گوش می‌دهد.
گام ۳: یک فرمان دستی کوچک بده و اجراش را ببین.</t>
        </is>
      </c>
      <c r="F9" s="63" t="inlineStr">
        <is>
          <t>روشن‌کردن مود دستی از پنل</t>
        </is>
      </c>
      <c r="G9" s="63" t="inlineStr">
        <is>
          <t>دو دقیقه</t>
        </is>
      </c>
      <c r="H9" s="61" t="inlineStr">
        <is>
          <t>شارژر وارد مود دستی می‌شود و فقط فرمان دستی را اجرا می‌کند</t>
        </is>
      </c>
      <c r="I9" s="61" t="inlineStr">
        <is>
          <t>تا خروج از مود</t>
        </is>
      </c>
      <c r="J9" s="61" t="inlineStr">
        <is>
          <t>باید ببینید: شارژر وارد مود دستی می‌شود و فقط فرمان دستی پنل را اجرا می‌کند. اگر شارژ خودکار ادامه داشت، قبول نیست.</t>
        </is>
      </c>
      <c r="K9" s="61" t="n"/>
      <c r="L9" s="59" t="inlineStr">
        <is>
          <t>در انتظار</t>
        </is>
      </c>
      <c r="M9" s="61" t="n"/>
      <c r="N9" s="61" t="n"/>
      <c r="O9" s="63" t="inlineStr">
        <is>
          <t>TESTER: fill</t>
        </is>
      </c>
      <c r="P9" s="63" t="n"/>
      <c r="Q9" s="64">
        <f>IF(OR(L9="",L9="در انتظار"),"",IF(Q9="",TODAY(),Q9))</f>
        <v/>
      </c>
    </row>
    <row r="10" ht="54" customHeight="1">
      <c r="A10" s="55" t="inlineStr">
        <is>
          <t>CH-018</t>
        </is>
      </c>
      <c r="B10" s="56" t="inlineStr">
        <is>
          <t>خروج از مود دستی</t>
        </is>
      </c>
      <c r="C10" s="57" t="inlineStr">
        <is>
          <t>بالا</t>
        </is>
      </c>
      <c r="D10" s="56" t="inlineStr">
        <is>
          <t>شارژر در مود تست دستی است</t>
        </is>
      </c>
      <c r="E10" s="56" t="inlineStr">
        <is>
          <t>گام ۱: از پنل از مود دستی خارج شو.
گام ۲: یک باتری نیمه‌خالی را زیر نظر بگیر.</t>
        </is>
      </c>
      <c r="F10" s="58" t="inlineStr">
        <is>
          <t>خروج از مود دستی</t>
        </is>
      </c>
      <c r="G10" s="58" t="inlineStr">
        <is>
          <t>پنج دقیقه</t>
        </is>
      </c>
      <c r="H10" s="56" t="inlineStr">
        <is>
          <t>شارژ خودکار عادی از سر گرفته می‌شود و باتری مثل همیشه شارژ می‌شود</t>
        </is>
      </c>
      <c r="I10" s="56" t="inlineStr">
        <is>
          <t>برگشت به خودکار</t>
        </is>
      </c>
      <c r="J10" s="56" t="inlineStr">
        <is>
          <t>باید ببینید: شارژ خودکار عادی از سر گرفته می‌شود و باتری مثل همیشه شارژ می‌شود. اگر در مود دستی ماند، قبول نیست.</t>
        </is>
      </c>
      <c r="K10" s="56" t="n"/>
      <c r="L10" s="59" t="inlineStr">
        <is>
          <t>در انتظار</t>
        </is>
      </c>
      <c r="M10" s="56" t="n"/>
      <c r="N10" s="56" t="n"/>
      <c r="O10" s="58" t="inlineStr">
        <is>
          <t>TESTER: fill</t>
        </is>
      </c>
      <c r="P10" s="58" t="n"/>
      <c r="Q10" s="60">
        <f>IF(OR(L10="",L10="در انتظار"),"",IF(Q10="",TODAY(),Q10))</f>
        <v/>
      </c>
    </row>
    <row r="11" ht="54" customHeight="1">
      <c r="A11" s="55" t="inlineStr">
        <is>
          <t>CH-037</t>
        </is>
      </c>
      <c r="B11" s="56" t="inlineStr">
        <is>
          <t>ورودی خارج بازه 22-30V</t>
        </is>
      </c>
      <c r="C11" s="57" t="inlineStr">
        <is>
          <t>بالا</t>
        </is>
      </c>
      <c r="D11" s="56" t="inlineStr">
        <is>
          <t>ورودی از منبع آزمایشگاهی می‌آید تا ولتاژش را عوض کنی؛ باتری وصل است</t>
        </is>
      </c>
      <c r="E11" s="56" t="inlineStr">
        <is>
          <t>گام ۱: ولتاژ ورودی را زیر ۲۲ ولت بیاور؛ شارژ نباید شروع شود.
گام ۲: به ۲۴ ولت برگردان؛ شارژ باید شروع شود.
گام ۳: ولتاژ را بالای ۳۰ ببر؛ شارژ باید بایستد.
گام ۴: به ۲۴ برگردان؛ شارژ باید خودش برگردد.</t>
        </is>
      </c>
      <c r="F11" s="58" t="inlineStr">
        <is>
          <t>ورودی: پایین، ۲۴، بالا، ۲۴ ولت</t>
        </is>
      </c>
      <c r="G11" s="58" t="inlineStr">
        <is>
          <t>پنج دقیقه</t>
        </is>
      </c>
      <c r="H11" s="56" t="inlineStr">
        <is>
          <t>خارج از بازهٔ سالم شارژ نداریم و با برگشت ورودی به ۲۴ ولت شارژ خودش برمی‌گردد</t>
        </is>
      </c>
      <c r="I11" s="56" t="inlineStr">
        <is>
          <t>بدون قفل</t>
        </is>
      </c>
      <c r="J11" s="56" t="inlineStr">
        <is>
          <t>باید ببینید: خارج از بازهٔ سالم ورودی شارژی نیست و با برگشت ورودی به ۲۴ ولت شارژ خودش برمی‌گردد. اگر خارج از بازه شارژ کرد یا برنگشت، قبول نیست.</t>
        </is>
      </c>
      <c r="K11" s="56" t="n"/>
      <c r="L11" s="67" t="inlineStr">
        <is>
          <t>نیاز به تکرار</t>
        </is>
      </c>
      <c r="M11" s="56" t="n"/>
      <c r="N11" s="56" t="n"/>
      <c r="O11" s="58" t="inlineStr">
        <is>
          <t>thermal</t>
        </is>
      </c>
      <c r="P11" s="58" t="n"/>
      <c r="Q11" s="60">
        <f>IF(OR(L11="",L11="در انتظار"),"",IF(Q11="",TODAY(),Q11))</f>
        <v/>
      </c>
    </row>
    <row r="12" ht="54" customHeight="1">
      <c r="A12" s="55" t="inlineStr">
        <is>
          <t>CH-040</t>
        </is>
      </c>
      <c r="B12" s="56" t="inlineStr">
        <is>
          <t>سناریوی ۶: باتری خراب دیگر شارژ نمی‌شود</t>
        </is>
      </c>
      <c r="C12" s="57" t="inlineStr">
        <is>
          <t>بالا</t>
        </is>
      </c>
      <c r="D12" s="56" t="inlineStr">
        <is>
          <t>از پنل زمان سناریوی باتری خراب (شناسهٔ ۱۲۵) را موقتاً روی چند دقیقه بگذار؛ یک باتری خالی وصل است</t>
        </is>
      </c>
      <c r="E12" s="56" t="inlineStr">
        <is>
          <t>گام ۱: باتری خالی را به شارژ بزن و نگذار در این مدت به شارژ کامل برسد.
گام ۲: بعد از گذشت زمان تنظیم‌شده، ببین شارژ همان کانال متوقف شده و قرمز ثابت آمده.
گام ۳: برق را قطع و وصل کن؛ شارژ آن باتری نباید دوباره شروع شود.
گام ۴: باتری را با سالم عوض کن؛ شارژ باید عادی شروع شود.
گام ۵: شناسهٔ ۱۲۵ را به مقدار واقعی (یک شبانه‌روز) برگردان.</t>
        </is>
      </c>
      <c r="F12" s="58" t="inlineStr">
        <is>
          <t>شارژ باتری خالی با زمان کوتاه‌شده</t>
        </is>
      </c>
      <c r="G12" s="58" t="inlineStr">
        <is>
          <t>چند دقیقه + زمان تنظیم‌شده</t>
        </is>
      </c>
      <c r="H12" s="56" t="inlineStr">
        <is>
          <t>بعد از زمان، آن باتری دیگر شارژ نمی‌شود تا وقتی واقعاً عوض شود</t>
        </is>
      </c>
      <c r="I12" s="56" t="inlineStr">
        <is>
          <t>قفل تا تعویض باتری</t>
        </is>
      </c>
      <c r="J12" s="56" t="inlineStr">
        <is>
          <t>باید ببینید: بعد از زمان تنظیم‌شده، آن باتری دیگر شارژ نمی‌شود تا وقتی واقعاً عوض شود؛ با باتری سالم شارژ عادی شروع می‌شود. اگر همان باتری دوباره شارژ شد، قبول نیست.</t>
        </is>
      </c>
      <c r="K12" s="56" t="n"/>
      <c r="L12" s="67" t="inlineStr">
        <is>
          <t>در انتظار</t>
        </is>
      </c>
      <c r="M12" s="56" t="n"/>
      <c r="N12" s="56" t="n"/>
      <c r="O12" s="58" t="n"/>
      <c r="P12" s="58" t="n"/>
      <c r="Q12" s="60">
        <f>IF(OR(L12="",L12="در انتظار"),"",IF(Q12="",TODAY(),Q12))</f>
        <v/>
      </c>
    </row>
    <row r="13" ht="54" customHeight="1">
      <c r="A13" s="55" t="inlineStr">
        <is>
          <t>CH-041</t>
        </is>
      </c>
      <c r="B13" s="56" t="inlineStr">
        <is>
          <t>خطای ۷: کانال بی‌جریان قفل فنی می‌سازد</t>
        </is>
      </c>
      <c r="C13" s="57" t="inlineStr">
        <is>
          <t>بالا</t>
        </is>
      </c>
      <c r="D13" s="56" t="inlineStr">
        <is>
          <t>دستگاه در حال شارژ است و فیوز خروجی هر کانال را می‌شناسی</t>
        </is>
      </c>
      <c r="E13" s="56" t="inlineStr">
        <is>
          <t>گام ۱: فیوز خروجی یک کانال را دربیاور.
گام ۲: چند ثانیه صبر کن: شارژ کلاً باید قفل شود و هر سه چراغ با هم چشمک بزنند.
گام ۳: فیوز را جا بزن؛ درست نباید بشود.
گام ۴: خاموش و روشن کن؛ شارژ عادی باید برگردد.</t>
        </is>
      </c>
      <c r="F13" s="58" t="inlineStr">
        <is>
          <t>دربیاوردن فیوز یک کانال حین شارژ</t>
        </is>
      </c>
      <c r="G13" s="58" t="inlineStr">
        <is>
          <t>پنج دقیقه</t>
        </is>
      </c>
      <c r="H13" s="56" t="inlineStr">
        <is>
          <t>خطای فنی ۷ قفل می‌شود و فقط با خاموش/روشن پاک می‌شود</t>
        </is>
      </c>
      <c r="I13" s="56" t="inlineStr">
        <is>
          <t>قفل تا ریست</t>
        </is>
      </c>
      <c r="J13" s="56" t="inlineStr">
        <is>
          <t>باید ببینید: خطای فنی قفل می‌شود و فقط با خاموش و روشن‌کردن دستگاه پاک می‌شود. اگر شارژ بی‌جریان ادامه داشت، قبول نیست.</t>
        </is>
      </c>
      <c r="K13" s="56" t="n"/>
      <c r="L13" s="67" t="inlineStr">
        <is>
          <t>در انتظار</t>
        </is>
      </c>
      <c r="M13" s="56" t="n"/>
      <c r="N13" s="56" t="n"/>
      <c r="O13" s="58" t="n"/>
      <c r="P13" s="58" t="n"/>
      <c r="Q13" s="60">
        <f>IF(OR(L13="",L13="در انتظار"),"",IF(Q13="",TODAY(),Q13))</f>
        <v/>
      </c>
    </row>
    <row r="14" ht="54" customHeight="1">
      <c r="A14" s="55" t="inlineStr">
        <is>
          <t>CH-006</t>
        </is>
      </c>
      <c r="B14" s="56" t="inlineStr">
        <is>
          <t>شستشوی ABSORB</t>
        </is>
      </c>
      <c r="C14" s="58" t="inlineStr">
        <is>
          <t>متوسط</t>
        </is>
      </c>
      <c r="D14" s="56" t="inlineStr">
        <is>
          <t>باتری در شارژ پایانی (جذب) است</t>
        </is>
      </c>
      <c r="E14" s="56" t="inlineStr">
        <is>
          <t>گام ۱: حین شارژ پایانی، یک مصرف کوتاه و واقعی از باتری بکش (مثلاً یک لامپ را چند ثانیه روشن کن) و بردار.
گام ۲: رفتار شارژر را نگاه کن.</t>
        </is>
      </c>
      <c r="F14" s="58" t="inlineStr">
        <is>
          <t>مصرف کوتاه حین شارژ پایانی</t>
        </is>
      </c>
      <c r="G14" s="58" t="inlineStr">
        <is>
          <t>پنج دقیقه</t>
        </is>
      </c>
      <c r="H14" s="56" t="inlineStr">
        <is>
          <t>شارژر به شارژ تند برنمی‌گردد؛ همان شارژ پایانی آرام را ادامه می‌دهد تا باتری کامل شود</t>
        </is>
      </c>
      <c r="I14" s="56" t="inlineStr">
        <is>
          <t>بدون برگشت به شارژ تند</t>
        </is>
      </c>
      <c r="J14" s="56" t="inlineStr">
        <is>
          <t>باید ببینید: شارژر به شارژ تند برنمی‌گردد و همان شارژ پایانی آرام را ادامه می‌دهد تا باتری کامل شود. اگر به جریان کامل برگشت، قبول نیست.</t>
        </is>
      </c>
      <c r="K14" s="56" t="n"/>
      <c r="L14" s="59" t="inlineStr">
        <is>
          <t>در انتظار</t>
        </is>
      </c>
      <c r="M14" s="56" t="n"/>
      <c r="N14" s="56" t="n"/>
      <c r="O14" s="58" t="inlineStr">
        <is>
          <t>TESTER: fill</t>
        </is>
      </c>
      <c r="P14" s="58" t="n"/>
      <c r="Q14" s="60">
        <f>IF(OR(L14="",L14="در انتظار"),"",IF(Q14="",TODAY(),Q14))</f>
        <v/>
      </c>
    </row>
    <row r="15" ht="54" customHeight="1">
      <c r="A15" s="55" t="inlineStr">
        <is>
          <t>CH-007</t>
        </is>
      </c>
      <c r="B15" s="61" t="inlineStr">
        <is>
          <t>FLOAT و reentry</t>
        </is>
      </c>
      <c r="C15" s="63" t="inlineStr">
        <is>
          <t>متوسط</t>
        </is>
      </c>
      <c r="D15" s="61" t="inlineStr">
        <is>
          <t>باتری کاملاً پر شده و شارژ به حالت نگهداری رسیده (جریان خیلی کم)</t>
        </is>
      </c>
      <c r="E15" s="61" t="inlineStr">
        <is>
          <t>گام ۱: بگذار باتری کامل پر و شارژ آرام شود.
گام ۲: یک بار واقعی روی خروجی بکش تا باتری کمی خالی شود.
گام ۳: نگاه کن شارژ دوباره کی و چطور شروع می‌شود.</t>
        </is>
      </c>
      <c r="F15" s="63" t="inlineStr">
        <is>
          <t>باتری پر، بعد کمی مصرف واقعی</t>
        </is>
      </c>
      <c r="G15" s="63" t="inlineStr">
        <is>
          <t>ده دقیقه</t>
        </is>
      </c>
      <c r="H15" s="61" t="inlineStr">
        <is>
          <t>در حالت پر، جریان نگهداری خیلی کم است؛ با کمی خالی‌شدن، شارژ خودش دوباره شروع می‌شود</t>
        </is>
      </c>
      <c r="I15" s="61" t="inlineStr">
        <is>
          <t>رفت‌وبرگشت خودکار پر/شارژ</t>
        </is>
      </c>
      <c r="J15" s="61" t="inlineStr">
        <is>
          <t>باید ببینید: در حالت پر جریان نگهداری خیلی کم است و با کمی خالی‌شدن باتری، شارژ خودش دوباره شروع می‌شود. اگر دوباره شارژ نشد یا بی‌وقفه شارژ کرد، قبول نیست.</t>
        </is>
      </c>
      <c r="K15" s="61" t="n"/>
      <c r="L15" s="59" t="inlineStr">
        <is>
          <t>در انتظار</t>
        </is>
      </c>
      <c r="M15" s="61" t="n"/>
      <c r="N15" s="61" t="n"/>
      <c r="O15" s="63" t="inlineStr">
        <is>
          <t>TESTER: fill</t>
        </is>
      </c>
      <c r="P15" s="63" t="n"/>
      <c r="Q15" s="64">
        <f>IF(OR(L15="",L15="در انتظار"),"",IF(Q15="",TODAY(),Q15))</f>
        <v/>
      </c>
    </row>
    <row r="16" ht="54" customHeight="1">
      <c r="A16" s="55" t="inlineStr">
        <is>
          <t>CH-014</t>
        </is>
      </c>
      <c r="B16" s="56" t="inlineStr">
        <is>
          <t>مود دستی: ددمن لینک</t>
        </is>
      </c>
      <c r="C16" s="57" t="inlineStr">
        <is>
          <t>متوسط</t>
        </is>
      </c>
      <c r="D16" s="56" t="inlineStr">
        <is>
          <t>شارژر در مود تست دستی و در حال اجرای فرمان دستی است</t>
        </is>
      </c>
      <c r="E16" s="65" t="inlineStr">
        <is>
          <t>گام ۱: کابل ارتباطی پنل (ESP) را بکش تا فرمان تازه‌ای نرسد.
گام ۲: کرنومتر بگیر و شارژر را نگاه کن.
گام ۳: کابل را وصل کن.</t>
        </is>
      </c>
      <c r="F16" s="58" t="inlineStr">
        <is>
          <t>قطع ارتباط پنل حین مود دستی</t>
        </is>
      </c>
      <c r="G16" s="58" t="inlineStr">
        <is>
          <t>دو دقیقه</t>
        </is>
      </c>
      <c r="H16" s="56" t="inlineStr">
        <is>
          <t>بعد از چند ثانیه بی‌ارتباطی، شارژ دستی خودش متوقف می‌شود؛ نباید بی‌صاحب ادامه دهد</t>
        </is>
      </c>
      <c r="I16" s="56" t="inlineStr">
        <is>
          <t>توقف خودکار با قطع ارتباط</t>
        </is>
      </c>
      <c r="J16" s="56" t="inlineStr">
        <is>
          <t>باید ببینید: بعد از چند ثانیه قطع ارتباط، شارژ دستی خودش متوقف می‌شود و بی‌صاحب ادامه نمی‌دهد. اگر بی‌ارتباط هم ادامه داد، قبول نیست.</t>
        </is>
      </c>
      <c r="K16" s="56" t="n"/>
      <c r="L16" s="59" t="inlineStr">
        <is>
          <t>در انتظار</t>
        </is>
      </c>
      <c r="M16" s="56" t="n"/>
      <c r="N16" s="56" t="n"/>
      <c r="O16" s="58" t="inlineStr">
        <is>
          <t>TESTER: fill</t>
        </is>
      </c>
      <c r="P16" s="58" t="n"/>
      <c r="Q16" s="60">
        <f>IF(OR(L16="",L16="در انتظار"),"",IF(Q16="",TODAY(),Q16))</f>
        <v/>
      </c>
    </row>
    <row r="17" ht="54" customHeight="1">
      <c r="A17" s="55" t="inlineStr">
        <is>
          <t>CH-016</t>
        </is>
      </c>
      <c r="B17" s="56" t="inlineStr">
        <is>
          <t>مود دستی: قطع 15V</t>
        </is>
      </c>
      <c r="C17" s="57" t="inlineStr">
        <is>
          <t>متوسط</t>
        </is>
      </c>
      <c r="D17" s="56" t="inlineStr">
        <is>
          <t>شارژر در مود تست دستی در حال کار است</t>
        </is>
      </c>
      <c r="E17" s="56" t="inlineStr">
        <is>
          <t>گام ۱: برق طبقهٔ قدرت شارژر را قطع کن (همان کاری که در تعمیرات می‌کنی).
گام ۲: رفتار کانال را ببین.
گام ۳: برق را برگردان.</t>
        </is>
      </c>
      <c r="F17" s="58" t="inlineStr">
        <is>
          <t>قطع و وصل برق طبقهٔ قدرت در مود دستی</t>
        </is>
      </c>
      <c r="G17" s="58" t="inlineStr">
        <is>
          <t>یک دقیقه</t>
        </is>
      </c>
      <c r="H17" s="56" t="inlineStr">
        <is>
          <t>کانال همان لحظه بیکار و بی‌خطر می‌شود و با برگشت برق، رفتار عادی برمی‌گردد</t>
        </is>
      </c>
      <c r="I17" s="56" t="inlineStr">
        <is>
          <t>بدون قفل اضافه</t>
        </is>
      </c>
      <c r="J17" s="56" t="inlineStr">
        <is>
          <t>باید ببینید: کانال همان لحظه بیکار و بی‌خطر می‌شود و با برگشت برق رفتار عادی برمی‌گردد. اگر رفتار غیرعادی دیدید، قبول نیست.</t>
        </is>
      </c>
      <c r="K17" s="56" t="n"/>
      <c r="L17" s="59" t="inlineStr">
        <is>
          <t>در انتظار</t>
        </is>
      </c>
      <c r="M17" s="56" t="n"/>
      <c r="N17" s="56" t="n"/>
      <c r="O17" s="58" t="inlineStr">
        <is>
          <t>TESTER: fill</t>
        </is>
      </c>
      <c r="P17" s="58" t="n"/>
      <c r="Q17" s="60">
        <f>IF(OR(L17="",L17="در انتظار"),"",IF(Q17="",TODAY(),Q17))</f>
        <v/>
      </c>
    </row>
    <row r="18" ht="54" customHeight="1">
      <c r="A18" s="55" t="inlineStr">
        <is>
          <t>CH-017</t>
        </is>
      </c>
      <c r="B18" s="61" t="inlineStr">
        <is>
          <t>مود دستی: قطع کانال</t>
        </is>
      </c>
      <c r="C18" s="63" t="inlineStr">
        <is>
          <t>متوسط</t>
        </is>
      </c>
      <c r="D18" s="61" t="inlineStr">
        <is>
          <t>هر دو کانال شارژر در مود دستی در حال کارند (دو باتری وصل)</t>
        </is>
      </c>
      <c r="E18" s="66" t="inlineStr">
        <is>
          <t>گام ۱: از پنل فقط یک کانال را خاموش کن.
گام ۲: هر دو کانال را نگاه کن.
گام ۳: کانال خاموش را دوباره روشن کن.</t>
        </is>
      </c>
      <c r="F18" s="63" t="inlineStr">
        <is>
          <t>خاموش/روشن کردن یک کانال از پنل</t>
        </is>
      </c>
      <c r="G18" s="63" t="inlineStr">
        <is>
          <t>دو دقیقه</t>
        </is>
      </c>
      <c r="H18" s="61" t="inlineStr">
        <is>
          <t>فقط همان کانال می‌ایستد و کانال دیگر بی‌تغییر ادامه می‌دهد</t>
        </is>
      </c>
      <c r="I18" s="61" t="inlineStr">
        <is>
          <t>استقلال دو کانال</t>
        </is>
      </c>
      <c r="J18" s="61" t="inlineStr">
        <is>
          <t>باید ببینید: فقط همان کانال می‌ایستد و کانال دیگر بی‌تغییر ادامه می‌دهد. اگر روی کانال دیگر اثر گذاشت، قبول نیست.</t>
        </is>
      </c>
      <c r="K18" s="61" t="n"/>
      <c r="L18" s="59" t="inlineStr">
        <is>
          <t>در انتظار</t>
        </is>
      </c>
      <c r="M18" s="61" t="n"/>
      <c r="N18" s="61" t="n"/>
      <c r="O18" s="63" t="inlineStr">
        <is>
          <t>TESTER: fill</t>
        </is>
      </c>
      <c r="P18" s="63" t="n"/>
      <c r="Q18" s="64">
        <f>IF(OR(L18="",L18="در انتظار"),"",IF(Q18="",TODAY(),Q18))</f>
        <v/>
      </c>
    </row>
    <row r="19" ht="54" customHeight="1">
      <c r="A19" s="55" t="inlineStr">
        <is>
          <t>CH-019</t>
        </is>
      </c>
      <c r="B19" s="61" t="inlineStr">
        <is>
          <t>سقف duty زنده</t>
        </is>
      </c>
      <c r="C19" s="63" t="inlineStr">
        <is>
          <t>متوسط</t>
        </is>
      </c>
      <c r="D19" s="61" t="inlineStr">
        <is>
          <t>دستگاه در حال شارژ یک باتری نیمه‌خالی است</t>
        </is>
      </c>
      <c r="E19" s="61" t="inlineStr">
        <is>
          <t>گام ۱: از پنل سقف توان شارژ را کمتر کن.
گام ۲: جریان شارژ را در پنل یا آمپرمتر ببین.
گام ۳: سقف را به حالت اول برگردان.</t>
        </is>
      </c>
      <c r="F19" s="63" t="inlineStr">
        <is>
          <t>کم و زیاد کردن سقف توان از پنل</t>
        </is>
      </c>
      <c r="G19" s="63" t="inlineStr">
        <is>
          <t>پنج دقیقه</t>
        </is>
      </c>
      <c r="H19" s="61" t="inlineStr">
        <is>
          <t>جریان شارژ به همان نسبت کم و زیاد می‌شود، بدون اینکه دستگاه خاموش یا خطادار شود</t>
        </is>
      </c>
      <c r="I19" s="61" t="inlineStr">
        <is>
          <t>بدون قفل</t>
        </is>
      </c>
      <c r="J19" s="61" t="inlineStr">
        <is>
          <t>باید ببینید: جریان شارژ به همان نسبت سقف کم و زیاد می‌شود و دستگاه خاموش یا خطادار نمی‌شود. اگر سقف بی‌اثر بود، قبول نیست.</t>
        </is>
      </c>
      <c r="K19" s="61" t="n"/>
      <c r="L19" s="59" t="inlineStr">
        <is>
          <t>در انتظار</t>
        </is>
      </c>
      <c r="M19" s="61" t="n"/>
      <c r="N19" s="61" t="n"/>
      <c r="O19" s="63" t="inlineStr">
        <is>
          <t>TESTER: fill</t>
        </is>
      </c>
      <c r="P19" s="63" t="n"/>
      <c r="Q19" s="64">
        <f>IF(OR(L19="",L19="در انتظار"),"",IF(Q19="",TODAY(),Q19))</f>
        <v/>
      </c>
    </row>
    <row r="20" ht="54" customHeight="1">
      <c r="A20" s="55" t="inlineStr">
        <is>
          <t>CH-036</t>
        </is>
      </c>
      <c r="B20" s="61" t="inlineStr">
        <is>
          <t>استراحت حرارتی 1h-&gt;10min</t>
        </is>
      </c>
      <c r="C20" s="62" t="inlineStr">
        <is>
          <t>متوسط</t>
        </is>
      </c>
      <c r="D20" s="61" t="inlineStr">
        <is>
          <t>دو باتری خالی واقعی وصل و هر دو کانال آمادهٔ شارژ سنگین‌اند</t>
        </is>
      </c>
      <c r="E20" s="61" t="inlineStr">
        <is>
          <t>گام ۱: هر دو کانال را با باتری خالی به شارژ بزن.
گام ۲: حدود یک ساعت شارژ سنگین را زیر نظر بگیر (هر از چندی سر بزن).
گام ۳: بعد از حدود یک ساعت، هر کانال باید حدود ده دقیقه استراحت کند: جریان صفر ولی باتری وصل می‌ماند.
گام ۴: بعد از استراحت، شارژ باید خودش ادامه پیدا کند.</t>
        </is>
      </c>
      <c r="F20" s="63" t="inlineStr">
        <is>
          <t>یک ساعت شارژ سنگین هر دو کانال</t>
        </is>
      </c>
      <c r="G20" s="63" t="inlineStr">
        <is>
          <t>حدود یک ساعت و نیم</t>
        </is>
      </c>
      <c r="H20" s="61" t="inlineStr">
        <is>
          <t>بعد از یک ساعت شارژ سنگین، هر کانال ده دقیقه استراحت می‌کند و بعد خودش به شارژ برمی‌گردد</t>
        </is>
      </c>
      <c r="I20" s="61" t="inlineStr">
        <is>
          <t>استراحت و ادامهٔ خودکار</t>
        </is>
      </c>
      <c r="J20" s="61" t="inlineStr">
        <is>
          <t>باید ببینید: بعد از حدود یک ساعت شارژ سنگین، کانال حدود ده دقیقه استراحت می‌کند و بعد خودش به شارژ برمی‌گردد. اگر بی‌وقفه چند ساعت شارژ کرد یا برای همیشه ایستاد، قبول نیست.</t>
        </is>
      </c>
      <c r="K20" s="61" t="n"/>
      <c r="L20" s="67" t="inlineStr">
        <is>
          <t>نیاز به تکرار</t>
        </is>
      </c>
      <c r="M20" s="61" t="n"/>
      <c r="N20" s="61" t="n"/>
      <c r="O20" s="63" t="inlineStr">
        <is>
          <t>thermal</t>
        </is>
      </c>
      <c r="P20" s="63" t="n"/>
      <c r="Q20" s="64">
        <f>IF(OR(L20="",L20="در انتظار"),"",IF(Q20="",TODAY(),Q20))</f>
        <v/>
      </c>
    </row>
    <row r="21">
      <c r="A21" s="83" t="n"/>
      <c r="B21" s="83" t="n"/>
      <c r="C21" s="83" t="n"/>
      <c r="D21" s="83" t="n"/>
      <c r="E21" s="83" t="n"/>
      <c r="F21" s="83" t="n"/>
      <c r="G21" s="83" t="n"/>
      <c r="H21" s="83" t="n"/>
      <c r="I21" s="83" t="n"/>
      <c r="J21" s="83" t="n"/>
      <c r="K21" s="83" t="n"/>
      <c r="L21" s="83" t="n"/>
      <c r="M21" s="83" t="n"/>
      <c r="N21" s="83" t="n"/>
      <c r="O21" s="83" t="n"/>
      <c r="P21" s="83" t="n"/>
      <c r="Q21" s="84" t="n"/>
    </row>
    <row r="22">
      <c r="A22" s="83" t="n"/>
      <c r="B22" s="83" t="n"/>
      <c r="C22" s="83" t="n"/>
      <c r="D22" s="83" t="n"/>
      <c r="E22" s="83" t="n"/>
      <c r="F22" s="83" t="n"/>
      <c r="G22" s="83" t="n"/>
      <c r="H22" s="83" t="n"/>
      <c r="I22" s="83" t="n"/>
      <c r="J22" s="83" t="n"/>
      <c r="K22" s="83" t="n"/>
      <c r="L22" s="83" t="n"/>
      <c r="M22" s="83" t="n"/>
      <c r="N22" s="83" t="n"/>
      <c r="O22" s="83" t="n"/>
      <c r="P22" s="83" t="n"/>
      <c r="Q22" s="84" t="n"/>
    </row>
    <row r="23">
      <c r="A23" s="83" t="n"/>
      <c r="B23" s="83" t="n"/>
      <c r="C23" s="83" t="n"/>
      <c r="D23" s="83" t="n"/>
      <c r="E23" s="83" t="n"/>
      <c r="F23" s="83" t="n"/>
      <c r="G23" s="83" t="n"/>
      <c r="H23" s="83" t="n"/>
      <c r="I23" s="83" t="n"/>
      <c r="J23" s="83" t="n"/>
      <c r="K23" s="83" t="n"/>
      <c r="L23" s="83" t="n"/>
      <c r="M23" s="83" t="n"/>
      <c r="N23" s="83" t="n"/>
      <c r="O23" s="83" t="n"/>
      <c r="P23" s="83" t="n"/>
      <c r="Q23" s="84" t="n"/>
    </row>
    <row r="24">
      <c r="A24" s="83" t="n"/>
      <c r="B24" s="83" t="n"/>
      <c r="C24" s="83" t="n"/>
      <c r="D24" s="83" t="n"/>
      <c r="E24" s="83" t="n"/>
      <c r="F24" s="83" t="n"/>
      <c r="G24" s="83" t="n"/>
      <c r="H24" s="83" t="n"/>
      <c r="I24" s="83" t="n"/>
      <c r="J24" s="83" t="n"/>
      <c r="K24" s="83" t="n"/>
      <c r="L24" s="83" t="n"/>
      <c r="M24" s="83" t="n"/>
      <c r="N24" s="83" t="n"/>
      <c r="O24" s="83" t="n"/>
      <c r="P24" s="83" t="n"/>
      <c r="Q24" s="84" t="n"/>
    </row>
    <row r="25">
      <c r="A25" s="83" t="n"/>
      <c r="B25" s="83" t="n"/>
      <c r="C25" s="83" t="n"/>
      <c r="D25" s="83" t="n"/>
      <c r="E25" s="83" t="n"/>
      <c r="F25" s="83" t="n"/>
      <c r="G25" s="83" t="n"/>
      <c r="H25" s="83" t="n"/>
      <c r="I25" s="83" t="n"/>
      <c r="J25" s="83" t="n"/>
      <c r="K25" s="83" t="n"/>
      <c r="L25" s="83" t="n"/>
      <c r="M25" s="83" t="n"/>
      <c r="N25" s="83" t="n"/>
      <c r="O25" s="83" t="n"/>
      <c r="P25" s="83" t="n"/>
      <c r="Q25" s="84" t="n"/>
    </row>
    <row r="26">
      <c r="A26" s="83" t="n"/>
      <c r="B26" s="83" t="n"/>
      <c r="C26" s="83" t="n"/>
      <c r="D26" s="83" t="n"/>
      <c r="E26" s="83" t="n"/>
      <c r="F26" s="83" t="n"/>
      <c r="G26" s="83" t="n"/>
      <c r="H26" s="83" t="n"/>
      <c r="I26" s="83" t="n"/>
      <c r="J26" s="83" t="n"/>
      <c r="K26" s="83" t="n"/>
      <c r="L26" s="83" t="n"/>
      <c r="M26" s="83" t="n"/>
      <c r="N26" s="83" t="n"/>
      <c r="O26" s="83" t="n"/>
      <c r="P26" s="83" t="n"/>
      <c r="Q26" s="84" t="n"/>
    </row>
    <row r="27">
      <c r="A27" s="83" t="n"/>
      <c r="B27" s="83" t="n"/>
      <c r="C27" s="83" t="n"/>
      <c r="D27" s="83" t="n"/>
      <c r="E27" s="83" t="n"/>
      <c r="F27" s="83" t="n"/>
      <c r="G27" s="83" t="n"/>
      <c r="H27" s="83" t="n"/>
      <c r="I27" s="83" t="n"/>
      <c r="J27" s="83" t="n"/>
      <c r="K27" s="83" t="n"/>
      <c r="L27" s="83" t="n"/>
      <c r="M27" s="83" t="n"/>
      <c r="N27" s="83" t="n"/>
      <c r="O27" s="83" t="n"/>
      <c r="P27" s="83" t="n"/>
      <c r="Q27" s="84" t="n"/>
    </row>
    <row r="28">
      <c r="A28" s="83" t="n"/>
      <c r="B28" s="83" t="n"/>
      <c r="C28" s="83" t="n"/>
      <c r="D28" s="83" t="n"/>
      <c r="E28" s="83" t="n"/>
      <c r="F28" s="83" t="n"/>
      <c r="G28" s="83" t="n"/>
      <c r="H28" s="83" t="n"/>
      <c r="I28" s="83" t="n"/>
      <c r="J28" s="83" t="n"/>
      <c r="K28" s="83" t="n"/>
      <c r="L28" s="83" t="n"/>
      <c r="M28" s="83" t="n"/>
      <c r="N28" s="83" t="n"/>
      <c r="O28" s="83" t="n"/>
      <c r="P28" s="83" t="n"/>
      <c r="Q28" s="84" t="n"/>
    </row>
    <row r="29">
      <c r="A29" s="83" t="n"/>
      <c r="B29" s="83" t="n"/>
      <c r="C29" s="83" t="n"/>
      <c r="D29" s="83" t="n"/>
      <c r="E29" s="83" t="n"/>
      <c r="F29" s="83" t="n"/>
      <c r="G29" s="83" t="n"/>
      <c r="H29" s="83" t="n"/>
      <c r="I29" s="83" t="n"/>
      <c r="J29" s="83" t="n"/>
      <c r="K29" s="83" t="n"/>
      <c r="L29" s="83" t="n"/>
      <c r="M29" s="83" t="n"/>
      <c r="N29" s="83" t="n"/>
      <c r="O29" s="83" t="n"/>
      <c r="P29" s="83" t="n"/>
      <c r="Q29" s="84" t="n"/>
    </row>
    <row r="30">
      <c r="A30" s="83" t="n"/>
      <c r="B30" s="83" t="n"/>
      <c r="C30" s="83" t="n"/>
      <c r="D30" s="83" t="n"/>
      <c r="E30" s="83" t="n"/>
      <c r="F30" s="83" t="n"/>
      <c r="G30" s="83" t="n"/>
      <c r="H30" s="83" t="n"/>
      <c r="I30" s="83" t="n"/>
      <c r="J30" s="83" t="n"/>
      <c r="K30" s="83" t="n"/>
      <c r="L30" s="83" t="n"/>
      <c r="M30" s="83" t="n"/>
      <c r="N30" s="83" t="n"/>
      <c r="O30" s="83" t="n"/>
      <c r="P30" s="83" t="n"/>
      <c r="Q30" s="84" t="n"/>
    </row>
    <row r="31">
      <c r="A31" s="83" t="n"/>
      <c r="B31" s="83" t="n"/>
      <c r="C31" s="83" t="n"/>
      <c r="D31" s="83" t="n"/>
      <c r="E31" s="83" t="n"/>
      <c r="F31" s="83" t="n"/>
      <c r="G31" s="83" t="n"/>
      <c r="H31" s="83" t="n"/>
      <c r="I31" s="83" t="n"/>
      <c r="J31" s="83" t="n"/>
      <c r="K31" s="83" t="n"/>
      <c r="L31" s="83" t="n"/>
      <c r="M31" s="83" t="n"/>
      <c r="N31" s="83" t="n"/>
      <c r="O31" s="83" t="n"/>
      <c r="P31" s="83" t="n"/>
      <c r="Q31" s="84" t="n"/>
    </row>
    <row r="32">
      <c r="A32" s="83" t="n"/>
      <c r="B32" s="83" t="n"/>
      <c r="C32" s="83" t="n"/>
      <c r="D32" s="83" t="n"/>
      <c r="E32" s="83" t="n"/>
      <c r="F32" s="83" t="n"/>
      <c r="G32" s="83" t="n"/>
      <c r="H32" s="83" t="n"/>
      <c r="I32" s="83" t="n"/>
      <c r="J32" s="83" t="n"/>
      <c r="K32" s="83" t="n"/>
      <c r="L32" s="83" t="n"/>
      <c r="M32" s="83" t="n"/>
      <c r="N32" s="83" t="n"/>
      <c r="O32" s="83" t="n"/>
      <c r="P32" s="83" t="n"/>
      <c r="Q32" s="84" t="n"/>
    </row>
    <row r="33">
      <c r="A33" s="83" t="n"/>
      <c r="B33" s="83" t="n"/>
      <c r="C33" s="83" t="n"/>
      <c r="D33" s="83" t="n"/>
      <c r="E33" s="83" t="n"/>
      <c r="F33" s="83" t="n"/>
      <c r="G33" s="83" t="n"/>
      <c r="H33" s="83" t="n"/>
      <c r="I33" s="83" t="n"/>
      <c r="J33" s="83" t="n"/>
      <c r="K33" s="83" t="n"/>
      <c r="L33" s="83" t="n"/>
      <c r="M33" s="83" t="n"/>
      <c r="N33" s="83" t="n"/>
      <c r="O33" s="83" t="n"/>
      <c r="P33" s="83" t="n"/>
      <c r="Q33" s="84" t="n"/>
    </row>
    <row r="34">
      <c r="A34" s="83" t="n"/>
      <c r="B34" s="83" t="n"/>
      <c r="C34" s="83" t="n"/>
      <c r="D34" s="83" t="n"/>
      <c r="E34" s="83" t="n"/>
      <c r="F34" s="83" t="n"/>
      <c r="G34" s="83" t="n"/>
      <c r="H34" s="83" t="n"/>
      <c r="I34" s="83" t="n"/>
      <c r="J34" s="83" t="n"/>
      <c r="K34" s="83" t="n"/>
      <c r="L34" s="83" t="n"/>
      <c r="M34" s="83" t="n"/>
      <c r="N34" s="83" t="n"/>
      <c r="O34" s="83" t="n"/>
      <c r="P34" s="83" t="n"/>
      <c r="Q34" s="84" t="n"/>
    </row>
    <row r="35">
      <c r="A35" s="83" t="n"/>
      <c r="B35" s="83" t="n"/>
      <c r="C35" s="83" t="n"/>
      <c r="D35" s="83" t="n"/>
      <c r="E35" s="83" t="n"/>
      <c r="F35" s="83" t="n"/>
      <c r="G35" s="83" t="n"/>
      <c r="H35" s="83" t="n"/>
      <c r="I35" s="83" t="n"/>
      <c r="J35" s="83" t="n"/>
      <c r="K35" s="83" t="n"/>
      <c r="L35" s="83" t="n"/>
      <c r="M35" s="83" t="n"/>
      <c r="N35" s="83" t="n"/>
      <c r="O35" s="83" t="n"/>
      <c r="P35" s="83" t="n"/>
      <c r="Q35" s="84" t="n"/>
    </row>
    <row r="36">
      <c r="A36" s="83" t="n"/>
      <c r="B36" s="83" t="n"/>
      <c r="C36" s="83" t="n"/>
      <c r="D36" s="83" t="n"/>
      <c r="E36" s="83" t="n"/>
      <c r="F36" s="83" t="n"/>
      <c r="G36" s="83" t="n"/>
      <c r="H36" s="83" t="n"/>
      <c r="I36" s="83" t="n"/>
      <c r="J36" s="83" t="n"/>
      <c r="K36" s="83" t="n"/>
      <c r="L36" s="83" t="n"/>
      <c r="M36" s="83" t="n"/>
      <c r="N36" s="83" t="n"/>
      <c r="O36" s="83" t="n"/>
      <c r="P36" s="83" t="n"/>
      <c r="Q36" s="84" t="n"/>
    </row>
    <row r="37">
      <c r="A37" s="83" t="n"/>
      <c r="B37" s="83" t="n"/>
      <c r="C37" s="83" t="n"/>
      <c r="D37" s="83" t="n"/>
      <c r="E37" s="83" t="n"/>
      <c r="F37" s="83" t="n"/>
      <c r="G37" s="83" t="n"/>
      <c r="H37" s="83" t="n"/>
      <c r="I37" s="83" t="n"/>
      <c r="J37" s="83" t="n"/>
      <c r="K37" s="83" t="n"/>
      <c r="L37" s="83" t="n"/>
      <c r="M37" s="83" t="n"/>
      <c r="N37" s="83" t="n"/>
      <c r="O37" s="83" t="n"/>
      <c r="P37" s="83" t="n"/>
      <c r="Q37" s="84" t="n"/>
    </row>
    <row r="38">
      <c r="A38" s="83" t="n"/>
      <c r="B38" s="83" t="n"/>
      <c r="C38" s="83" t="n"/>
      <c r="D38" s="83" t="n"/>
      <c r="E38" s="83" t="n"/>
      <c r="F38" s="83" t="n"/>
      <c r="G38" s="83" t="n"/>
      <c r="H38" s="83" t="n"/>
      <c r="I38" s="83" t="n"/>
      <c r="J38" s="83" t="n"/>
      <c r="K38" s="83" t="n"/>
      <c r="L38" s="83" t="n"/>
      <c r="M38" s="83" t="n"/>
      <c r="N38" s="83" t="n"/>
      <c r="O38" s="83" t="n"/>
      <c r="P38" s="83" t="n"/>
      <c r="Q38" s="84" t="n"/>
    </row>
    <row r="39">
      <c r="A39" s="83" t="n"/>
      <c r="B39" s="83" t="n"/>
      <c r="C39" s="83" t="n"/>
      <c r="D39" s="83" t="n"/>
      <c r="E39" s="83" t="n"/>
      <c r="F39" s="83" t="n"/>
      <c r="G39" s="83" t="n"/>
      <c r="H39" s="83" t="n"/>
      <c r="I39" s="83" t="n"/>
      <c r="J39" s="83" t="n"/>
      <c r="K39" s="83" t="n"/>
      <c r="L39" s="83" t="n"/>
      <c r="M39" s="83" t="n"/>
      <c r="N39" s="83" t="n"/>
      <c r="O39" s="83" t="n"/>
      <c r="P39" s="83" t="n"/>
      <c r="Q39" s="84" t="n"/>
    </row>
    <row r="40">
      <c r="A40" s="83" t="n"/>
      <c r="B40" s="83" t="n"/>
      <c r="C40" s="83" t="n"/>
      <c r="D40" s="83" t="n"/>
      <c r="E40" s="83" t="n"/>
      <c r="F40" s="83" t="n"/>
      <c r="G40" s="83" t="n"/>
      <c r="H40" s="83" t="n"/>
      <c r="I40" s="83" t="n"/>
      <c r="J40" s="83" t="n"/>
      <c r="K40" s="83" t="n"/>
      <c r="L40" s="83" t="n"/>
      <c r="M40" s="83" t="n"/>
      <c r="N40" s="83" t="n"/>
      <c r="O40" s="83" t="n"/>
      <c r="P40" s="83" t="n"/>
      <c r="Q40" s="84" t="n"/>
    </row>
    <row r="41">
      <c r="A41" s="83" t="n"/>
      <c r="B41" s="83" t="n"/>
      <c r="C41" s="83" t="n"/>
      <c r="D41" s="83" t="n"/>
      <c r="E41" s="83" t="n"/>
      <c r="F41" s="83" t="n"/>
      <c r="G41" s="83" t="n"/>
      <c r="H41" s="83" t="n"/>
      <c r="I41" s="83" t="n"/>
      <c r="J41" s="83" t="n"/>
      <c r="K41" s="83" t="n"/>
      <c r="L41" s="83" t="n"/>
      <c r="M41" s="83" t="n"/>
      <c r="N41" s="83" t="n"/>
      <c r="O41" s="83" t="n"/>
      <c r="P41" s="83" t="n"/>
      <c r="Q41" s="84" t="n"/>
    </row>
    <row r="42">
      <c r="A42" s="83" t="n"/>
      <c r="B42" s="83" t="n"/>
      <c r="C42" s="83" t="n"/>
      <c r="D42" s="83" t="n"/>
      <c r="E42" s="83" t="n"/>
      <c r="F42" s="83" t="n"/>
      <c r="G42" s="83" t="n"/>
      <c r="H42" s="83" t="n"/>
      <c r="I42" s="83" t="n"/>
      <c r="J42" s="83" t="n"/>
      <c r="K42" s="83" t="n"/>
      <c r="L42" s="83" t="n"/>
      <c r="M42" s="83" t="n"/>
      <c r="N42" s="83" t="n"/>
      <c r="O42" s="83" t="n"/>
      <c r="P42" s="83" t="n"/>
      <c r="Q42" s="84" t="n"/>
    </row>
    <row r="43">
      <c r="A43" s="83" t="n"/>
      <c r="B43" s="83" t="n"/>
      <c r="C43" s="83" t="n"/>
      <c r="D43" s="83" t="n"/>
      <c r="E43" s="83" t="n"/>
      <c r="F43" s="83" t="n"/>
      <c r="G43" s="83" t="n"/>
      <c r="H43" s="83" t="n"/>
      <c r="I43" s="83" t="n"/>
      <c r="J43" s="83" t="n"/>
      <c r="K43" s="83" t="n"/>
      <c r="L43" s="83" t="n"/>
      <c r="M43" s="83" t="n"/>
      <c r="N43" s="83" t="n"/>
      <c r="O43" s="83" t="n"/>
      <c r="P43" s="83" t="n"/>
      <c r="Q43" s="84" t="n"/>
    </row>
    <row r="44">
      <c r="A44" s="83" t="n"/>
      <c r="B44" s="83" t="n"/>
      <c r="C44" s="83" t="n"/>
      <c r="D44" s="83" t="n"/>
      <c r="E44" s="83" t="n"/>
      <c r="F44" s="83" t="n"/>
      <c r="G44" s="83" t="n"/>
      <c r="H44" s="83" t="n"/>
      <c r="I44" s="83" t="n"/>
      <c r="J44" s="83" t="n"/>
      <c r="K44" s="83" t="n"/>
      <c r="L44" s="83" t="n"/>
      <c r="M44" s="83" t="n"/>
      <c r="N44" s="83" t="n"/>
      <c r="O44" s="83" t="n"/>
      <c r="P44" s="83" t="n"/>
      <c r="Q44" s="84" t="n"/>
    </row>
    <row r="45">
      <c r="A45" s="83" t="n"/>
      <c r="B45" s="83" t="n"/>
      <c r="C45" s="83" t="n"/>
      <c r="D45" s="83" t="n"/>
      <c r="E45" s="83" t="n"/>
      <c r="F45" s="83" t="n"/>
      <c r="G45" s="83" t="n"/>
      <c r="H45" s="83" t="n"/>
      <c r="I45" s="83" t="n"/>
      <c r="J45" s="83" t="n"/>
      <c r="K45" s="83" t="n"/>
      <c r="L45" s="83" t="n"/>
      <c r="M45" s="83" t="n"/>
      <c r="N45" s="83" t="n"/>
      <c r="O45" s="83" t="n"/>
      <c r="P45" s="83" t="n"/>
      <c r="Q45" s="84" t="n"/>
    </row>
    <row r="46">
      <c r="A46" s="83" t="n"/>
      <c r="B46" s="83" t="n"/>
      <c r="C46" s="83" t="n"/>
      <c r="D46" s="83" t="n"/>
      <c r="E46" s="83" t="n"/>
      <c r="F46" s="83" t="n"/>
      <c r="G46" s="83" t="n"/>
      <c r="H46" s="83" t="n"/>
      <c r="I46" s="83" t="n"/>
      <c r="J46" s="83" t="n"/>
      <c r="K46" s="83" t="n"/>
      <c r="L46" s="83" t="n"/>
      <c r="M46" s="83" t="n"/>
      <c r="N46" s="83" t="n"/>
      <c r="O46" s="83" t="n"/>
      <c r="P46" s="83" t="n"/>
      <c r="Q46" s="84" t="n"/>
    </row>
    <row r="47">
      <c r="A47" s="83" t="n"/>
      <c r="B47" s="83" t="n"/>
      <c r="C47" s="83" t="n"/>
      <c r="D47" s="83" t="n"/>
      <c r="E47" s="83" t="n"/>
      <c r="F47" s="83" t="n"/>
      <c r="G47" s="83" t="n"/>
      <c r="H47" s="83" t="n"/>
      <c r="I47" s="83" t="n"/>
      <c r="J47" s="83" t="n"/>
      <c r="K47" s="83" t="n"/>
      <c r="L47" s="83" t="n"/>
      <c r="M47" s="83" t="n"/>
      <c r="N47" s="83" t="n"/>
      <c r="O47" s="83" t="n"/>
      <c r="P47" s="83" t="n"/>
      <c r="Q47" s="84" t="n"/>
    </row>
    <row r="48">
      <c r="A48" s="83" t="n"/>
      <c r="B48" s="83" t="n"/>
      <c r="C48" s="83" t="n"/>
      <c r="D48" s="83" t="n"/>
      <c r="E48" s="83" t="n"/>
      <c r="F48" s="83" t="n"/>
      <c r="G48" s="83" t="n"/>
      <c r="H48" s="83" t="n"/>
      <c r="I48" s="83" t="n"/>
      <c r="J48" s="83" t="n"/>
      <c r="K48" s="83" t="n"/>
      <c r="L48" s="83" t="n"/>
      <c r="M48" s="83" t="n"/>
      <c r="N48" s="83" t="n"/>
      <c r="O48" s="83" t="n"/>
      <c r="P48" s="83" t="n"/>
      <c r="Q48" s="84" t="n"/>
    </row>
    <row r="49">
      <c r="A49" s="83" t="n"/>
      <c r="B49" s="83" t="n"/>
      <c r="C49" s="83" t="n"/>
      <c r="D49" s="83" t="n"/>
      <c r="E49" s="83" t="n"/>
      <c r="F49" s="83" t="n"/>
      <c r="G49" s="83" t="n"/>
      <c r="H49" s="83" t="n"/>
      <c r="I49" s="83" t="n"/>
      <c r="J49" s="83" t="n"/>
      <c r="K49" s="83" t="n"/>
      <c r="L49" s="83" t="n"/>
      <c r="M49" s="83" t="n"/>
      <c r="N49" s="83" t="n"/>
      <c r="O49" s="83" t="n"/>
      <c r="P49" s="83" t="n"/>
      <c r="Q49" s="84" t="n"/>
    </row>
    <row r="50">
      <c r="A50" s="83" t="n"/>
      <c r="B50" s="83" t="n"/>
      <c r="C50" s="83" t="n"/>
      <c r="D50" s="83" t="n"/>
      <c r="E50" s="83" t="n"/>
      <c r="F50" s="83" t="n"/>
      <c r="G50" s="83" t="n"/>
      <c r="H50" s="83" t="n"/>
      <c r="I50" s="83" t="n"/>
      <c r="J50" s="83" t="n"/>
      <c r="K50" s="83" t="n"/>
      <c r="L50" s="83" t="n"/>
      <c r="M50" s="83" t="n"/>
      <c r="N50" s="83" t="n"/>
      <c r="O50" s="83" t="n"/>
      <c r="P50" s="83" t="n"/>
      <c r="Q50" s="84" t="n"/>
    </row>
    <row r="51">
      <c r="A51" s="83" t="n"/>
      <c r="B51" s="83" t="n"/>
      <c r="C51" s="83" t="n"/>
      <c r="D51" s="83" t="n"/>
      <c r="E51" s="83" t="n"/>
      <c r="F51" s="83" t="n"/>
      <c r="G51" s="83" t="n"/>
      <c r="H51" s="83" t="n"/>
      <c r="I51" s="83" t="n"/>
      <c r="J51" s="83" t="n"/>
      <c r="K51" s="83" t="n"/>
      <c r="L51" s="83" t="n"/>
      <c r="M51" s="83" t="n"/>
      <c r="N51" s="83" t="n"/>
      <c r="O51" s="83" t="n"/>
      <c r="P51" s="83" t="n"/>
      <c r="Q51" s="84" t="n"/>
    </row>
    <row r="52">
      <c r="A52" s="83" t="n"/>
      <c r="B52" s="83" t="n"/>
      <c r="C52" s="83" t="n"/>
      <c r="D52" s="83" t="n"/>
      <c r="E52" s="83" t="n"/>
      <c r="F52" s="83" t="n"/>
      <c r="G52" s="83" t="n"/>
      <c r="H52" s="83" t="n"/>
      <c r="I52" s="83" t="n"/>
      <c r="J52" s="83" t="n"/>
      <c r="K52" s="83" t="n"/>
      <c r="L52" s="83" t="n"/>
      <c r="M52" s="83" t="n"/>
      <c r="N52" s="83" t="n"/>
      <c r="O52" s="83" t="n"/>
      <c r="P52" s="83" t="n"/>
      <c r="Q52" s="84" t="n"/>
    </row>
    <row r="53">
      <c r="A53" s="83" t="n"/>
      <c r="B53" s="83" t="n"/>
      <c r="C53" s="83" t="n"/>
      <c r="D53" s="83" t="n"/>
      <c r="E53" s="83" t="n"/>
      <c r="F53" s="83" t="n"/>
      <c r="G53" s="83" t="n"/>
      <c r="H53" s="83" t="n"/>
      <c r="I53" s="83" t="n"/>
      <c r="J53" s="83" t="n"/>
      <c r="K53" s="83" t="n"/>
      <c r="L53" s="83" t="n"/>
      <c r="M53" s="83" t="n"/>
      <c r="N53" s="83" t="n"/>
      <c r="O53" s="83" t="n"/>
      <c r="P53" s="83" t="n"/>
      <c r="Q53" s="84" t="n"/>
    </row>
    <row r="54">
      <c r="A54" s="83" t="n"/>
      <c r="B54" s="83" t="n"/>
      <c r="C54" s="83" t="n"/>
      <c r="D54" s="83" t="n"/>
      <c r="E54" s="83" t="n"/>
      <c r="F54" s="83" t="n"/>
      <c r="G54" s="83" t="n"/>
      <c r="H54" s="83" t="n"/>
      <c r="I54" s="83" t="n"/>
      <c r="J54" s="83" t="n"/>
      <c r="K54" s="83" t="n"/>
      <c r="L54" s="83" t="n"/>
      <c r="M54" s="83" t="n"/>
      <c r="N54" s="83" t="n"/>
      <c r="O54" s="83" t="n"/>
      <c r="P54" s="83" t="n"/>
      <c r="Q54" s="84" t="n"/>
    </row>
    <row r="55">
      <c r="A55" s="83" t="n"/>
      <c r="B55" s="83" t="n"/>
      <c r="C55" s="83" t="n"/>
      <c r="D55" s="83" t="n"/>
      <c r="E55" s="83" t="n"/>
      <c r="F55" s="83" t="n"/>
      <c r="G55" s="83" t="n"/>
      <c r="H55" s="83" t="n"/>
      <c r="I55" s="83" t="n"/>
      <c r="J55" s="83" t="n"/>
      <c r="K55" s="83" t="n"/>
      <c r="L55" s="83" t="n"/>
      <c r="M55" s="83" t="n"/>
      <c r="N55" s="83" t="n"/>
      <c r="O55" s="83" t="n"/>
      <c r="P55" s="83" t="n"/>
      <c r="Q55" s="84" t="n"/>
    </row>
    <row r="56">
      <c r="A56" s="83" t="n"/>
      <c r="B56" s="83" t="n"/>
      <c r="C56" s="83" t="n"/>
      <c r="D56" s="83" t="n"/>
      <c r="E56" s="83" t="n"/>
      <c r="F56" s="83" t="n"/>
      <c r="G56" s="83" t="n"/>
      <c r="H56" s="83" t="n"/>
      <c r="I56" s="83" t="n"/>
      <c r="J56" s="83" t="n"/>
      <c r="K56" s="83" t="n"/>
      <c r="L56" s="83" t="n"/>
      <c r="M56" s="83" t="n"/>
      <c r="N56" s="83" t="n"/>
      <c r="O56" s="83" t="n"/>
      <c r="P56" s="83" t="n"/>
      <c r="Q56" s="84" t="n"/>
    </row>
    <row r="57">
      <c r="A57" s="83" t="n"/>
      <c r="B57" s="83" t="n"/>
      <c r="C57" s="83" t="n"/>
      <c r="D57" s="83" t="n"/>
      <c r="E57" s="83" t="n"/>
      <c r="F57" s="83" t="n"/>
      <c r="G57" s="83" t="n"/>
      <c r="H57" s="83" t="n"/>
      <c r="I57" s="83" t="n"/>
      <c r="J57" s="83" t="n"/>
      <c r="K57" s="83" t="n"/>
      <c r="L57" s="83" t="n"/>
      <c r="M57" s="83" t="n"/>
      <c r="N57" s="83" t="n"/>
      <c r="O57" s="83" t="n"/>
      <c r="P57" s="83" t="n"/>
      <c r="Q57" s="84" t="n"/>
    </row>
  </sheetData>
  <autoFilter ref="A4:Q61"/>
  <mergeCells count="3">
    <mergeCell ref="A3:Q3"/>
    <mergeCell ref="A2:Q2"/>
    <mergeCell ref="A1:Q1"/>
  </mergeCells>
  <dataValidations count="2">
    <dataValidation sqref="C5:C20" showDropDown="0" showInputMessage="0" showErrorMessage="0" allowBlank="1" type="list">
      <formula1>='فهرست‌ها'!$B$9:$B$11</formula1>
    </dataValidation>
    <dataValidation sqref="L5:L20"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9" t="inlineStr">
        <is>
          <t>تست‌های آزمایشگاهی (پایه، اسیلوسکوپ و زمان‌بندی دقیق — جدا از تست عملی)</t>
        </is>
      </c>
      <c r="B1" s="54" t="n"/>
      <c r="C1" s="54" t="n"/>
      <c r="D1" s="54" t="n"/>
      <c r="E1" s="54" t="n"/>
      <c r="F1" s="54" t="n"/>
      <c r="G1" s="54" t="n"/>
      <c r="H1" s="54" t="n"/>
      <c r="I1" s="54" t="n"/>
      <c r="J1" s="54" t="n"/>
      <c r="K1" s="54" t="n"/>
      <c r="L1" s="54" t="n"/>
      <c r="M1" s="54" t="n"/>
      <c r="N1" s="54" t="n"/>
      <c r="O1" s="54" t="n"/>
      <c r="P1" s="54" t="n"/>
      <c r="Q1" s="54" t="n"/>
    </row>
    <row r="2" ht="42" customHeight="1">
      <c r="A2" s="7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4" t="n"/>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51" t="inlineStr">
        <is>
          <t>شناسه</t>
        </is>
      </c>
      <c r="B4" s="51" t="inlineStr">
        <is>
          <t>دسته</t>
        </is>
      </c>
      <c r="C4" s="51" t="inlineStr">
        <is>
          <t>اولویت</t>
        </is>
      </c>
      <c r="D4" s="51" t="inlineStr">
        <is>
          <t>پیش‌شرط</t>
        </is>
      </c>
      <c r="E4" s="51" t="inlineStr">
        <is>
          <t>روش اجرای دقیق</t>
        </is>
      </c>
      <c r="F4" s="51" t="inlineStr">
        <is>
          <t>ورودی‌ها / شرایط</t>
        </is>
      </c>
      <c r="G4" s="51" t="inlineStr">
        <is>
          <t>مدت مشاهده</t>
        </is>
      </c>
      <c r="H4" s="51" t="inlineStr">
        <is>
          <t>رفتار مورد انتظار</t>
        </is>
      </c>
      <c r="I4" s="51" t="inlineStr">
        <is>
          <t>وضعیت حفظ / latch</t>
        </is>
      </c>
      <c r="J4" s="51" t="inlineStr">
        <is>
          <t>معیار قبولی</t>
        </is>
      </c>
      <c r="K4" s="51" t="inlineStr">
        <is>
          <t>نتیجهٔ واقعی / اندازه‌گیری</t>
        </is>
      </c>
      <c r="L4" s="51" t="inlineStr">
        <is>
          <t>وضعیت</t>
        </is>
      </c>
      <c r="M4" s="51" t="inlineStr">
        <is>
          <t>شرح ایراد / تفاوت</t>
        </is>
      </c>
      <c r="N4" s="51" t="inlineStr">
        <is>
          <t>مدرک تست / scope</t>
        </is>
      </c>
      <c r="O4" s="51" t="inlineStr">
        <is>
          <t>commit</t>
        </is>
      </c>
      <c r="P4" s="51" t="inlineStr">
        <is>
          <t>نام تست‌کننده</t>
        </is>
      </c>
      <c r="Q4" s="51" t="inlineStr">
        <is>
          <t>تاریخ</t>
        </is>
      </c>
    </row>
    <row r="5" ht="54" customHeight="1">
      <c r="A5" s="55" t="inlineStr">
        <is>
          <t>CH-002</t>
        </is>
      </c>
      <c r="B5" s="56" t="inlineStr">
        <is>
          <t>پیش‌فرض امن بوت</t>
        </is>
      </c>
      <c r="C5" s="57" t="inlineStr">
        <is>
          <t>بالا</t>
        </is>
      </c>
      <c r="D5" s="56" t="inlineStr">
        <is>
          <t>باتری و ورودی ۲۴V وصل، بوت تازه</t>
        </is>
      </c>
      <c r="E5" s="56" t="inlineStr">
        <is>
          <t>گام ۱: باتری و ورودی 24 ولت را وصل کن و برد را تازه بوت کن.
گام ۲: ولتاژ هر دو کانال باتری را چک کن که دست‌کم 12 ولت باشد (v_bat≥12V) و ورودی 24 ولت باشد.
گام ۳: از پنل، پالس PWM و وضعیت (state) هر دو کانال را نگاه کن و زمان را از لحظهٔ بوت بگیر.
گام ۴: تا 60 ثانیه نگاه کن: هر دو PWM باید تا پایان گیت 15 ثانیه‌ای ثبات اتصال صفر بمانند (15000±2000 میلی‌ثانیه).</t>
        </is>
      </c>
      <c r="F5" s="58" t="inlineStr">
        <is>
          <t>v_in=24V، هر دو v_bat≥12V</t>
        </is>
      </c>
      <c r="G5" s="58" t="inlineStr">
        <is>
          <t>60s</t>
        </is>
      </c>
      <c r="H5" s="56" t="inlineStr">
        <is>
          <t>هر دو PWM صفر تا پایان گیت ۱۵ ثانیهٔ ثبات اتصال</t>
        </is>
      </c>
      <c r="I5" s="56" t="inlineStr">
        <is>
          <t>حفظ تا شروع BULK</t>
        </is>
      </c>
      <c r="J5" s="56" t="inlineStr">
        <is>
          <t>PWM=0 تا 15000±2000ms</t>
        </is>
      </c>
      <c r="K5" s="56" t="n"/>
      <c r="L5" s="59" t="inlineStr">
        <is>
          <t>در انتظار</t>
        </is>
      </c>
      <c r="M5" s="56" t="n"/>
      <c r="N5" s="56" t="n"/>
      <c r="O5" s="58" t="inlineStr">
        <is>
          <t>TESTER: fill</t>
        </is>
      </c>
      <c r="P5" s="58" t="n"/>
      <c r="Q5" s="60" t="inlineStr">
        <is>
          <t>2026-09-23</t>
        </is>
      </c>
    </row>
    <row r="6" ht="54" customHeight="1">
      <c r="A6" s="55" t="inlineStr">
        <is>
          <t>CH-003</t>
        </is>
      </c>
      <c r="B6" s="61" t="inlineStr">
        <is>
          <t>شروع BULK با رمپ</t>
        </is>
      </c>
      <c r="C6" s="62" t="inlineStr">
        <is>
          <t>بالا</t>
        </is>
      </c>
      <c r="D6" s="66" t="inlineStr">
        <is>
          <t>CH-002 پاس</t>
        </is>
      </c>
      <c r="E6" s="66" t="inlineStr">
        <is>
          <t>گام ۱: اول تست CH-002 را انجام بده و همان اتصال‌ها را نگه دار.
گام ۲: اسیلوسکوپ را روی گیت یک کانال بگذار.
گام ۳: بعد از تمام شدن گیت 15 ثانیه‌ای ثبات، پله‌های duty را 20 ثانیه ضبط کن.
گام ۴: duty باید با رمپ نرم از 1 درصد (10 پرمیل) شروع شود و پله‌پله بالا برود، نه اینکه یک‌باره بپرد.</t>
        </is>
      </c>
      <c r="F6" s="71" t="inlineStr">
        <is>
          <t>همان CH-002</t>
        </is>
      </c>
      <c r="G6" s="63" t="inlineStr">
        <is>
          <t>20s</t>
        </is>
      </c>
      <c r="H6" s="61" t="inlineStr">
        <is>
          <t>ورود BULK با رمپ نرم از ۱٪ (10‰)</t>
        </is>
      </c>
      <c r="I6" s="61" t="inlineStr">
        <is>
          <t>—</t>
        </is>
      </c>
      <c r="J6" s="61" t="inlineStr">
        <is>
          <t>پله‌های duty از 10‰ صعودی</t>
        </is>
      </c>
      <c r="K6" s="61" t="n"/>
      <c r="L6" s="59" t="inlineStr">
        <is>
          <t>در انتظار</t>
        </is>
      </c>
      <c r="M6" s="61" t="n"/>
      <c r="N6" s="61" t="n"/>
      <c r="O6" s="63" t="inlineStr">
        <is>
          <t>TESTER: fill</t>
        </is>
      </c>
      <c r="P6" s="63" t="n"/>
      <c r="Q6" s="64" t="inlineStr">
        <is>
          <t>2026-09-23</t>
        </is>
      </c>
    </row>
    <row r="7" ht="54" customHeight="1">
      <c r="A7" s="55" t="inlineStr">
        <is>
          <t>CH-008</t>
        </is>
      </c>
      <c r="B7" s="56" t="inlineStr">
        <is>
          <t>خطای سخت جریان</t>
        </is>
      </c>
      <c r="C7" s="57" t="inlineStr">
        <is>
          <t>بالا</t>
        </is>
      </c>
      <c r="D7" s="56" t="inlineStr">
        <is>
          <t>در BULK</t>
        </is>
      </c>
      <c r="E7" s="56" t="inlineStr">
        <is>
          <t>گام ۱: شارژ را در حالت BULK راه بینداز.
گام ۲: بار را طوری تنظیم کن که جریان بدون فیلتر از 950 میلی‌آمپر بالاتر برود.
گام ۳: همان لحظه گیت کانال را با اسکوپ یا پنل نگاه کن (در حد 1 ثانیه).
گام ۴: PWM کانال باید فوراً صفر شود و کانال از نو شروع کند (ریست کانال).</t>
        </is>
      </c>
      <c r="F7" s="58" t="inlineStr">
        <is>
          <t>I_unfilt&gt;950mA</t>
        </is>
      </c>
      <c r="G7" s="58" t="inlineStr">
        <is>
          <t>1s</t>
        </is>
      </c>
      <c r="H7" s="56" t="inlineStr">
        <is>
          <t>ریست کانال (PWM صفر فوری و شروع دوباره)</t>
        </is>
      </c>
      <c r="I7" s="56" t="inlineStr">
        <is>
          <t>لحظه‌ای</t>
        </is>
      </c>
      <c r="J7" s="56" t="inlineStr">
        <is>
          <t>PWM=0 فوری</t>
        </is>
      </c>
      <c r="K7" s="56" t="n"/>
      <c r="L7" s="59" t="inlineStr">
        <is>
          <t>در انتظار</t>
        </is>
      </c>
      <c r="M7" s="56" t="n"/>
      <c r="N7" s="56" t="n"/>
      <c r="O7" s="58" t="inlineStr">
        <is>
          <t>TESTER: fill</t>
        </is>
      </c>
      <c r="P7" s="58" t="n"/>
      <c r="Q7" s="60" t="inlineStr">
        <is>
          <t>2026-09-23</t>
        </is>
      </c>
    </row>
    <row r="8" ht="54" customHeight="1">
      <c r="A8" s="55" t="inlineStr">
        <is>
          <t>CH-039</t>
        </is>
      </c>
      <c r="B8" s="56" t="inlineStr">
        <is>
          <t>تعلیق شارژر هنگام ذخیرهٔ فلش</t>
        </is>
      </c>
      <c r="C8" s="57" t="inlineStr">
        <is>
          <t>بالا</t>
        </is>
      </c>
      <c r="D8" s="56" t="inlineStr">
        <is>
          <t>شارژ فعال (BULK)</t>
        </is>
      </c>
      <c r="E8" s="56" t="inlineStr">
        <is>
          <t>گام ۱: شارژ را در حالت BULK فعال کن و اسیلوسکوپ را روی گیت هر دو کانال بگذار.
گام ۲: یکی از این ذخیره‌های فلش را اتفاق بینداز: ذخیرهٔ NVM یا CalLut از پنل، یا صبر کن تا ذخیرهٔ دوره‌ای Diag (حدود هر 60 ثانیه) خودش برسد.
گام ۳: لحظهٔ پاک/نوشتن فلش را روی اسکوپ ببین: هر دو گیت PWM باید متوقف و خروجی صفر باشد.
گام ۴: بلافاصله بعد از تمام شدن ذخیره، شارژ باید بدون پرش ادامه پیدا کند و رکورد/تنظیم هم سالم ذخیره شده باشد. هیچ پالس PWM حین پاک‌کردن صفحه قبول نیست.</t>
        </is>
      </c>
      <c r="F8" s="58" t="inlineStr">
        <is>
          <t>شارژ فعال + ذخیرهٔ فلش</t>
        </is>
      </c>
      <c r="G8" s="58" t="inlineStr">
        <is>
          <t>2s</t>
        </is>
      </c>
      <c r="H8" s="56" t="inlineStr">
        <is>
          <t>دور پاک/نوشتن فلش هر دو گیت PWM متوقف و خروجی صفر شود؛ بلافاصله بعد از ذخیره شارژ بدون پرش ادامه یابد</t>
        </is>
      </c>
      <c r="I8" s="56" t="inlineStr">
        <is>
          <t>—</t>
        </is>
      </c>
      <c r="J8" s="56" t="inlineStr">
        <is>
          <t>هیچ پالس PWM حین پاک‌کردن صفحه دیده نشود و رکورد/تنظیم سالم ذخیره شود</t>
        </is>
      </c>
      <c r="K8" s="56" t="inlineStr">
        <is>
          <t>هاست 2026-10-15: هر دو گیت سبز (مسیر Diag با 2da0ed1 اضافه شد، NVM/CalLut از قبل بود)؛ تست برد: در انتظار</t>
        </is>
      </c>
      <c r="L8" s="59" t="inlineStr">
        <is>
          <t>در انتظار</t>
        </is>
      </c>
      <c r="M8" s="56" t="n"/>
      <c r="N8" s="56" t="n"/>
      <c r="O8" s="58" t="inlineStr">
        <is>
          <t>2da0ed1</t>
        </is>
      </c>
      <c r="P8" s="58" t="n"/>
      <c r="Q8" s="60" t="inlineStr">
        <is>
          <t>2026-10-15</t>
        </is>
      </c>
    </row>
    <row r="9">
      <c r="A9" s="55" t="inlineStr">
        <is>
          <t>CH-009</t>
        </is>
      </c>
      <c r="B9" s="61" t="inlineStr">
        <is>
          <t>تریپ JIT اول</t>
        </is>
      </c>
      <c r="C9" s="62" t="inlineStr">
        <is>
          <t>بالا</t>
        </is>
      </c>
      <c r="D9" s="61" t="inlineStr">
        <is>
          <t>شارژ فعال</t>
        </is>
      </c>
      <c r="E9" s="61" t="inlineStr">
        <is>
          <t>گام ۱: شارژ فعال باشد و اسکوپ روی گیت کانال باشد.
گام ۲: ورودی JIT همان کانال (PB2 یا PB6) را یک لبهٔ falling بده تا آستانهٔ LM393 (اضافه‌جریان واقعی) تریپ شود.
گام ۳: 10 ثانیه رفتار را نگاه کن: PWM همان کانال باید صفر شود.
گام ۴: بعد از 3000 میلی‌ثانیه lockout، ریتری باید با نصف duty قبلی شروع شود و وضعیت 5 (state=5) دیده شود.</t>
        </is>
      </c>
      <c r="F9" s="63" t="inlineStr">
        <is>
          <t>JIT falling (PB2/PB6)</t>
        </is>
      </c>
      <c r="G9" s="63" t="inlineStr">
        <is>
          <t>10s</t>
        </is>
      </c>
      <c r="H9" s="61" t="inlineStr">
        <is>
          <t>PWM همان کانال صفر؛ بعد از lockout 3000ms ریتری با نصف duty</t>
        </is>
      </c>
      <c r="I9" s="61" t="inlineStr">
        <is>
          <t>retry خودکار</t>
        </is>
      </c>
      <c r="J9" s="61" t="inlineStr">
        <is>
          <t>state=5 → ریتری 50٪ duty قبل</t>
        </is>
      </c>
      <c r="K9" s="61" t="n"/>
      <c r="L9" s="59" t="inlineStr">
        <is>
          <t>در انتظار</t>
        </is>
      </c>
      <c r="M9" s="61" t="n"/>
      <c r="N9" s="61" t="n"/>
      <c r="O9" s="63" t="inlineStr">
        <is>
          <t>TESTER: fill</t>
        </is>
      </c>
      <c r="P9" s="63" t="n"/>
      <c r="Q9" s="64">
        <f>IF(OR(L9="",L9="در انتظار"),"",IF(Q9="",TODAY(),Q9))</f>
        <v/>
      </c>
    </row>
    <row r="10">
      <c r="A10" s="55" t="inlineStr">
        <is>
          <t>CH-010</t>
        </is>
      </c>
      <c r="B10" s="56" t="inlineStr">
        <is>
          <t>ریتری دوم</t>
        </is>
      </c>
      <c r="C10" s="58" t="inlineStr">
        <is>
          <t>متوسط</t>
        </is>
      </c>
      <c r="D10" s="56" t="inlineStr">
        <is>
          <t>تریپ دوم همان کانال</t>
        </is>
      </c>
      <c r="E10" s="65" t="inlineStr">
        <is>
          <t>گام ۱: تست CH-009 را انجام بده تا یک تریپ ثبت شده باشد و کانال در ریتری باشد.
گام ۲: در همان ریتری، JIT را دوباره تریپ کن.
گام ۳: 10 ثانیه duty را نگاه کن.
گام ۴: ریتری دوم نباید بیشتر از 10 درصد (100 پرمیل) duty داشته باشد.</t>
        </is>
      </c>
      <c r="F10" s="58" t="inlineStr">
        <is>
          <t>—</t>
        </is>
      </c>
      <c r="G10" s="58" t="inlineStr">
        <is>
          <t>10s</t>
        </is>
      </c>
      <c r="H10" s="56" t="inlineStr">
        <is>
          <t>ریتری دوم حداکثر 10٪ (100‰)</t>
        </is>
      </c>
      <c r="I10" s="56" t="inlineStr">
        <is>
          <t>—</t>
        </is>
      </c>
      <c r="J10" s="56" t="inlineStr">
        <is>
          <t>duty≤100‰</t>
        </is>
      </c>
      <c r="K10" s="56" t="n"/>
      <c r="L10" s="59" t="inlineStr">
        <is>
          <t>در انتظار</t>
        </is>
      </c>
      <c r="M10" s="56" t="n"/>
      <c r="N10" s="56" t="n"/>
      <c r="O10" s="58" t="inlineStr">
        <is>
          <t>TESTER: fill</t>
        </is>
      </c>
      <c r="P10" s="58" t="n"/>
      <c r="Q10" s="60">
        <f>IF(OR(L10="",L10="در انتظار"),"",IF(Q10="",TODAY(),Q10))</f>
        <v/>
      </c>
    </row>
    <row r="11">
      <c r="A11" s="55" t="inlineStr">
        <is>
          <t>CH-011</t>
        </is>
      </c>
      <c r="B11" s="61" t="inlineStr">
        <is>
          <t>تریپ سوم FINAL</t>
        </is>
      </c>
      <c r="C11" s="62" t="inlineStr">
        <is>
          <t>بالا</t>
        </is>
      </c>
      <c r="D11" s="61" t="inlineStr">
        <is>
          <t>دو تریپ ثبت‌شده</t>
        </is>
      </c>
      <c r="E11" s="66" t="inlineStr">
        <is>
          <t>گام ۱: دو تریپ قبلی همان کانال (CH-009 و CH-010) ثبت شده باشد.
گام ۲: JIT را برای بار سوم تریپ کن.
گام ۳: وضعیت و رله را چک کن: باید FINAL_FAULT باشد (state=7)، هر دو PWM صفر و رله باز.
گام ۴: صبر کن و دست نزن؛ بدون ریبوت نباید برگردد. فقط ریبوت برد آن را پاک می‌کند.</t>
        </is>
      </c>
      <c r="F11" s="63" t="inlineStr">
        <is>
          <t>—</t>
        </is>
      </c>
      <c r="G11" s="63" t="inlineStr">
        <is>
          <t>—</t>
        </is>
      </c>
      <c r="H11" s="61" t="inlineStr">
        <is>
          <t>FINAL_FAULT: هر دو PWM صفر + رله باز؛ فقط ریبوت پاک می‌کند</t>
        </is>
      </c>
      <c r="I11" s="61" t="inlineStr">
        <is>
          <t>latch دائمی تا ریبوت</t>
        </is>
      </c>
      <c r="J11" s="61" t="inlineStr">
        <is>
          <t>state=7؛ رله باز؛ بدون ریبوت برنمی‌گردد</t>
        </is>
      </c>
      <c r="K11" s="61" t="n"/>
      <c r="L11" s="59" t="inlineStr">
        <is>
          <t>در انتظار</t>
        </is>
      </c>
      <c r="M11" s="61" t="n"/>
      <c r="N11" s="61" t="n"/>
      <c r="O11" s="63" t="inlineStr">
        <is>
          <t>TESTER: fill</t>
        </is>
      </c>
      <c r="P11" s="63" t="n"/>
      <c r="Q11" s="64">
        <f>IF(OR(L11="",L11="در انتظار"),"",IF(Q11="",TODAY(),Q11))</f>
        <v/>
      </c>
    </row>
    <row r="12">
      <c r="A12" s="55" t="inlineStr">
        <is>
          <t>CH-015</t>
        </is>
      </c>
      <c r="B12" s="61" t="inlineStr">
        <is>
          <t>مود دستی: JIT و re-arm</t>
        </is>
      </c>
      <c r="C12" s="62" t="inlineStr">
        <is>
          <t>بالا</t>
        </is>
      </c>
      <c r="D12" s="61" t="inlineStr">
        <is>
          <t>در مود دستی</t>
        </is>
      </c>
      <c r="E12" s="66" t="inlineStr">
        <is>
          <t>گام ۱: در مود دستی (CH-013) JIT را تریپ کن تا کانال پارک شود.
گام ۲: 15 ثانیه نگاه کن: duty صفر و وضعیت 5 (state=5) می‌ماند و ریتری خودکار نباید اتفاق بیفتد.
گام ۳: از پنل همان duty را دوباره برای کانال بفرست؛ کانال باید دوباره مسلح شود و درایو برگردد.
گام ۴: این چرخه را تا تریپ سوم ادامه بده؛ تریپ سوم باید FINAL_FAULT بدهد.</t>
        </is>
      </c>
      <c r="F12" s="63" t="inlineStr">
        <is>
          <t>JIT trip در مود دستی</t>
        </is>
      </c>
      <c r="G12" s="63" t="inlineStr">
        <is>
          <t>15s</t>
        </is>
      </c>
      <c r="H12" s="61" t="inlineStr">
        <is>
          <t>پارک با duty صفر و state=5 بدون ریتری خودکار؛ ارسال مجدد duty کانال را مسلح می‌کند؛ سومین تریپ FINAL_FAULT</t>
        </is>
      </c>
      <c r="I12" s="61" t="inlineStr">
        <is>
          <t>پارک تا re-arm انسانی</t>
        </is>
      </c>
      <c r="J12" s="61" t="inlineStr">
        <is>
          <t>state=5 → بعد از ارسال duty، درایو برگردد</t>
        </is>
      </c>
      <c r="K12" s="61" t="n"/>
      <c r="L12" s="59" t="inlineStr">
        <is>
          <t>در انتظار</t>
        </is>
      </c>
      <c r="M12" s="61" t="n"/>
      <c r="N12" s="61" t="n"/>
      <c r="O12" s="63" t="inlineStr">
        <is>
          <t>TESTER: fill</t>
        </is>
      </c>
      <c r="P12" s="63" t="n"/>
      <c r="Q12" s="64">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row r="28">
      <c r="A28" s="54" t="n"/>
      <c r="B28" s="54" t="n"/>
      <c r="C28" s="54" t="n"/>
      <c r="D28" s="54" t="n"/>
      <c r="E28" s="54" t="n"/>
      <c r="F28" s="54" t="n"/>
      <c r="G28" s="54" t="n"/>
      <c r="H28" s="54" t="n"/>
      <c r="I28" s="54" t="n"/>
      <c r="J28" s="54" t="n"/>
      <c r="K28" s="54" t="n"/>
      <c r="L28" s="54" t="n"/>
      <c r="M28" s="54" t="n"/>
      <c r="N28" s="54" t="n"/>
      <c r="O28" s="54" t="n"/>
      <c r="P28" s="54" t="n"/>
      <c r="Q28" s="6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F6" location="'تست‌های آزمایشگاهی'!A5"/>
    <hyperlink ref="E10" location="'تست‌های آزمایشگاهی'!A9"/>
    <hyperlink ref="E11" location="'تست‌های آزمایشگاهی'!A9"/>
    <hyperlink ref="E12" location="'برنامه تست'!A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9" t="inlineStr">
        <is>
          <t>تست‌های برنامه‌نویسی و هاست (جدا از ولیدیشن عملی برد)</t>
        </is>
      </c>
      <c r="B1" s="54" t="n"/>
      <c r="C1" s="54" t="n"/>
      <c r="D1" s="54" t="n"/>
      <c r="E1" s="54" t="n"/>
      <c r="F1" s="54" t="n"/>
      <c r="G1" s="54" t="n"/>
      <c r="H1" s="54" t="n"/>
      <c r="I1" s="54" t="n"/>
      <c r="J1" s="54" t="n"/>
      <c r="K1" s="54" t="n"/>
      <c r="L1" s="54" t="n"/>
      <c r="M1" s="54" t="n"/>
      <c r="N1" s="54" t="n"/>
      <c r="O1" s="54" t="n"/>
      <c r="P1" s="54" t="n"/>
      <c r="Q1" s="54" t="n"/>
    </row>
    <row r="2" ht="42" customHeight="1">
      <c r="A2" s="54" t="n"/>
      <c r="B2" s="7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51" t="inlineStr">
        <is>
          <t>شناسه</t>
        </is>
      </c>
      <c r="B4" s="51" t="inlineStr">
        <is>
          <t>دسته</t>
        </is>
      </c>
      <c r="C4" s="51" t="inlineStr">
        <is>
          <t>اولویت</t>
        </is>
      </c>
      <c r="D4" s="51" t="inlineStr">
        <is>
          <t>پیش‌شرط</t>
        </is>
      </c>
      <c r="E4" s="51" t="inlineStr">
        <is>
          <t>روش اجرای دقیق</t>
        </is>
      </c>
      <c r="F4" s="51" t="inlineStr">
        <is>
          <t>ورودی‌ها / شرایط</t>
        </is>
      </c>
      <c r="G4" s="51" t="inlineStr">
        <is>
          <t>مدت مشاهده</t>
        </is>
      </c>
      <c r="H4" s="51" t="inlineStr">
        <is>
          <t>رفتار مورد انتظار</t>
        </is>
      </c>
      <c r="I4" s="51" t="inlineStr">
        <is>
          <t>وضعیت حفظ / latch</t>
        </is>
      </c>
      <c r="J4" s="51" t="inlineStr">
        <is>
          <t>معیار قبولی</t>
        </is>
      </c>
      <c r="K4" s="51" t="inlineStr">
        <is>
          <t>نتیجهٔ واقعی / اندازه‌گیری</t>
        </is>
      </c>
      <c r="L4" s="51" t="inlineStr">
        <is>
          <t>وضعیت</t>
        </is>
      </c>
      <c r="M4" s="51" t="inlineStr">
        <is>
          <t>شرح ایراد / تفاوت</t>
        </is>
      </c>
      <c r="N4" s="51" t="inlineStr">
        <is>
          <t>مدرک تست / scope</t>
        </is>
      </c>
      <c r="O4" s="51" t="inlineStr">
        <is>
          <t>commit</t>
        </is>
      </c>
      <c r="P4" s="51" t="inlineStr">
        <is>
          <t>نام تست‌کننده</t>
        </is>
      </c>
      <c r="Q4" s="51" t="inlineStr">
        <is>
          <t>تاریخ</t>
        </is>
      </c>
    </row>
    <row r="5" ht="54" customHeight="1">
      <c r="A5" s="55" t="inlineStr">
        <is>
          <t>CH-001</t>
        </is>
      </c>
      <c r="B5" s="61" t="inlineStr">
        <is>
          <t>نگاشت سخت‌افزار</t>
        </is>
      </c>
      <c r="C5" s="62" t="inlineStr">
        <is>
          <t>بالا</t>
        </is>
      </c>
      <c r="D5" s="61" t="inlineStr">
        <is>
          <t>برد خاموش</t>
        </is>
      </c>
      <c r="E5" s="66" t="inlineStr">
        <is>
          <t>گام ۱: شماتیک برد و فایل board_pins.h را کنار کد بگذار.
گام ۲: تک‌تک این نگاشت‌ها را با کد مقایسه کن: PA0 = TIM2_CH1، PA6 = TIM3_CH1، PA1/PA7 = سنس جریان، PB2/PB6 = JIT، رله از نوع NC.
گام ۳: بررسی کن رله وقتی سیم‌پیچش خاموش است وصل باشد (NC).
گام ۴: هر اختلاف بین شماتیک و کد را یادداشت کن؛ قبولی فقط با تطابق کامل است.</t>
        </is>
      </c>
      <c r="F5" s="63" t="inlineStr">
        <is>
          <t>PA0=TIM2_CH1، PA6=TIM3_CH1، PA1/PA7 سنس، PB2/PB6 JIT، رله NC</t>
        </is>
      </c>
      <c r="G5" s="63" t="inlineStr">
        <is>
          <t>—</t>
        </is>
      </c>
      <c r="H5" s="61" t="inlineStr">
        <is>
          <t>نگاشت مطابق شماتیک؛ رله با coil خاموش وصل (NC)</t>
        </is>
      </c>
      <c r="I5" s="61" t="inlineStr">
        <is>
          <t>نگاشت ثابت</t>
        </is>
      </c>
      <c r="J5" s="61" t="inlineStr">
        <is>
          <t>PASS: تطابق کامل</t>
        </is>
      </c>
      <c r="K5" s="61" t="n"/>
      <c r="L5" s="59" t="inlineStr">
        <is>
          <t>در انتظار</t>
        </is>
      </c>
      <c r="M5" s="61" t="n"/>
      <c r="N5" s="61" t="n"/>
      <c r="O5" s="63" t="inlineStr">
        <is>
          <t>TESTER: fill</t>
        </is>
      </c>
      <c r="P5" s="63" t="n"/>
      <c r="Q5" s="64" t="inlineStr">
        <is>
          <t>2026-09-23</t>
        </is>
      </c>
    </row>
    <row r="6" ht="54" customHeight="1">
      <c r="A6" s="55" t="inlineStr">
        <is>
          <t>CH-035</t>
        </is>
      </c>
      <c r="B6" s="56" t="inlineStr">
        <is>
          <t>snapshot zeroing</t>
        </is>
      </c>
      <c r="C6" s="57" t="inlineStr">
        <is>
          <t>بالا</t>
        </is>
      </c>
      <c r="D6" s="56" t="inlineStr">
        <is>
          <t>snapshot نامعتبر</t>
        </is>
      </c>
      <c r="E6" s="56" t="inlineStr">
        <is>
          <t>گام ۱: یک snapshot نامعتبر بساز: valid=false و هر 9 فیلد صفر (همان الگوی task_control/task_protection).
گام ۲: آن را 5 ثانیه پیوسته به Charger_Evaluate بده.
گام ۳: duty هر دو کانال را نگاه کن: باید صفر بماند و شارژر safe-idle باشد.
گام ۴: نباید هیچ تصمیمی بر اساس ولتاژ/جریان زباله گرفته شود و overcurrent کاذب هم نباید بیاید.</t>
        </is>
      </c>
      <c r="F6" s="58" t="inlineStr">
        <is>
          <t>valid=false</t>
        </is>
      </c>
      <c r="G6" s="58" t="inlineStr">
        <is>
          <t>5s</t>
        </is>
      </c>
      <c r="H6" s="56" t="inlineStr">
        <is>
          <t>شارژر باید safe-idle بماند؛ duty صفر؛ بدون تصمیم بر اساس v_in/v_bat زباله؛ مانند task_protection هر 9 فیلد صفر</t>
        </is>
      </c>
      <c r="I6" s="56" t="inlineStr">
        <is>
          <t>safe-idle</t>
        </is>
      </c>
      <c r="J6" s="56" t="inlineStr">
        <is>
          <t>duty=0 بدون overcurrent کاذب</t>
        </is>
      </c>
      <c r="K6" s="56" t="n"/>
      <c r="L6" s="67" t="inlineStr">
        <is>
          <t>نیاز به تکرار</t>
        </is>
      </c>
      <c r="M6" s="56" t="n"/>
      <c r="N6" s="56" t="n"/>
      <c r="O6" s="58" t="inlineStr">
        <is>
          <t>62f3782</t>
        </is>
      </c>
      <c r="P6" s="58" t="n"/>
      <c r="Q6" s="60" t="inlineStr">
        <is>
          <t>2026-10-12</t>
        </is>
      </c>
    </row>
    <row r="7" ht="54" customHeight="1">
      <c r="A7" s="55" t="inlineStr">
        <is>
          <t>CH-038</t>
        </is>
      </c>
      <c r="B7" s="61" t="inlineStr">
        <is>
          <t>حفظ THERMAL_REST در SafeIdle</t>
        </is>
      </c>
      <c r="C7" s="63" t="inlineStr">
        <is>
          <t>متوسط</t>
        </is>
      </c>
      <c r="D7" s="61" t="inlineStr">
        <is>
          <t>کانال در استراحت حرارتی</t>
        </is>
      </c>
      <c r="E7" s="66" t="inlineStr">
        <is>
          <t>گام ۱: یک کانال را به استراحت حرارتی ببر (مثل CH-036) تا در THERMAL_REST باشد.
گام ۲: حین استراحت، snapshot نامعتبر (valid=false) بده.
گام ۳: 2 ثانیه وضعیت را نگاه کن: باید THERMAL_REST حفظ شود، نه اینکه به OFF برود.
گام ۴: قبولی وقتی است که SafeIdle قفل حرارتی را پاک نکرده باشد و بعد از معتبر شدن snapshot، استراحت سر جایش ادامه پیدا کند.</t>
        </is>
      </c>
      <c r="F7" s="63" t="inlineStr">
        <is>
          <t>valid=false حین rest</t>
        </is>
      </c>
      <c r="G7" s="63" t="inlineStr">
        <is>
          <t>2s</t>
        </is>
      </c>
      <c r="H7" s="61" t="inlineStr">
        <is>
          <t>THERMAL_REST حفظ نه OFF</t>
        </is>
      </c>
      <c r="I7" s="61" t="inlineStr">
        <is>
          <t>—</t>
        </is>
      </c>
      <c r="J7" s="61" t="inlineStr">
        <is>
          <t>PASS: SafeIdle لچ حرارتی را پاک نکند</t>
        </is>
      </c>
      <c r="K7" s="61" t="n"/>
      <c r="L7" s="72" t="inlineStr">
        <is>
          <t>قبول</t>
        </is>
      </c>
      <c r="M7" s="61" t="n"/>
      <c r="N7" s="61" t="inlineStr">
        <is>
          <t>کد بازبینی</t>
        </is>
      </c>
      <c r="O7" s="63" t="inlineStr">
        <is>
          <t>thermal</t>
        </is>
      </c>
      <c r="P7" s="63" t="n"/>
      <c r="Q7" s="64" t="inlineStr">
        <is>
          <t>2026-10-12</t>
        </is>
      </c>
    </row>
    <row r="8">
      <c r="A8" s="54" t="n"/>
      <c r="B8" s="54" t="n"/>
      <c r="C8" s="54" t="n"/>
      <c r="D8" s="54" t="n"/>
      <c r="E8" s="54" t="n"/>
      <c r="F8" s="54" t="n"/>
      <c r="G8" s="54" t="n"/>
      <c r="H8" s="54" t="n"/>
      <c r="I8" s="54" t="n"/>
      <c r="J8" s="54" t="n"/>
      <c r="K8" s="54" t="n"/>
      <c r="L8" s="54" t="n"/>
      <c r="M8" s="54" t="n"/>
      <c r="N8" s="54" t="n"/>
      <c r="O8" s="54" t="n"/>
      <c r="P8" s="54" t="n"/>
      <c r="Q8" s="68">
        <f>IF(OR(L8="",L8="در انتظار"),"",IF(Q8="",TODAY(),Q8))</f>
        <v/>
      </c>
    </row>
    <row r="9">
      <c r="A9" s="54" t="n"/>
      <c r="B9" s="54" t="n"/>
      <c r="C9" s="54" t="n"/>
      <c r="D9" s="54" t="n"/>
      <c r="E9" s="54" t="n"/>
      <c r="F9" s="54" t="n"/>
      <c r="G9" s="54" t="n"/>
      <c r="H9" s="54" t="n"/>
      <c r="I9" s="54" t="n"/>
      <c r="J9" s="54" t="n"/>
      <c r="K9" s="54" t="n"/>
      <c r="L9" s="54" t="n"/>
      <c r="M9" s="54" t="n"/>
      <c r="N9" s="54" t="n"/>
      <c r="O9" s="54" t="n"/>
      <c r="P9" s="54" t="n"/>
      <c r="Q9" s="68">
        <f>IF(OR(L9="",L9="در انتظار"),"",IF(Q9="",TODAY(),Q9))</f>
        <v/>
      </c>
    </row>
    <row r="10">
      <c r="A10" s="54" t="n"/>
      <c r="B10" s="54" t="n"/>
      <c r="C10" s="54" t="n"/>
      <c r="D10" s="54" t="n"/>
      <c r="E10" s="54" t="n"/>
      <c r="F10" s="54" t="n"/>
      <c r="G10" s="54" t="n"/>
      <c r="H10" s="54" t="n"/>
      <c r="I10" s="54" t="n"/>
      <c r="J10" s="54" t="n"/>
      <c r="K10" s="54" t="n"/>
      <c r="L10" s="54" t="n"/>
      <c r="M10" s="54" t="n"/>
      <c r="N10" s="54" t="n"/>
      <c r="O10" s="54" t="n"/>
      <c r="P10" s="54" t="n"/>
      <c r="Q10" s="68">
        <f>IF(OR(L10="",L10="در انتظار"),"",IF(Q10="",TODAY(),Q10))</f>
        <v/>
      </c>
    </row>
    <row r="11">
      <c r="A11" s="54" t="n"/>
      <c r="B11" s="54" t="n"/>
      <c r="C11" s="54" t="n"/>
      <c r="D11" s="54" t="n"/>
      <c r="E11" s="54" t="n"/>
      <c r="F11" s="54" t="n"/>
      <c r="G11" s="54" t="n"/>
      <c r="H11" s="54" t="n"/>
      <c r="I11" s="54" t="n"/>
      <c r="J11" s="54" t="n"/>
      <c r="K11" s="54" t="n"/>
      <c r="L11" s="54" t="n"/>
      <c r="M11" s="54" t="n"/>
      <c r="N11" s="54" t="n"/>
      <c r="O11" s="54" t="n"/>
      <c r="P11" s="54" t="n"/>
      <c r="Q11" s="68">
        <f>IF(OR(L11="",L11="در انتظار"),"",IF(Q11="",TODAY(),Q11))</f>
        <v/>
      </c>
    </row>
    <row r="12">
      <c r="A12" s="54" t="n"/>
      <c r="B12" s="54" t="n"/>
      <c r="C12" s="54" t="n"/>
      <c r="D12" s="54" t="n"/>
      <c r="E12" s="54" t="n"/>
      <c r="F12" s="54" t="n"/>
      <c r="G12" s="54" t="n"/>
      <c r="H12" s="54" t="n"/>
      <c r="I12" s="54" t="n"/>
      <c r="J12" s="54" t="n"/>
      <c r="K12" s="54" t="n"/>
      <c r="L12" s="54" t="n"/>
      <c r="M12" s="54" t="n"/>
      <c r="N12" s="54" t="n"/>
      <c r="O12" s="54" t="n"/>
      <c r="P12" s="54" t="n"/>
      <c r="Q12" s="68">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hyperlinks>
    <hyperlink ref="E7" location="'برنامه تست'!A20"/>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51" t="inlineStr">
        <is>
          <t>مرجع سریع سناریوها و ثابت‌های ماژول Charger</t>
        </is>
      </c>
      <c r="B1" s="42" t="n"/>
      <c r="C1" s="42" t="n"/>
      <c r="D1" s="42" t="n"/>
      <c r="E1" s="43" t="n"/>
    </row>
    <row r="2">
      <c r="A2" s="54" t="n"/>
      <c r="B2" s="54" t="n"/>
      <c r="C2" s="54" t="n"/>
      <c r="D2" s="54" t="n"/>
      <c r="E2" s="54" t="n"/>
    </row>
    <row r="3">
      <c r="A3" s="75" t="inlineStr">
        <is>
          <t>موضوع</t>
        </is>
      </c>
      <c r="B3" s="75" t="inlineStr">
        <is>
          <t>شرط / مقدار</t>
        </is>
      </c>
      <c r="C3" s="75" t="inlineStr">
        <is>
          <t>رفتار مورد انتظار</t>
        </is>
      </c>
      <c r="D3" s="75" t="inlineStr">
        <is>
          <t>ثابت / محل کد</t>
        </is>
      </c>
      <c r="E3" s="75" t="inlineStr">
        <is>
          <t>توضیح</t>
        </is>
      </c>
    </row>
    <row r="4">
      <c r="A4" s="76" t="inlineStr">
        <is>
          <t>گیت ثبات اتصال</t>
        </is>
      </c>
      <c r="B4" s="76" t="inlineStr">
        <is>
          <t>۱۵s دیدن ولتاژ باتری</t>
        </is>
      </c>
      <c r="C4" s="76" t="inlineStr">
        <is>
          <t>OFF→BULK فقط بعد از ثبات</t>
        </is>
      </c>
      <c r="D4" s="77" t="inlineStr">
        <is>
          <t>charger.h (2026-09-19)</t>
        </is>
      </c>
      <c r="E4" s="76" t="inlineStr">
        <is>
          <t>JIT-ریتری و reentry معاف</t>
        </is>
      </c>
    </row>
    <row r="5">
      <c r="A5" s="76" t="inlineStr">
        <is>
          <t>باند تنظیم BULK</t>
        </is>
      </c>
      <c r="B5" s="76" t="inlineStr">
        <is>
          <t>630..650mA Iest</t>
        </is>
      </c>
      <c r="C5" s="76" t="inlineStr">
        <is>
          <t>پله‌های duty برای نگه‌داشت باند</t>
        </is>
      </c>
      <c r="D5" s="76" t="inlineStr">
        <is>
          <t>CHG_REGULATE_LOW_MA / CHG_BULK_CURRENT_MAX_MA</t>
        </is>
      </c>
      <c r="E5" s="76" t="inlineStr">
        <is>
          <t>تصمیم روی جریان تخمینی خروجی</t>
        </is>
      </c>
    </row>
    <row r="6">
      <c r="A6" s="76" t="inlineStr">
        <is>
          <t>خطای سخت جریان</t>
        </is>
      </c>
      <c r="B6" s="76" t="inlineStr">
        <is>
          <t>&gt;950mA</t>
        </is>
      </c>
      <c r="C6" s="76" t="inlineStr">
        <is>
          <t>ریست کانال</t>
        </is>
      </c>
      <c r="D6" s="76" t="inlineStr">
        <is>
          <t>CHG_CURRENT_HARD_FAULT_MA</t>
        </is>
      </c>
      <c r="E6" s="76" t="inlineStr">
        <is>
          <t>حداکثر ~10ms تأخیر با فیلترها</t>
        </is>
      </c>
    </row>
    <row r="7">
      <c r="A7" s="76" t="inlineStr">
        <is>
          <t>ABSORB</t>
        </is>
      </c>
      <c r="B7" s="76" t="inlineStr">
        <is>
          <t>ورود 14.3 / نگه‌داشت 14.4 / فرار 14.6V</t>
        </is>
      </c>
      <c r="C7" s="76" t="inlineStr">
        <is>
          <t>پله 0.1٪ / نزول 0.5٪</t>
        </is>
      </c>
      <c r="D7" s="76" t="inlineStr">
        <is>
          <t>CHG_ABSORB_*</t>
        </is>
      </c>
      <c r="E7" s="76" t="inlineStr">
        <is>
          <t>شستشوی ۱۰ دقیقه کل مدت</t>
        </is>
      </c>
    </row>
    <row r="8">
      <c r="A8" s="76" t="inlineStr">
        <is>
          <t>JIT</t>
        </is>
      </c>
      <c r="B8" s="76" t="inlineStr">
        <is>
          <t>lockout 3s، ریتری ۵۰٪، دوم ≤۱۰٪، سوم FINAL</t>
        </is>
      </c>
      <c r="C8" s="76" t="inlineStr">
        <is>
          <t>ریتری تک‌تک از صف</t>
        </is>
      </c>
      <c r="D8" s="76" t="inlineStr">
        <is>
          <t>CHG_JIT_LOCKOUT_MS / CHG_DUTY_RETRY_SECOND_MAX</t>
        </is>
      </c>
      <c r="E8" s="76" t="inlineStr">
        <is>
          <t>در مود دستی: بدون ریتری، فقط re-arm</t>
        </is>
      </c>
    </row>
    <row r="9">
      <c r="A9" s="76" t="inlineStr">
        <is>
          <t>مود دستی v1.2</t>
        </is>
      </c>
      <c r="B9" s="76" t="inlineStr">
        <is>
          <t>ID19، ددمن 3s، قطع 15V، سقف، قطع کانال</t>
        </is>
      </c>
      <c r="C9" s="76" t="inlineStr">
        <is>
          <t>duty مستقیم از 16/18</t>
        </is>
      </c>
      <c r="D9" s="76" t="inlineStr">
        <is>
          <t>CHG_MANUAL_WATCHDOG_MS و §5.2 سند ESP</t>
        </is>
      </c>
      <c r="E9" s="76" t="inlineStr">
        <is>
          <t>فریز Fault_Evaluate حین مود</t>
        </is>
      </c>
    </row>
  </sheetData>
  <mergeCells count="1">
    <mergeCell ref="A1:E1"/>
  </mergeCells>
  <hyperlinks>
    <hyperlink xmlns:r="http://schemas.openxmlformats.org/officeDocument/2006/relationships" ref="D4" r:id="rId1"/>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9" t="inlineStr">
        <is>
          <t>ثبت ایرادهای مشاهده‌شده — ماژول Charger</t>
        </is>
      </c>
    </row>
    <row r="2" ht="30" customHeight="1">
      <c r="A2" s="51" t="inlineStr">
        <is>
          <t>برای هر وضعیت «رد» یا تفاوت مهم، یک ردیف با شناسهٔ یکتا ثبت و پس از اصلاح دوباره تست شود.</t>
        </is>
      </c>
      <c r="B2" s="42" t="n"/>
      <c r="C2" s="42" t="n"/>
      <c r="D2" s="42" t="n"/>
      <c r="E2" s="42" t="n"/>
      <c r="F2" s="42" t="n"/>
      <c r="G2" s="42" t="n"/>
      <c r="H2" s="42" t="n"/>
      <c r="I2" s="42" t="n"/>
      <c r="J2" s="42" t="n"/>
      <c r="K2" s="42" t="n"/>
      <c r="L2" s="42" t="n"/>
      <c r="M2" s="43" t="n"/>
    </row>
    <row r="3">
      <c r="A3" s="75" t="inlineStr">
        <is>
          <t>شماره ایراد</t>
        </is>
      </c>
      <c r="B3" s="75" t="inlineStr">
        <is>
          <t>شناسه تست</t>
        </is>
      </c>
      <c r="C3" s="75" t="inlineStr">
        <is>
          <t>تاریخ کشف</t>
        </is>
      </c>
      <c r="D3" s="75" t="inlineStr">
        <is>
          <t>شدت</t>
        </is>
      </c>
      <c r="E3" s="75" t="inlineStr">
        <is>
          <t>شرح کوتاه ایراد</t>
        </is>
      </c>
      <c r="F3" s="75" t="inlineStr">
        <is>
          <t>مراحل بازتولید</t>
        </is>
      </c>
      <c r="G3" s="75" t="inlineStr">
        <is>
          <t>انتظار</t>
        </is>
      </c>
      <c r="H3" s="75" t="inlineStr">
        <is>
          <t>واقعیت</t>
        </is>
      </c>
      <c r="I3" s="75" t="inlineStr">
        <is>
          <t>مدرک/مسیر عکس یا scope</t>
        </is>
      </c>
      <c r="J3" s="75" t="inlineStr">
        <is>
          <t>commit firmware</t>
        </is>
      </c>
      <c r="K3" s="75" t="inlineStr">
        <is>
          <t>محل احتمالی</t>
        </is>
      </c>
      <c r="L3" s="75" t="inlineStr">
        <is>
          <t>وضعیت ایراد</t>
        </is>
      </c>
      <c r="M3" s="75"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9" t="inlineStr">
        <is>
          <t>تأیید نهایی اعتبارسنجی — ماژول Charger</t>
        </is>
      </c>
    </row>
    <row r="2">
      <c r="A2" s="50" t="inlineStr">
        <is>
          <t>این صفحه فقط پس از تکمیل تست‌ها و بسته‌شدن ایرادها پر می‌شود.</t>
        </is>
      </c>
    </row>
    <row r="3">
      <c r="A3" s="50" t="inlineStr">
        <is>
          <t>مشخصات تست</t>
        </is>
      </c>
    </row>
    <row r="4">
      <c r="A4" s="50" t="inlineStr">
        <is>
          <t>پروژه</t>
        </is>
      </c>
      <c r="B4" s="50" t="inlineStr">
        <is>
          <t>ChangeOver</t>
        </is>
      </c>
      <c r="C4" s="54" t="n"/>
    </row>
    <row r="5">
      <c r="A5" s="50" t="inlineStr">
        <is>
          <t>ماژول</t>
        </is>
      </c>
      <c r="B5" s="50" t="inlineStr">
        <is>
          <t>Charger — دو کانال ۱۲V مستقل</t>
        </is>
      </c>
      <c r="C5" s="54" t="n"/>
    </row>
    <row r="6">
      <c r="A6" s="50" t="inlineStr">
        <is>
          <t>تاریخ ساخت فرم</t>
        </is>
      </c>
      <c r="B6" s="50" t="inlineStr">
        <is>
          <t>2026-09-23 (1.0 — پوشش v1.2 مود دستی)</t>
        </is>
      </c>
      <c r="C6" s="54" t="n"/>
    </row>
    <row r="7">
      <c r="A7" s="50" t="inlineStr">
        <is>
          <t>نسخه فرم</t>
        </is>
      </c>
      <c r="B7" s="50" t="inlineStr">
        <is>
          <t>1.0</t>
        </is>
      </c>
      <c r="C7" s="54" t="n"/>
    </row>
    <row r="8">
      <c r="A8" s="50" t="inlineStr">
        <is>
          <t>commit firmware</t>
        </is>
      </c>
      <c r="B8" s="50" t="inlineStr">
        <is>
          <t>TESTER: fill</t>
        </is>
      </c>
      <c r="C8" s="54" t="n"/>
    </row>
    <row r="9">
      <c r="A9" s="50" t="inlineStr">
        <is>
          <t>ابزار</t>
        </is>
      </c>
      <c r="B9" s="50" t="inlineStr">
        <is>
          <t>پنل ESP + اسکوپ + مولتی‌متر + منبع محدودشده</t>
        </is>
      </c>
      <c r="C9" s="54" t="n"/>
    </row>
    <row r="10">
      <c r="A10" s="54" t="n"/>
      <c r="B10" s="54" t="n"/>
      <c r="C10" s="54" t="n"/>
    </row>
    <row r="11">
      <c r="A11" s="78" t="inlineStr">
        <is>
          <t>خلاصهٔ خودکار وضعیت تست‌ها</t>
        </is>
      </c>
      <c r="B11" s="54" t="n"/>
      <c r="C11" s="54" t="n"/>
    </row>
    <row r="12">
      <c r="A12" s="75" t="inlineStr">
        <is>
          <t>شاخص</t>
        </is>
      </c>
      <c r="B12" s="75" t="inlineStr">
        <is>
          <t>مقدار</t>
        </is>
      </c>
      <c r="C12" s="75" t="inlineStr">
        <is>
          <t>توضیح</t>
        </is>
      </c>
    </row>
    <row r="13">
      <c r="A13" s="79" t="inlineStr">
        <is>
          <t>کل تست‌ها</t>
        </is>
      </c>
      <c r="B13" s="79" t="n">
        <v>19</v>
      </c>
      <c r="C13" s="79" t="inlineStr">
        <is>
          <t>همهٔ ردیف‌های برنامه تست</t>
        </is>
      </c>
    </row>
    <row r="14">
      <c r="A14" s="79" t="inlineStr">
        <is>
          <t>قبول</t>
        </is>
      </c>
      <c r="B14" s="79">
        <f>COUNTIF('برنامه تست'!L:L,"قبول")</f>
        <v/>
      </c>
      <c r="C14" s="79" t="inlineStr">
        <is>
          <t>COUNTIF برنامه تست</t>
        </is>
      </c>
    </row>
    <row r="15">
      <c r="A15" s="79" t="inlineStr">
        <is>
          <t>رد</t>
        </is>
      </c>
      <c r="B15" s="79">
        <f>COUNTIF('برنامه تست'!L:L,"رد")</f>
        <v/>
      </c>
      <c r="C15" s="79" t="inlineStr">
        <is>
          <t>COUNTIF رد</t>
        </is>
      </c>
    </row>
    <row r="16">
      <c r="A16" s="79" t="inlineStr">
        <is>
          <t>در انتظار</t>
        </is>
      </c>
      <c r="B16" s="79">
        <f>COUNTIF('برنامه تست'!L:L,"در انتظار")</f>
        <v/>
      </c>
      <c r="C16" s="79" t="inlineStr">
        <is>
          <t>پیش از تست برد</t>
        </is>
      </c>
    </row>
    <row r="17">
      <c r="A17" s="79" t="inlineStr">
        <is>
          <t>نرخ قبولی</t>
        </is>
      </c>
      <c r="B17" s="79">
        <f>IF(19=0,0,COUNTIF('برنامه تست'!L:L,"قبول")/19)</f>
        <v/>
      </c>
      <c r="C17" s="79" t="inlineStr">
        <is>
          <t>قبول/کل</t>
        </is>
      </c>
    </row>
    <row r="18">
      <c r="A18" s="54" t="n"/>
      <c r="B18" s="54" t="n"/>
      <c r="C18" s="54" t="n"/>
    </row>
    <row r="19">
      <c r="A19" s="78" t="inlineStr">
        <is>
          <t>امضا و تأیید: تست‌کننده ______  بازبین ______  تاریخ ______</t>
        </is>
      </c>
      <c r="B19" s="54" t="n"/>
      <c r="C19" s="54"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80" t="inlineStr">
        <is>
          <t>وضعیت</t>
        </is>
      </c>
      <c r="B1" s="54" t="n"/>
    </row>
    <row r="2">
      <c r="A2" s="81" t="inlineStr">
        <is>
          <t>در انتظار</t>
        </is>
      </c>
      <c r="B2" s="54" t="n"/>
    </row>
    <row r="3">
      <c r="A3" s="81" t="inlineStr">
        <is>
          <t>انجام شد</t>
        </is>
      </c>
      <c r="B3" s="54" t="n"/>
    </row>
    <row r="4">
      <c r="A4" s="81" t="inlineStr">
        <is>
          <t>قبول</t>
        </is>
      </c>
      <c r="B4" s="54" t="n"/>
    </row>
    <row r="5">
      <c r="A5" s="81" t="inlineStr">
        <is>
          <t>رد</t>
        </is>
      </c>
      <c r="B5" s="54" t="n"/>
    </row>
    <row r="6">
      <c r="A6" s="81" t="inlineStr">
        <is>
          <t>مسدود</t>
        </is>
      </c>
      <c r="B6" s="54" t="n"/>
    </row>
    <row r="7">
      <c r="A7" s="54" t="inlineStr">
        <is>
          <t>نیاز به تکرار</t>
        </is>
      </c>
      <c r="B7" s="54" t="n"/>
    </row>
    <row r="8">
      <c r="A8" s="80" t="inlineStr">
        <is>
          <t>اولویت</t>
        </is>
      </c>
      <c r="B8" s="54" t="n"/>
    </row>
    <row r="9">
      <c r="A9" s="54" t="n"/>
      <c r="B9" s="81" t="inlineStr">
        <is>
          <t>بالا</t>
        </is>
      </c>
    </row>
    <row r="10">
      <c r="A10" s="54" t="n"/>
      <c r="B10" s="81" t="inlineStr">
        <is>
          <t>متوسط</t>
        </is>
      </c>
    </row>
    <row r="11">
      <c r="A11" s="54" t="n"/>
      <c r="B11" s="81" t="inlineStr">
        <is>
          <t>پایین</t>
        </is>
      </c>
    </row>
    <row r="12">
      <c r="A12" s="54" t="n"/>
      <c r="B12" s="54" t="n"/>
    </row>
    <row r="13">
      <c r="A13" s="80" t="inlineStr">
        <is>
          <t>شدت</t>
        </is>
      </c>
      <c r="B13" s="54" t="n"/>
    </row>
    <row r="14">
      <c r="A14" s="81" t="inlineStr">
        <is>
          <t>بحرانی</t>
        </is>
      </c>
      <c r="B14" s="54" t="n"/>
    </row>
    <row r="15">
      <c r="A15" s="81" t="inlineStr">
        <is>
          <t>بالا</t>
        </is>
      </c>
      <c r="B15" s="54" t="n"/>
    </row>
    <row r="16">
      <c r="A16" s="81" t="inlineStr">
        <is>
          <t>متوسط</t>
        </is>
      </c>
      <c r="B16" s="54" t="n"/>
    </row>
    <row r="17">
      <c r="A17" s="81" t="inlineStr">
        <is>
          <t>پایین</t>
        </is>
      </c>
      <c r="B17" s="54"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شارژر (Charger)</t>
        </is>
      </c>
    </row>
    <row r="2">
      <c r="A2" s="54" t="n"/>
      <c r="B2" s="54" t="n"/>
      <c r="C2" s="54" t="n"/>
    </row>
    <row r="3" ht="24" customHeight="1">
      <c r="A3" s="9" t="inlineStr">
        <is>
          <t>حالت‌ها و گذارهای همین ماژول</t>
        </is>
      </c>
      <c r="B3" s="10" t="inlineStr">
        <is>
          <t>Charger_State_Machine.xlsx</t>
        </is>
      </c>
      <c r="C3" s="54" t="n"/>
    </row>
    <row r="4" ht="24" customHeight="1">
      <c r="A4" s="9" t="inlineStr">
        <is>
          <t>ماشین حالت کل برنامه (نمای سیستمی)</t>
        </is>
      </c>
      <c r="B4" s="10" t="inlineStr">
        <is>
          <t>../../../Documentation/System_State_Machine.xlsx</t>
        </is>
      </c>
      <c r="C4" s="54"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54" t="n"/>
    </row>
    <row r="6" ht="24" customHeight="1">
      <c r="A6" s="9" t="inlineStr">
        <is>
          <t>بازتولید</t>
        </is>
      </c>
      <c r="B6" s="10" t="inlineStr">
        <is>
          <t>python3 tools/make_module_state_machines.py</t>
        </is>
      </c>
      <c r="C6" s="54"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2026-10-17T12:01:48Z</dcterms:modified>
</cp:coreProperties>
</file>