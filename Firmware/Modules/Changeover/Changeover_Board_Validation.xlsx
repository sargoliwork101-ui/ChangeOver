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تست'!$A$4:$Q$28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2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</fonts>
  <fills count="12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6" fillId="1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32" fillId="2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6;&#1585;&#1606;&#1575;&#1605;&#1607; &#1578;&#1587;&#1578;'!A12" TargetMode="External" Id="rId1" /><Relationship Type="http://schemas.openxmlformats.org/officeDocument/2006/relationships/hyperlink" Target="#'&#1576;&#1585;&#1606;&#1575;&#1605;&#1607; &#1578;&#1587;&#1578;'!A17" TargetMode="External" Id="rId2" /><Relationship Type="http://schemas.openxmlformats.org/officeDocument/2006/relationships/hyperlink" Target="#'&#1576;&#1585;&#1606;&#1575;&#1605;&#1607; &#1578;&#1587;&#1578;'!A17" TargetMode="External" Id="rId3" /><Relationship Type="http://schemas.openxmlformats.org/officeDocument/2006/relationships/hyperlink" Target="#'&#1576;&#1585;&#1606;&#1575;&#1605;&#1607; &#1578;&#1587;&#1578;'!A5" TargetMode="External" Id="rId4" /><Relationship Type="http://schemas.openxmlformats.org/officeDocument/2006/relationships/hyperlink" Target="changeover.c" TargetMode="External" Id="rId5" /><Relationship Type="http://schemas.openxmlformats.org/officeDocument/2006/relationships/hyperlink" Target="#'&#1576;&#1585;&#1606;&#1575;&#1605;&#1607; &#1578;&#1587;&#1578;'!A12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changeover.c" TargetMode="External" Id="rId1" /><Relationship Type="http://schemas.openxmlformats.org/officeDocument/2006/relationships/hyperlink" Target="#'&#1576;&#1585;&#1606;&#1575;&#1605;&#1607; &#1578;&#1587;&#1578;'!A5" TargetMode="External" Id="rId2" /><Relationship Type="http://schemas.openxmlformats.org/officeDocument/2006/relationships/hyperlink" Target="#'&#1576;&#1585;&#1606;&#1575;&#1605;&#1607; &#1578;&#1587;&#1578;'!A8" TargetMode="External" Id="rId3" /><Relationship Type="http://schemas.openxmlformats.org/officeDocument/2006/relationships/hyperlink" Target="#'&#1576;&#1585;&#1606;&#1575;&#1605;&#1607; &#1578;&#1587;&#1578;'!A12" TargetMode="External" Id="rId4" /><Relationship Type="http://schemas.openxmlformats.org/officeDocument/2006/relationships/hyperlink" Target="#'&#1576;&#1585;&#1606;&#1575;&#1605;&#1607; &#1578;&#1587;&#1578;'!A13" TargetMode="External" Id="rId5" /><Relationship Type="http://schemas.openxmlformats.org/officeDocument/2006/relationships/hyperlink" Target="#'&#1576;&#1585;&#1606;&#1575;&#1605;&#1607; &#1578;&#1587;&#1578;'!A16" TargetMode="External" Id="rId6" /><Relationship Type="http://schemas.openxmlformats.org/officeDocument/2006/relationships/hyperlink" Target="#'&#1576;&#1585;&#1606;&#1575;&#1605;&#1607; &#1578;&#1587;&#1578;'!A17" TargetMode="External" Id="rId7" /><Relationship Type="http://schemas.openxmlformats.org/officeDocument/2006/relationships/hyperlink" Target="../../Config/Inc/app_types.h" TargetMode="External" Id="rId8" /><Relationship Type="http://schemas.openxmlformats.org/officeDocument/2006/relationships/hyperlink" Target="#'&#1576;&#1585;&#1606;&#1575;&#1605;&#1607; &#1578;&#1587;&#1578;'!A20" TargetMode="External" Id="rId9" /><Relationship Type="http://schemas.openxmlformats.org/officeDocument/2006/relationships/hyperlink" Target="#'&#1576;&#1585;&#1606;&#1575;&#1605;&#1607; &#1578;&#1587;&#1578;'!A21" TargetMode="External" Id="rId10" /><Relationship Type="http://schemas.openxmlformats.org/officeDocument/2006/relationships/hyperlink" Target="../../Bsp/Inc/bsp_gpio.h" TargetMode="External" Id="rId11" /><Relationship Type="http://schemas.openxmlformats.org/officeDocument/2006/relationships/hyperlink" Target="#'&#1576;&#1585;&#1606;&#1575;&#1605;&#1607; &#1578;&#1587;&#1578;'!A23" TargetMode="External" Id="rId12" /><Relationship Type="http://schemas.openxmlformats.org/officeDocument/2006/relationships/hyperlink" Target="#'&#1576;&#1585;&#1606;&#1575;&#1605;&#1607; &#1578;&#1587;&#1578;'!A25" TargetMode="External" Id="rId13" /><Relationship Type="http://schemas.openxmlformats.org/officeDocument/2006/relationships/hyperlink" Target="changeover.c" TargetMode="External" Id="rId14" /><Relationship Type="http://schemas.openxmlformats.org/officeDocument/2006/relationships/hyperlink" Target="#'&#1576;&#1585;&#1606;&#1575;&#1605;&#1607; &#1578;&#1587;&#1578;'!A26" TargetMode="External" Id="rId15" /><Relationship Type="http://schemas.openxmlformats.org/officeDocument/2006/relationships/hyperlink" Target="../../Config/Inc/app_types.h" TargetMode="External" Id="rId16" /><Relationship Type="http://schemas.openxmlformats.org/officeDocument/2006/relationships/hyperlink" Target="#'&#1576;&#1585;&#1606;&#1575;&#1605;&#1607; &#1578;&#1587;&#1578;'!A24" TargetMode="External" Id="rId17" /></Relationships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Changeover — منطق قطع/وصل باتری</t>
        </is>
      </c>
    </row>
    <row r="2" ht="40" customHeight="1">
      <c r="A2" s="36" t="inlineStr">
        <is>
          <t>ChangeOver | PB11 (BSP_GPIO_PROTECT_BATTERY) | آستانه‌ها: 21000/20800/21200 و فیلتر 3000ms | نسخه 2.1 — فقط PB11، زمان rtos_time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38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9" t="inlineStr">
        <is>
          <t>دامنه: فقط Changeover؛ Measurement برای snapshot، Fault برای fault_mask و UI برای فلگ</t>
        </is>
      </c>
    </row>
    <row r="8" ht="13" customHeight="1">
      <c r="A8" s="38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38" t="inlineStr">
        <is>
          <t>فقط وقتی snapshot معتبر و fault!=0 → state=FAULT بدون تغییر هیچ pin (PB11/PB5/PB7).</t>
        </is>
      </c>
    </row>
    <row r="10" ht="13" customHeight="1">
      <c r="A10" s="38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38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38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38" t="inlineStr">
        <is>
          <t>۲) firmware موردنظر را پروگرام کن؛ commit و شناسه برد را در «تأیید نهایی» ثبت کن.</t>
        </is>
      </c>
    </row>
    <row r="16" ht="13" customHeight="1">
      <c r="A16" s="38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38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38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38" t="inlineStr">
        <is>
          <t>۶) نتیجه واقعی را بنویس و در صورت رد، در «ثبت ایراد» ردیف بساز.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2.1</t>
        </is>
      </c>
      <c r="C22" s="42" t="inlineStr">
        <is>
          <t>تکمیل ۲۲ تست مطابق لیست درخواستی، ستون‌های ۱۶گانه، PASS/FAIL per test، زمان rtos_time و duration0 guard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42" t="inlineStr">
        <is>
          <t>2026-09-16</t>
        </is>
      </c>
      <c r="B23" s="42" t="inlineStr">
        <is>
          <t>2.0</t>
        </is>
      </c>
      <c r="C23" s="42" t="inlineStr">
        <is>
          <t>snapshot-first با MillisecondsToTicks، نگاشت BATTERY/INPUT/SAFE/FAULT بدون IDLE</t>
        </is>
      </c>
      <c r="D23" s="42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42" t="inlineStr">
        <is>
          <t>2026-09-16</t>
        </is>
      </c>
      <c r="B24" s="42" t="inlineStr">
        <is>
          <t>1.0</t>
        </is>
      </c>
      <c r="C24" s="42" t="inlineStr">
        <is>
          <t>پیاده‌سازی با 21 سناریو</t>
        </is>
      </c>
      <c r="D24" s="42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s="43" t="inlineStr">
        <is>
          <t>2026-10-12</t>
        </is>
      </c>
      <c r="B25" s="43" t="inlineStr">
        <is>
          <t>1.87</t>
        </is>
      </c>
      <c r="C25" s="43" t="inlineStr">
        <is>
          <t>پنل دیالوگ تیره همرنگ + صف PMQ + Enter/Esc + snapshot zeroing task_control (62f3782)</t>
        </is>
      </c>
      <c r="D25" s="43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Changeover (قطع/وصل باتری با 3000ms)</t>
        </is>
      </c>
    </row>
    <row r="2" ht="30" customHeight="1">
      <c r="A2" s="45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46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CO-001</t>
        </is>
      </c>
      <c r="B5" s="48" t="inlineStr">
        <is>
          <t>Snapshot نامعتبر / حفظ</t>
        </is>
      </c>
      <c r="C5" s="49" t="inlineStr">
        <is>
          <t>بالا</t>
        </is>
      </c>
      <c r="D5" s="48" t="inlineStr">
        <is>
          <t>Init → BOOT, PB11 High-safe</t>
        </is>
      </c>
      <c r="E5" s="48" t="inlineStr">
        <is>
          <t>گام ۱: برد را بوت کن و بگذار به وضعیت اولیه (BOOT) برسد؛ PB11 باید High و امن باشد.
گام ۲: یک snapshot نامعتبر اعمال کن: valid=false ولی v_bat=24000، input=false و fault=0.
گام ۳: 500 میلی‌ثانیه صبر کن و وضعیت (state) و پایهٔ PB11 را بخوان.
گام ۴: وضعیت قبلی (BOOT یا هر وضعیت قبلی) و PB11 باید بدون هیچ تغییری حفظ شده باشند؛ رفتن به FAULT یا IDLE یا تغییر PB11 یعنی رد تست.</t>
        </is>
      </c>
      <c r="F5" s="50" t="inlineStr">
        <is>
          <t>valid=false, v=24000, input=false, flag false, fault0</t>
        </is>
      </c>
      <c r="G5" s="50" t="inlineStr">
        <is>
          <t>500ms</t>
        </is>
      </c>
      <c r="H5" s="48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48" t="inlineStr">
        <is>
          <t>PASS: state فعلی حفظ. FAIL: تغییر خودبه‌خود.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67.5" customHeight="1">
      <c r="A6" s="47" t="inlineStr">
        <is>
          <t>CO-002</t>
        </is>
      </c>
      <c r="B6" s="55" t="inlineStr">
        <is>
          <t>Snapshot نامعتبر / تایمر reset</t>
        </is>
      </c>
      <c r="C6" s="56" t="inlineStr">
        <is>
          <t>بالا</t>
        </is>
      </c>
      <c r="D6" s="55" t="inlineStr">
        <is>
          <t>BATTERY با شرط قطع نیمه‌کاره</t>
        </is>
      </c>
      <c r="E6" s="55" t="inlineStr">
        <is>
          <t>گام ۱: برد در وضعیت BATTERY باشد.
گام ۲: دو ثانیه شرط قطع را اعمال کن: snapshot معتبر با v=20900 و flag=true.
گام ۳: بعد یک ثانیه snapshot نامعتبر بده (valid=false).
گام ۴: دوباره دو ثانیه شرط قطع را اعمال کن و PB11 را زیر نظر بگیر.
گام ۵: PB11 نباید قطع شود؛ آن یک ثانیهٔ نامعتبر تایمر 3 ثانیه‌ای را از نو شروع می‌کند، پس در هیچ‌کدام از دو بازهٔ 2 ثانیه‌ای نباید قطع اتفاق بیفتد. قطع زود یعنی رد تست.</t>
        </is>
      </c>
      <c r="F6" s="57" t="inlineStr">
        <is>
          <t>valid true 2s → false 1s → true 2s, v20900 flag true</t>
        </is>
      </c>
      <c r="G6" s="57" t="inlineStr">
        <is>
          <t>2+1+2s</t>
        </is>
      </c>
      <c r="H6" s="55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55" t="inlineStr">
        <is>
          <t>PASS: reset پس از invalid. FAIL: قطع زود.</t>
        </is>
      </c>
      <c r="J6" s="55" t="inlineStr"/>
      <c r="K6" s="55" t="inlineStr">
        <is>
          <t>در انتظار</t>
        </is>
      </c>
      <c r="L6" s="58" t="inlineStr"/>
      <c r="M6" s="55" t="inlineStr"/>
      <c r="N6" s="55" t="inlineStr">
        <is>
          <t>c6b084f28f2c507cfd342e5dbd0dbd8e45686772</t>
        </is>
      </c>
      <c r="O6" s="57" t="inlineStr"/>
      <c r="P6" s="57" t="inlineStr"/>
      <c r="Q6" s="59">
        <f>IF(OR(L6="",L6="در انتظار"),"",IF(Q6="",TODAY(),Q6))</f>
        <v/>
      </c>
    </row>
    <row r="7" ht="54" customHeight="1">
      <c r="A7" s="47" t="inlineStr">
        <is>
          <t>CO-003</t>
        </is>
      </c>
      <c r="B7" s="48" t="inlineStr">
        <is>
          <t>Snapshot نامعتبر + Fault</t>
        </is>
      </c>
      <c r="C7" s="49" t="inlineStr">
        <is>
          <t>بالا</t>
        </is>
      </c>
      <c r="D7" s="48" t="inlineStr">
        <is>
          <t>BATTERY</t>
        </is>
      </c>
      <c r="E7" s="48" t="inlineStr">
        <is>
          <t>گام ۱: برد در وضعیت BATTERY باشد.
گام ۲: snapshot نامعتبر با fault=FAULT_ADC (مقدار 1) و v=25000 اعمال کن.
گام ۳: 500 میلی‌ثانیه صبر کن.
گام ۴: وضعیت نباید FAULT شود و PB11 نباید تغییر کند؛ fault همراه snapshot نامعتبر شمرده نمی‌شود و تایمر قطع هم reset می‌شود.</t>
        </is>
      </c>
      <c r="F7" s="50" t="inlineStr">
        <is>
          <t>valid=false, fault=1 (ADC), v25000</t>
        </is>
      </c>
      <c r="G7" s="50" t="inlineStr">
        <is>
          <t>500ms</t>
        </is>
      </c>
      <c r="H7" s="48" t="inlineStr">
        <is>
          <t>state حفظ شود (نه FAULT)، PB11 حفظ، تایمر reset. PASS: fault همراه invalid نباید FAULT شود. FAIL: FAULT شدن.</t>
        </is>
      </c>
      <c r="I7" s="48" t="inlineStr">
        <is>
          <t>PASS: حفظ state قبلی. FAIL: FAULT.</t>
        </is>
      </c>
      <c r="J7" s="51" t="inlineStr"/>
      <c r="K7" s="52" t="inlineStr">
        <is>
          <t>در انتظار</t>
        </is>
      </c>
      <c r="L7" s="53" t="inlineStr"/>
      <c r="M7" s="48" t="inlineStr"/>
      <c r="N7" s="48" t="inlineStr">
        <is>
          <t>c6b084f28f2c507cfd342e5dbd0dbd8e45686772</t>
        </is>
      </c>
      <c r="O7" s="50" t="inlineStr"/>
      <c r="P7" s="50" t="inlineStr"/>
      <c r="Q7" s="54">
        <f>IF(OR(L7="",L7="در انتظار"),"",IF(Q7="",TODAY(),Q7))</f>
        <v/>
      </c>
    </row>
    <row r="8" ht="54" customHeight="1">
      <c r="A8" s="47" t="inlineStr">
        <is>
          <t>CO-004</t>
        </is>
      </c>
      <c r="B8" s="55" t="inlineStr">
        <is>
          <t>Fault با snapshot معتبر</t>
        </is>
      </c>
      <c r="C8" s="56" t="inlineStr">
        <is>
          <t>بالا</t>
        </is>
      </c>
      <c r="D8" s="55" t="inlineStr">
        <is>
          <t>INPUT/BATTERY</t>
        </is>
      </c>
      <c r="E8" s="55" t="inlineStr">
        <is>
          <t>گام ۱: برد در وضعیت INPUT یا BATTERY باشد.
گام ۲: snapshot معتبر با v=24000، input=true و fault=FAULT_ADC (مقدار 1) اعمال کن.
گام ۳: 500 میلی‌ثانیه صبر کن.
گام ۴: وضعیت باید FAULT شود ولی PB11 دقیقاً همان قبلی بماند (از High به Low نرود) و تایمر قطع reset شود.</t>
        </is>
      </c>
      <c r="F8" s="57" t="inlineStr">
        <is>
          <t>valid=true, v24000, input true, fault 1</t>
        </is>
      </c>
      <c r="G8" s="57" t="inlineStr">
        <is>
          <t>500ms</t>
        </is>
      </c>
      <c r="H8" s="55" t="inlineStr">
        <is>
          <t>state=FAULT، PB11 حفظ (بدون تغییر High→Low)، تایمر reset. PASS: FAULT بدون تغییر PB11. FAIL: تغییر PB11 یا ماندن در INPUT.</t>
        </is>
      </c>
      <c r="I8" s="55" t="inlineStr">
        <is>
          <t>PASS: FAULT و PB11 حفظ. FAIL: تغییر PB11.</t>
        </is>
      </c>
      <c r="J8" s="55" t="inlineStr"/>
      <c r="K8" s="55" t="inlineStr">
        <is>
          <t>در انتظار</t>
        </is>
      </c>
      <c r="L8" s="58" t="inlineStr"/>
      <c r="M8" s="55" t="inlineStr"/>
      <c r="N8" s="55" t="inlineStr">
        <is>
          <t>c6b084f28f2c507cfd342e5dbd0dbd8e45686772</t>
        </is>
      </c>
      <c r="O8" s="57" t="inlineStr"/>
      <c r="P8" s="57" t="inlineStr"/>
      <c r="Q8" s="59">
        <f>IF(OR(L8="",L8="در انتظار"),"",IF(Q8="",TODAY(),Q8))</f>
        <v/>
      </c>
    </row>
    <row r="9" ht="54" customHeight="1">
      <c r="A9" s="47" t="inlineStr">
        <is>
          <t>CO-005</t>
        </is>
      </c>
      <c r="B9" s="48" t="inlineStr">
        <is>
          <t>Fault چند بیتی</t>
        </is>
      </c>
      <c r="C9" s="50" t="inlineStr">
        <is>
          <t>متوسط</t>
        </is>
      </c>
      <c r="D9" s="48" t="inlineStr">
        <is>
          <t>FAULT قبلی</t>
        </is>
      </c>
      <c r="E9" s="48" t="inlineStr">
        <is>
          <t>گام ۱: برد از قبل در وضعیت FAULT باشد.
گام ۲: snapshot معتبر با fault برابر 63 (همهٔ بیت‌های خطا با هم) اعمال کن.
گام ۳: 500 میلی‌ثانیه صبر کن و هر سه پایهٔ PB11 و PB5 و PB7 را چک کن.
گام ۴: وضعیت باید FAULT بماند و هیچ‌کدام از سه پایه نباید تغییر کرده باشند.</t>
        </is>
      </c>
      <c r="F9" s="50" t="inlineStr">
        <is>
          <t>valid true, fault ALL</t>
        </is>
      </c>
      <c r="G9" s="50" t="inlineStr">
        <is>
          <t>500ms</t>
        </is>
      </c>
      <c r="H9" s="48" t="inlineStr">
        <is>
          <t>state=FAULT، هیچ pin (PB11/PB5/PB7) تغییر نکند. PASS: همه fault‌ها → FAULT بدون pin. FAIL: هر تغییر pin.</t>
        </is>
      </c>
      <c r="I9" s="48" t="inlineStr">
        <is>
          <t>PASS: همه fault → FAULT no pin. FAIL: pin change.</t>
        </is>
      </c>
      <c r="J9" s="51" t="inlineStr"/>
      <c r="K9" s="52" t="inlineStr">
        <is>
          <t>در انتظار</t>
        </is>
      </c>
      <c r="L9" s="53" t="inlineStr"/>
      <c r="M9" s="48" t="inlineStr"/>
      <c r="N9" s="48" t="inlineStr">
        <is>
          <t>c6b084f28f2c507cfd342e5dbd0dbd8e45686772</t>
        </is>
      </c>
      <c r="O9" s="50" t="inlineStr"/>
      <c r="P9" s="50" t="inlineStr"/>
      <c r="Q9" s="54">
        <f>IF(OR(L9="",L9="در انتظار"),"",IF(Q9="",TODAY(),Q9))</f>
        <v/>
      </c>
    </row>
    <row r="10" ht="54" customHeight="1">
      <c r="A10" s="47" t="inlineStr">
        <is>
          <t>CO-006</t>
        </is>
      </c>
      <c r="B10" s="55" t="inlineStr">
        <is>
          <t>ورودی قطع → BATTERY</t>
        </is>
      </c>
      <c r="C10" s="56" t="inlineStr">
        <is>
          <t>بالا</t>
        </is>
      </c>
      <c r="D10" s="55" t="inlineStr">
        <is>
          <t>BOOT با snapshot معتبر</t>
        </is>
      </c>
      <c r="E10" s="55" t="inlineStr">
        <is>
          <t>گام ۱: برد در BOOT با snapshot معتبر باشد.
گام ۲: snapshot معتبر با v=24000، input=false (یعنی Vin حداکثر 20 ولت) و fault=0 اعمال کن.
گام ۳: 500 میلی‌ثانیه صبر کن.
گام ۴: وضعیت باید BATTERY شود و PB11 باید High و امن (متصل) باشد؛ رفتن به INPUT یا SAFE یا FAULT یعنی رد تست.</t>
        </is>
      </c>
      <c r="F10" s="57" t="inlineStr">
        <is>
          <t>valid true, v24000, input false</t>
        </is>
      </c>
      <c r="G10" s="57" t="inlineStr">
        <is>
          <t>500ms</t>
        </is>
      </c>
      <c r="H10" s="55" t="inlineStr">
        <is>
          <t>state=BATTERY, PB11 High-safe (متصل). PASS: BATTERY. FAIL: INPUT یا SAFE یا FAULT.</t>
        </is>
      </c>
      <c r="I10" s="55" t="inlineStr">
        <is>
          <t>PASS: BATTERY. FAIL: otherwise.</t>
        </is>
      </c>
      <c r="J10" s="55" t="inlineStr"/>
      <c r="K10" s="55" t="inlineStr">
        <is>
          <t>در انتظار</t>
        </is>
      </c>
      <c r="L10" s="58" t="inlineStr"/>
      <c r="M10" s="55" t="inlineStr"/>
      <c r="N10" s="55" t="inlineStr">
        <is>
          <t>c6b084f28f2c507cfd342e5dbd0dbd8e45686772</t>
        </is>
      </c>
      <c r="O10" s="57" t="inlineStr"/>
      <c r="P10" s="57" t="inlineStr"/>
      <c r="Q10" s="59">
        <f>IF(OR(L10="",L10="در انتظار"),"",IF(Q10="",TODAY(),Q10))</f>
        <v/>
      </c>
    </row>
    <row r="11" ht="54" customHeight="1">
      <c r="A11" s="47" t="inlineStr">
        <is>
          <t>CO-007</t>
        </is>
      </c>
      <c r="B11" s="48" t="inlineStr">
        <is>
          <t>ورودی حاضر → INPUT</t>
        </is>
      </c>
      <c r="C11" s="49" t="inlineStr">
        <is>
          <t>بالا</t>
        </is>
      </c>
      <c r="D11" s="48" t="inlineStr">
        <is>
          <t>BOOT/BATTERY</t>
        </is>
      </c>
      <c r="E11" s="48" t="inlineStr">
        <is>
          <t>گام ۱: برد در BOOT یا BATTERY باشد.
گام ۲: snapshot معتبر با v=24000، input=true (یعنی Vin دست‌کم 21 ولت) و fault=0 اعمال کن.
گام ۳: 500 میلی‌ثانیه صبر کن.
گام ۴: وضعیت باید INPUT شود و PB11 High و امن بماند.</t>
        </is>
      </c>
      <c r="F11" s="50" t="inlineStr">
        <is>
          <t>valid true, v24000, input true</t>
        </is>
      </c>
      <c r="G11" s="50" t="inlineStr">
        <is>
          <t>500ms</t>
        </is>
      </c>
      <c r="H11" s="48" t="inlineStr">
        <is>
          <t>state=INPUT, PB11 High-safe. PASS: INPUT. FAIL: BATTERY یا SAFE.</t>
        </is>
      </c>
      <c r="I11" s="48" t="inlineStr">
        <is>
          <t>PASS: INPUT. FAIL: otherwise.</t>
        </is>
      </c>
      <c r="J11" s="51" t="inlineStr"/>
      <c r="K11" s="52" t="inlineStr">
        <is>
          <t>در انتظار</t>
        </is>
      </c>
      <c r="L11" s="53" t="inlineStr"/>
      <c r="M11" s="48" t="inlineStr"/>
      <c r="N11" s="48" t="inlineStr">
        <is>
          <t>c6b084f28f2c507cfd342e5dbd0dbd8e45686772</t>
        </is>
      </c>
      <c r="O11" s="50" t="inlineStr"/>
      <c r="P11" s="50" t="inlineStr"/>
      <c r="Q11" s="54">
        <f>IF(OR(L11="",L11="در انتظار"),"",IF(Q11="",TODAY(),Q11))</f>
        <v/>
      </c>
    </row>
    <row r="12" ht="54" customHeight="1">
      <c r="A12" s="47" t="inlineStr">
        <is>
          <t>CO-008</t>
        </is>
      </c>
      <c r="B12" s="55" t="inlineStr">
        <is>
          <t>قطع با گیت / 21000 + flag</t>
        </is>
      </c>
      <c r="C12" s="56" t="inlineStr">
        <is>
          <t>بالا</t>
        </is>
      </c>
      <c r="D12" s="55" t="inlineStr">
        <is>
          <t>BATTERY/INPUT, PB11 High</t>
        </is>
      </c>
      <c r="E12" s="55" t="inlineStr">
        <is>
          <t>گام ۱: برد در BATTERY یا INPUT و PB11 وصل (High) باشد.
گام ۲: snapshot معتبر با v=20900 (کمتر از 21000)، flag=true و input=false اعمال کن.
گام ۳: این شرط را 3500 میلی‌ثانیه پیوسته نگه دار و ساعت بگیر.
گام ۴: در 2500 میلی‌ثانیه اول باید هنوز BATTERY/INPUT و PB11 وصل باشد؛ فقط بعد از 3000 میلی‌ثانیهٔ پیوسته باید PB11 قطع (Low) شود و وضعیت SAFE شود. قطع زودتر یا قطع‌نشدن یعنی رد تست.</t>
        </is>
      </c>
      <c r="F12" s="57" t="inlineStr">
        <is>
          <t>v20900 (&lt;21000) flag true</t>
        </is>
      </c>
      <c r="G12" s="57" t="inlineStr">
        <is>
          <t>3500ms (≥3000)</t>
        </is>
      </c>
      <c r="H12" s="55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55" t="inlineStr">
        <is>
          <t>PASS: 2500 still no cut, 3000 SAFE. FAIL: early or no cut.</t>
        </is>
      </c>
      <c r="J12" s="55" t="inlineStr"/>
      <c r="K12" s="55" t="inlineStr">
        <is>
          <t>در انتظار</t>
        </is>
      </c>
      <c r="L12" s="58" t="inlineStr"/>
      <c r="M12" s="55" t="inlineStr"/>
      <c r="N12" s="55" t="inlineStr">
        <is>
          <t>c6b084f28f2c507cfd342e5dbd0dbd8e45686772</t>
        </is>
      </c>
      <c r="O12" s="57" t="inlineStr"/>
      <c r="P12" s="57" t="inlineStr"/>
      <c r="Q12" s="59">
        <f>IF(OR(L12="",L12="در انتظار"),"",IF(Q12="",TODAY(),Q12))</f>
        <v/>
      </c>
    </row>
    <row r="13" ht="54" customHeight="1">
      <c r="A13" s="47" t="inlineStr">
        <is>
          <t>CO-009</t>
        </is>
      </c>
      <c r="B13" s="48" t="inlineStr">
        <is>
          <t>قطع مستقل / 20800</t>
        </is>
      </c>
      <c r="C13" s="49" t="inlineStr">
        <is>
          <t>بالا</t>
        </is>
      </c>
      <c r="D13" s="48" t="inlineStr">
        <is>
          <t>BATTERY, flag false</t>
        </is>
      </c>
      <c r="E13" s="48" t="inlineStr">
        <is>
          <t>گام ۱: برد در BATTERY و flag=false باشد.
گام ۲: snapshot معتبر با v=20700 (کمتر از 20800)، flag=false و input=false اعمال کن.
گام ۳: 3500 میلی‌ثانیه پیوسته نگه دار.
گام ۴: بعد از 3000 میلی‌ثانیه باید SAFE با PB11 قطع شود؛ این قطع به flag ربطی ندارد و با flag=false هم باید اتفاق بیفتد.</t>
        </is>
      </c>
      <c r="F13" s="50" t="inlineStr">
        <is>
          <t>v20700 (&lt;20800) flag false</t>
        </is>
      </c>
      <c r="G13" s="50" t="inlineStr">
        <is>
          <t>3500ms</t>
        </is>
      </c>
      <c r="H13" s="48" t="inlineStr">
        <is>
          <t>پس از 3000ms SAFE با PB11 Low مستقل از flag. PASS: مستقل cuts. FAIL: عدم قطع به علت flag false.</t>
        </is>
      </c>
      <c r="I13" s="48" t="inlineStr">
        <is>
          <t>PASS: independent cut. FAIL: no cut due flag.</t>
        </is>
      </c>
      <c r="J13" s="51" t="inlineStr"/>
      <c r="K13" s="52" t="inlineStr">
        <is>
          <t>در انتظار</t>
        </is>
      </c>
      <c r="L13" s="53" t="inlineStr"/>
      <c r="M13" s="48" t="inlineStr"/>
      <c r="N13" s="48" t="inlineStr">
        <is>
          <t>c6b084f28f2c507cfd342e5dbd0dbd8e45686772</t>
        </is>
      </c>
      <c r="O13" s="50" t="inlineStr"/>
      <c r="P13" s="50" t="inlineStr"/>
      <c r="Q13" s="54">
        <f>IF(OR(L13="",L13="در انتظار"),"",IF(Q13="",TODAY(),Q13))</f>
        <v/>
      </c>
    </row>
    <row r="14" ht="54" customHeight="1">
      <c r="A14" s="47" t="inlineStr">
        <is>
          <t>CO-010</t>
        </is>
      </c>
      <c r="B14" s="55" t="inlineStr">
        <is>
          <t>مرز دقیق 21000 نباید cut</t>
        </is>
      </c>
      <c r="C14" s="56" t="inlineStr">
        <is>
          <t>بالا</t>
        </is>
      </c>
      <c r="D14" s="55" t="inlineStr">
        <is>
          <t>BATTERY</t>
        </is>
      </c>
      <c r="E14" s="55" t="inlineStr">
        <is>
          <t>گام ۱: برد در BATTERY باشد.
گام ۲: snapshot معتبر با v دقیقاً 21000 (مرز)، flag=true و input=true (Vin=24 ولت) اعمال کن.
گام ۳: 3500 میلی‌ثانیه پایدار نگه دار.
گام ۴: هیچ قطعی نباید رخ دهد (شرط قطع «کمتر از 21000» است، نه «کمتر یا مساوی»)؛ وضعیت باید INPUT شده باشد (چون ورودی حاضر است) و PB11 High و امن بماند.</t>
        </is>
      </c>
      <c r="F14" s="57" t="inlineStr">
        <is>
          <t>valid=true, v=21000 (دقیق) flag=true, input=true (Vin≥21V)</t>
        </is>
      </c>
      <c r="G14" s="57" t="inlineStr">
        <is>
          <t>3500ms</t>
        </is>
      </c>
      <c r="H14" s="55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55" t="inlineStr">
        <is>
          <t>PASS: با v=21000 و input true، state=INPUT و PB11 High. FAIL: هر cut یا BATTERY.</t>
        </is>
      </c>
      <c r="J14" s="55" t="inlineStr"/>
      <c r="K14" s="55" t="inlineStr">
        <is>
          <t>در انتظار</t>
        </is>
      </c>
      <c r="L14" s="58" t="inlineStr"/>
      <c r="M14" s="55" t="inlineStr"/>
      <c r="N14" s="55" t="inlineStr">
        <is>
          <t>c6b084f28f2c507cfd342e5dbd0dbd8e45686772</t>
        </is>
      </c>
      <c r="O14" s="57" t="inlineStr"/>
      <c r="P14" s="57" t="inlineStr"/>
      <c r="Q14" s="59">
        <f>IF(OR(L14="",L14="در انتظار"),"",IF(Q14="",TODAY(),Q14))</f>
        <v/>
      </c>
    </row>
    <row r="15" ht="54" customHeight="1">
      <c r="A15" s="47" t="inlineStr">
        <is>
          <t>CO-011</t>
        </is>
      </c>
      <c r="B15" s="48" t="inlineStr">
        <is>
          <t>مرز دقیق 20800 نباید cut</t>
        </is>
      </c>
      <c r="C15" s="49" t="inlineStr">
        <is>
          <t>بالا</t>
        </is>
      </c>
      <c r="D15" s="48" t="inlineStr">
        <is>
          <t>BATTERY</t>
        </is>
      </c>
      <c r="E15" s="48" t="inlineStr">
        <is>
          <t>گام ۱: برد در BATTERY باشد.
گام ۲: snapshot معتبر با v دقیقاً 20800 و flag=false اعمال کن.
گام ۳: 3500 میلی‌ثانیه نگه دار.
گام ۴: هیچ قطعی نباید رخ دهد؛ قطع فقط برای «کمتر از 20800» است و روی خودِ مرز 20800 نباید اتفاق بیفتد.</t>
        </is>
      </c>
      <c r="F15" s="50" t="inlineStr">
        <is>
          <t>v=20800 flag false</t>
        </is>
      </c>
      <c r="G15" s="50" t="inlineStr">
        <is>
          <t>3500ms</t>
        </is>
      </c>
      <c r="H15" s="48" t="inlineStr">
        <is>
          <t>هیچ قطع نشود. PASS: need &lt;20800. FAIL: cut at exact.</t>
        </is>
      </c>
      <c r="I15" s="48" t="inlineStr">
        <is>
          <t>PASS: 20800 no independent cut. FAIL: cut.</t>
        </is>
      </c>
      <c r="J15" s="51" t="inlineStr"/>
      <c r="K15" s="52" t="inlineStr">
        <is>
          <t>در انتظار</t>
        </is>
      </c>
      <c r="L15" s="53" t="inlineStr"/>
      <c r="M15" s="48" t="inlineStr"/>
      <c r="N15" s="48" t="inlineStr">
        <is>
          <t>c6b084f28f2c507cfd342e5dbd0dbd8e45686772</t>
        </is>
      </c>
      <c r="O15" s="50" t="inlineStr"/>
      <c r="P15" s="50" t="inlineStr"/>
      <c r="Q15" s="54">
        <f>IF(OR(L15="",L15="در انتظار"),"",IF(Q15="",TODAY(),Q15))</f>
        <v/>
      </c>
    </row>
    <row r="16" ht="54" customHeight="1">
      <c r="A16" s="47" t="inlineStr">
        <is>
          <t>CO-012</t>
        </is>
      </c>
      <c r="B16" s="55" t="inlineStr">
        <is>
          <t>قطع &lt;3000ms نباید</t>
        </is>
      </c>
      <c r="C16" s="56" t="inlineStr">
        <is>
          <t>بالا</t>
        </is>
      </c>
      <c r="D16" s="55" t="inlineStr">
        <is>
          <t>BATTERY</t>
        </is>
      </c>
      <c r="E16" s="55" t="inlineStr">
        <is>
          <t>گام ۱: برد در BATTERY باشد.
گام ۲: snapshot معتبر با v=20900، flag=true و input=true (Vin=24 ولت) بده.
گام ۳: فقط 2500 میلی‌ثانیه نگه دار (کمتر از 3000) و بعد ولتاژ را به 24000 برگردان.
گام ۴: تا 2500 میلی‌ثانیه باید هنوز INPUT و PB11 وصل باشد؛ SAFE شدن زودتر از 3000 میلی‌ثانیه یعنی رد تست.</t>
        </is>
      </c>
      <c r="F16" s="57" t="inlineStr">
        <is>
          <t>valid=true, v=20900 (&lt;21000) flag=true, input=true, فقط 2500ms (&lt;3000)</t>
        </is>
      </c>
      <c r="G16" s="57" t="inlineStr">
        <is>
          <t>2500ms</t>
        </is>
      </c>
      <c r="H16" s="55" t="inlineStr">
        <is>
          <t>پس از 2500ms هنوز state=INPUT (چون input true و هنوز SAFE نشده) و PB11 High. PASS: &lt;3000ms هنوز INPUT، نه SAFE. FAIL: SAFE زود یا BATTERY.</t>
        </is>
      </c>
      <c r="I16" s="55" t="inlineStr">
        <is>
          <t>PASS: 2500ms still INPUT (no cut). FAIL: early SAFE یا BATTERY.</t>
        </is>
      </c>
      <c r="J16" s="55" t="inlineStr"/>
      <c r="K16" s="55" t="inlineStr">
        <is>
          <t>در انتظار</t>
        </is>
      </c>
      <c r="L16" s="58" t="inlineStr"/>
      <c r="M16" s="55" t="inlineStr"/>
      <c r="N16" s="55" t="inlineStr">
        <is>
          <t>c6b084f28f2c507cfd342e5dbd0dbd8e45686772</t>
        </is>
      </c>
      <c r="O16" s="57" t="inlineStr"/>
      <c r="P16" s="57" t="inlineStr"/>
      <c r="Q16" s="59">
        <f>IF(OR(L16="",L16="در انتظار"),"",IF(Q16="",TODAY(),Q16))</f>
        <v/>
      </c>
    </row>
    <row r="17" ht="54" customHeight="1">
      <c r="A17" s="47" t="inlineStr">
        <is>
          <t>CO-013</t>
        </is>
      </c>
      <c r="B17" s="48" t="inlineStr">
        <is>
          <t>وصل مجدد / 21200 + input</t>
        </is>
      </c>
      <c r="C17" s="49" t="inlineStr">
        <is>
          <t>بالا</t>
        </is>
      </c>
      <c r="D17" s="48" t="inlineStr">
        <is>
          <t>SAFE, PB11 Low</t>
        </is>
      </c>
      <c r="E17" s="60" t="inlineStr">
        <is>
          <t>گام ۱: از تست CO-008 شروع کن تا برد در SAFE و PB11 قطع (Low) باشد.
گام ۲: input=true و v=21300 (دست‌کم 21200) اعمال کن.
گام ۳: 3500 میلی‌ثانیه نگه دار و PB11 را زیر نظر بگیر.
گام ۴: قبل از 3000 میلی‌ثانیه باید SAFE و PB11 قطع بماند؛ بعد از 3000 میلی‌ثانیه باید وضعیت INPUT و PB11 وصل (High) شود. وصل شدن زودتر یا وصل‌نشدن یعنی رد تست.</t>
        </is>
      </c>
      <c r="F17" s="50" t="inlineStr">
        <is>
          <t>SAFE, input true, v21300</t>
        </is>
      </c>
      <c r="G17" s="50" t="inlineStr">
        <is>
          <t>3500ms</t>
        </is>
      </c>
      <c r="H17" s="48" t="inlineStr">
        <is>
          <t>قبل از 3000ms: SAFE و PB11 Low؛ بعد از 3000ms: INPUT و PB11 High. PASS: reconnect پس از 3000ms با PB11 High. FAIL: reconnect زود یا PB11 Low ماندن.</t>
        </is>
      </c>
      <c r="I17" s="48" t="inlineStr">
        <is>
          <t>PASS: قبل 3000 SAFE Low، بعد 3000 INPUT High. FAIL: early or no reconnect.</t>
        </is>
      </c>
      <c r="J17" s="51" t="inlineStr"/>
      <c r="K17" s="52" t="inlineStr">
        <is>
          <t>در انتظار</t>
        </is>
      </c>
      <c r="L17" s="53" t="inlineStr"/>
      <c r="M17" s="48" t="inlineStr"/>
      <c r="N17" s="48" t="inlineStr">
        <is>
          <t>c6b084f28f2c507cfd342e5dbd0dbd8e45686772</t>
        </is>
      </c>
      <c r="O17" s="50" t="inlineStr"/>
      <c r="P17" s="50" t="inlineStr"/>
      <c r="Q17" s="54">
        <f>IF(OR(L17="",L17="در انتظار"),"",IF(Q17="",TODAY(),Q17))</f>
        <v/>
      </c>
    </row>
    <row r="18" ht="54" customHeight="1">
      <c r="A18" s="47" t="inlineStr">
        <is>
          <t>CO-014</t>
        </is>
      </c>
      <c r="B18" s="55" t="inlineStr">
        <is>
          <t>مرز دقیق 21200 باید reconnect</t>
        </is>
      </c>
      <c r="C18" s="56" t="inlineStr">
        <is>
          <t>بالا</t>
        </is>
      </c>
      <c r="D18" s="55" t="inlineStr">
        <is>
          <t>SAFE</t>
        </is>
      </c>
      <c r="E18" s="55" t="inlineStr">
        <is>
          <t>گام ۱: برد در SAFE باشد.
گام ۲: input=true و v دقیقاً 21200 اعمال کن (روی خودِ مرز).
گام ۳: 3500 میلی‌ثانیه نگه دار.
گام ۴: بعد از 3000 میلی‌ثانیه باید INPUT و PB11 وصل شده باشد؛ شرط وصل «دست‌کم 21200» است، پس روی مرز هم باید وصل شود.</t>
        </is>
      </c>
      <c r="F18" s="57" t="inlineStr">
        <is>
          <t>v=21200 input true</t>
        </is>
      </c>
      <c r="G18" s="57" t="inlineStr">
        <is>
          <t>3500ms</t>
        </is>
      </c>
      <c r="H18" s="55" t="inlineStr">
        <is>
          <t>پس از 3000ms INPUT و PB11 High. PASS: ≥21200 reconnect. FAIL: no reconnect at 21200.</t>
        </is>
      </c>
      <c r="I18" s="55" t="inlineStr">
        <is>
          <t>PASS: 21200 reconnects (need ≥). FAIL: no.</t>
        </is>
      </c>
      <c r="J18" s="55" t="inlineStr"/>
      <c r="K18" s="55" t="inlineStr">
        <is>
          <t>در انتظار</t>
        </is>
      </c>
      <c r="L18" s="58" t="inlineStr"/>
      <c r="M18" s="55" t="inlineStr"/>
      <c r="N18" s="55" t="inlineStr">
        <is>
          <t>c6b084f28f2c507cfd342e5dbd0dbd8e45686772</t>
        </is>
      </c>
      <c r="O18" s="57" t="inlineStr"/>
      <c r="P18" s="57" t="inlineStr"/>
      <c r="Q18" s="59">
        <f>IF(OR(L18="",L18="در انتظار"),"",IF(Q18="",TODAY(),Q18))</f>
        <v/>
      </c>
    </row>
    <row r="19" ht="54" customHeight="1">
      <c r="A19" s="47" t="inlineStr">
        <is>
          <t>CO-015</t>
        </is>
      </c>
      <c r="B19" s="48" t="inlineStr">
        <is>
          <t>reconnect &lt;3000 نباید</t>
        </is>
      </c>
      <c r="C19" s="49" t="inlineStr">
        <is>
          <t>بالا</t>
        </is>
      </c>
      <c r="D19" s="48" t="inlineStr">
        <is>
          <t>SAFE</t>
        </is>
      </c>
      <c r="E19" s="48" t="inlineStr">
        <is>
          <t>گام ۱: برد در SAFE باشد.
گام ۲: input=true و v=21300 اعمال کن.
گام ۳: فقط 2500 میلی‌ثانیه نگه دار (کمتر از 3000).
گام ۴: هنوز باید SAFE و PB11 قطع مانده باشد؛ وصل شدن در کمتر از 3 ثانیه یعنی رد تست.</t>
        </is>
      </c>
      <c r="F19" s="50" t="inlineStr">
        <is>
          <t>v21300 input true</t>
        </is>
      </c>
      <c r="G19" s="50" t="inlineStr">
        <is>
          <t>2500ms</t>
        </is>
      </c>
      <c r="H19" s="48" t="inlineStr">
        <is>
          <t>هنوز SAFE و PB11 Low. PASS: &lt;3s no reconnect. FAIL: زود وصل.</t>
        </is>
      </c>
      <c r="I19" s="48" t="inlineStr">
        <is>
          <t>PASS: 2500 still SAFE. FAIL: INPUT early.</t>
        </is>
      </c>
      <c r="J19" s="51" t="inlineStr"/>
      <c r="K19" s="52" t="inlineStr">
        <is>
          <t>در انتظار</t>
        </is>
      </c>
      <c r="L19" s="53" t="inlineStr"/>
      <c r="M19" s="48" t="inlineStr"/>
      <c r="N19" s="48" t="inlineStr">
        <is>
          <t>c6b084f28f2c507cfd342e5dbd0dbd8e45686772</t>
        </is>
      </c>
      <c r="O19" s="50" t="inlineStr"/>
      <c r="P19" s="50" t="inlineStr"/>
      <c r="Q19" s="54">
        <f>IF(OR(L19="",L19="در انتظار"),"",IF(Q19="",TODAY(),Q19))</f>
        <v/>
      </c>
    </row>
    <row r="20" ht="40.5" customHeight="1">
      <c r="A20" s="47" t="inlineStr">
        <is>
          <t>CO-016</t>
        </is>
      </c>
      <c r="B20" s="55" t="inlineStr">
        <is>
          <t>پس از reconnect state INPUT</t>
        </is>
      </c>
      <c r="C20" s="56" t="inlineStr">
        <is>
          <t>بالا</t>
        </is>
      </c>
      <c r="D20" s="61" t="inlineStr">
        <is>
          <t>پس از CO-013</t>
        </is>
      </c>
      <c r="E20" s="61" t="inlineStr">
        <is>
          <t>گام ۱: تست CO-013 را انجام بده تا وصل مجدد موفق اتفاق بیفتد.
گام ۲: بلافاصله (در حد 100 میلی‌ثانیه بعد) وضعیت را بخوان.
گام ۳: وضعیت باید INPUT باشد؛ IDLE برای snapshot معتبر هرگز نباید دیده شود.</t>
        </is>
      </c>
      <c r="F20" s="57" t="inlineStr">
        <is>
          <t>post-reconnect</t>
        </is>
      </c>
      <c r="G20" s="57" t="inlineStr">
        <is>
          <t>100ms</t>
        </is>
      </c>
      <c r="H20" s="55" t="inlineStr">
        <is>
          <t>state=INPUT باشد، نه IDLE (IDLE برای معتبر ممنوع). PASS: INPUT. FAIL: IDLE.</t>
        </is>
      </c>
      <c r="I20" s="55" t="inlineStr">
        <is>
          <t>PASS: INPUT not IDLE. FAIL: IDLE.</t>
        </is>
      </c>
      <c r="J20" s="55" t="inlineStr"/>
      <c r="K20" s="55" t="inlineStr">
        <is>
          <t>در انتظار</t>
        </is>
      </c>
      <c r="L20" s="58" t="inlineStr"/>
      <c r="M20" s="55" t="inlineStr"/>
      <c r="N20" s="55" t="inlineStr">
        <is>
          <t>c6b084f28f2c507cfd342e5dbd0dbd8e45686772</t>
        </is>
      </c>
      <c r="O20" s="57" t="inlineStr"/>
      <c r="P20" s="57" t="inlineStr"/>
      <c r="Q20" s="59">
        <f>IF(OR(L20="",L20="در انتظار"),"",IF(Q20="",TODAY(),Q20))</f>
        <v/>
      </c>
    </row>
    <row r="21" ht="40.5" customHeight="1">
      <c r="A21" s="47" t="inlineStr">
        <is>
          <t>CO-017</t>
        </is>
      </c>
      <c r="B21" s="48" t="inlineStr">
        <is>
          <t>PB11 در invalid حفظ</t>
        </is>
      </c>
      <c r="C21" s="49" t="inlineStr">
        <is>
          <t>بالا</t>
        </is>
      </c>
      <c r="D21" s="48" t="inlineStr">
        <is>
          <t>INPUT با PB11 High</t>
        </is>
      </c>
      <c r="E21" s="48" t="inlineStr">
        <is>
          <t>گام ۱: برد را با snapshot معتبر و input=true به INPUT ببر و PB11 را چک کن که وصل (High) است.
گام ۲: حالا valid=false کن و 500 میلی‌ثانیه صبر کن.
گام ۳: PB11 را دوباره بخوان: باید بدون تغییر همان High مانده باشد.</t>
        </is>
      </c>
      <c r="F21" s="50" t="inlineStr">
        <is>
          <t>valid true→false</t>
        </is>
      </c>
      <c r="G21" s="50" t="inlineStr">
        <is>
          <t>500ms</t>
        </is>
      </c>
      <c r="H21" s="48" t="inlineStr">
        <is>
          <t>PB11 Low-High بدون تغییر بماند (High). PASS: حفظ. FAIL: تغییر.</t>
        </is>
      </c>
      <c r="I21" s="48" t="inlineStr">
        <is>
          <t>PASS: PB11 preserved in invalid. FAIL: change.</t>
        </is>
      </c>
      <c r="J21" s="51" t="inlineStr"/>
      <c r="K21" s="52" t="inlineStr">
        <is>
          <t>در انتظار</t>
        </is>
      </c>
      <c r="L21" s="53" t="inlineStr"/>
      <c r="M21" s="48" t="inlineStr"/>
      <c r="N21" s="48" t="inlineStr">
        <is>
          <t>c6b084f28f2c507cfd342e5dbd0dbd8e45686772</t>
        </is>
      </c>
      <c r="O21" s="50" t="inlineStr"/>
      <c r="P21" s="50" t="inlineStr"/>
      <c r="Q21" s="54">
        <f>IF(OR(L21="",L21="در انتظار"),"",IF(Q21="",TODAY(),Q21))</f>
        <v/>
      </c>
    </row>
    <row r="22" ht="54" customHeight="1">
      <c r="A22" s="47" t="inlineStr">
        <is>
          <t>CO-018</t>
        </is>
      </c>
      <c r="B22" s="55" t="inlineStr">
        <is>
          <t>PB11 در fault حفظ</t>
        </is>
      </c>
      <c r="C22" s="56" t="inlineStr">
        <is>
          <t>بالا</t>
        </is>
      </c>
      <c r="D22" s="55" t="inlineStr">
        <is>
          <t>INPUT</t>
        </is>
      </c>
      <c r="E22" s="55" t="inlineStr">
        <is>
          <t>گام ۱: برد در INPUT باشد.
گام ۲: snapshot معتبر با fault مخالف صفر بده (fault=1) تا وضعیت FAULT شود.
گام ۳: 500 میلی‌ثانیه صبر کن و PB11 را بخوان.
گام ۴: PB11 باید حفظ شده باشد (High بماند)؛ Low شدنش یعنی رد تست.</t>
        </is>
      </c>
      <c r="F22" s="57" t="inlineStr">
        <is>
          <t>valid true fault1</t>
        </is>
      </c>
      <c r="G22" s="57" t="inlineStr">
        <is>
          <t>500ms</t>
        </is>
      </c>
      <c r="H22" s="55" t="inlineStr">
        <is>
          <t>PB11 حفظ (High). PASS. FAIL: Low شدن.</t>
        </is>
      </c>
      <c r="I22" s="55" t="inlineStr">
        <is>
          <t>PASS: PB11 preserved in fault. FAIL: change.</t>
        </is>
      </c>
      <c r="J22" s="55" t="inlineStr"/>
      <c r="K22" s="55" t="inlineStr">
        <is>
          <t>در انتظار</t>
        </is>
      </c>
      <c r="L22" s="58" t="inlineStr"/>
      <c r="M22" s="55" t="inlineStr"/>
      <c r="N22" s="55" t="inlineStr">
        <is>
          <t>c6b084f28f2c507cfd342e5dbd0dbd8e45686772</t>
        </is>
      </c>
      <c r="O22" s="57" t="inlineStr"/>
      <c r="P22" s="57" t="inlineStr"/>
      <c r="Q22" s="59">
        <f>IF(OR(L22="",L22="در انتظار"),"",IF(Q22="",TODAY(),Q22))</f>
        <v/>
      </c>
    </row>
    <row r="23" ht="40.5" customHeight="1">
      <c r="A23" s="47" t="inlineStr">
        <is>
          <t>CO-019</t>
        </is>
      </c>
      <c r="B23" s="48" t="inlineStr">
        <is>
          <t>PB5 و PB7 هیچ‌گاه تغییر نکنند</t>
        </is>
      </c>
      <c r="C23" s="49" t="inlineStr">
        <is>
          <t>بالا</t>
        </is>
      </c>
      <c r="D23" s="48" t="inlineStr">
        <is>
          <t>هر حالت</t>
        </is>
      </c>
      <c r="E23" s="60" t="inlineStr">
        <is>
          <t>گام ۱: در همهٔ تست‌های CO-001 تا CO-015 که انجام می‌دهی، علاوه بر PB11 دو پایهٔ PB5 (BAT_SWITCH) و PB7 (RELAY) را هم با اسیلوسکوپ یا لاگ BSP زیر نظر بگیر.
گام ۲: این تست ردیف جدا ندارد؛ در تک‌تک تست‌های بالا انجامش بده.
گام ۳: PB5 باید همیشه High امن (active-low) و PB7 همیشه Low بماند؛ هر تغییر (toggle) روی این دو یعنی رد تست.</t>
        </is>
      </c>
      <c r="F23" s="50" t="inlineStr">
        <is>
          <t>تمام حالات</t>
        </is>
      </c>
      <c r="G23" s="50" t="inlineStr">
        <is>
          <t>هر تست</t>
        </is>
      </c>
      <c r="H23" s="48" t="inlineStr">
        <is>
          <t>PB5 و PB7 ثابت بمانند (PB5 High-safe active-low، PB7 Low). PASS: بدون تغییر. FAIL: هر toggle.</t>
        </is>
      </c>
      <c r="I23" s="48" t="inlineStr">
        <is>
          <t>PASS: PB5/PB7 never change. FAIL: any toggle.</t>
        </is>
      </c>
      <c r="J23" s="51" t="inlineStr"/>
      <c r="K23" s="52" t="inlineStr">
        <is>
          <t>در انتظار</t>
        </is>
      </c>
      <c r="L23" s="53" t="inlineStr"/>
      <c r="M23" s="48" t="inlineStr"/>
      <c r="N23" s="48" t="inlineStr">
        <is>
          <t>c6b084f28f2c507cfd342e5dbd0dbd8e45686772</t>
        </is>
      </c>
      <c r="O23" s="50" t="inlineStr"/>
      <c r="P23" s="50" t="inlineStr"/>
      <c r="Q23" s="54">
        <f>IF(OR(L23="",L23="در انتظار"),"",IF(Q23="",TODAY(),Q23))</f>
        <v/>
      </c>
    </row>
    <row r="24" ht="54" customHeight="1">
      <c r="A24" s="47" t="inlineStr">
        <is>
          <t>CO-020</t>
        </is>
      </c>
      <c r="B24" s="55" t="inlineStr">
        <is>
          <t>فقط PROTECT_BATTERY مجاز</t>
        </is>
      </c>
      <c r="C24" s="56" t="inlineStr">
        <is>
          <t>بالا</t>
        </is>
      </c>
      <c r="D24" s="55" t="inlineStr">
        <is>
          <t>کد review + تست</t>
        </is>
      </c>
      <c r="E24" s="61" t="inlineStr">
        <is>
          <t>گام ۱: کد changeover.c را بازبینی کن: تنها جایی که اجازهٔ نوشتن روی خروجی دارد باید func__BspGpio_Write با BSP_GPIO_PROTECT_BATTERY (همان PB11) باشد.
گام ۲: دنبال هر ارجاع مستقیم به board_pins یا HAL یا PB5/PB7 در این مسیر بگرد؛ نباید هیچ‌کدام باشد.
گام ۳: با اسیلوسکوپ PB11 را در چند تست قبلی چک کن که فقط همان تغییر می‌کند.
گام ۴: اگر PB5 یا PB7 در هیچ تستی تغییر نکرد، قبول است.</t>
        </is>
      </c>
      <c r="F24" s="57" t="inlineStr">
        <is>
          <t>کد + PB11</t>
        </is>
      </c>
      <c r="G24" s="57" t="inlineStr">
        <is>
          <t>—</t>
        </is>
      </c>
      <c r="H24" s="55" t="inlineStr">
        <is>
          <t>هیچ کد board_pins/HAL/PB5/PB7 نباشد، فقط PB11 تغییر کند. PASS: فقط PB11. FAIL: PB5/7.</t>
        </is>
      </c>
      <c r="I24" s="55" t="inlineStr">
        <is>
          <t>PASS: only PB11. FAIL: PB5/7 usage.</t>
        </is>
      </c>
      <c r="J24" s="55" t="inlineStr"/>
      <c r="K24" s="55" t="inlineStr">
        <is>
          <t>در انتظار</t>
        </is>
      </c>
      <c r="L24" s="58" t="inlineStr"/>
      <c r="M24" s="55" t="inlineStr"/>
      <c r="N24" s="55" t="inlineStr">
        <is>
          <t>c6b084f28f2c507cfd342e5dbd0dbd8e45686772</t>
        </is>
      </c>
      <c r="O24" s="57" t="inlineStr"/>
      <c r="P24" s="57" t="inlineStr"/>
      <c r="Q24" s="59">
        <f>IF(OR(L24="",L24="در انتظار"),"",IF(Q24="",TODAY(),Q24))</f>
        <v/>
      </c>
    </row>
    <row r="25" ht="54" customHeight="1">
      <c r="A25" s="47" t="inlineStr">
        <is>
          <t>CO-021</t>
        </is>
      </c>
      <c r="B25" s="48" t="inlineStr">
        <is>
          <t>زمان از rtos_time</t>
        </is>
      </c>
      <c r="C25" s="50" t="inlineStr">
        <is>
          <t>متوسط</t>
        </is>
      </c>
      <c r="D25" s="48" t="inlineStr">
        <is>
          <t>هر زمان</t>
        </is>
      </c>
      <c r="E25" s="48" t="inlineStr">
        <is>
          <t>گام ۱: کد را بازبینی کن: همهٔ تبدیل‌های میلی‌ثانیه به تیک باید فقط از func__Rtos_MillisecondsToTicks و زمان فعلی از osKernelGetTickCount گرفته شود.
گام ۲: دنبال هر جا که «تیک برابر 1 میلی‌ثانیه» فرض شده باشد بگرد؛ نباید هیچ جا باشد.
گام ۳: در صورت امکان فرکانس تیک را در شبیه‌سازی تغییر بده و تست 3000 میلی‌ثانیه‌ای قطع را تکرار کن.
گام ۴: رفتار باید با هر فرکانس تیک درست بماند؛ وابستگی به فرض 1 میلی‌ثانیه یعنی رد تست.</t>
        </is>
      </c>
      <c r="F25" s="50" t="inlineStr">
        <is>
          <t>کد review</t>
        </is>
      </c>
      <c r="G25" s="50" t="inlineStr">
        <is>
          <t>—</t>
        </is>
      </c>
      <c r="H25" s="48" t="inlineStr">
        <is>
          <t>زمان با rtos_time قابل‌حمل باشد، 3000ms با هر فرکانس تیک درست کار کند. PASS: portable. FAIL: فرض 1ms.</t>
        </is>
      </c>
      <c r="I25" s="48" t="inlineStr">
        <is>
          <t>PASS: portable via rtos_time. FAIL: hardcoded 1ms.</t>
        </is>
      </c>
      <c r="J25" s="51" t="inlineStr"/>
      <c r="K25" s="52" t="inlineStr">
        <is>
          <t>در انتظار</t>
        </is>
      </c>
      <c r="L25" s="53" t="inlineStr"/>
      <c r="M25" s="48" t="inlineStr"/>
      <c r="N25" s="48" t="inlineStr">
        <is>
          <t>c6b084f28f2c507cfd342e5dbd0dbd8e45686772</t>
        </is>
      </c>
      <c r="O25" s="50" t="inlineStr"/>
      <c r="P25" s="50" t="inlineStr"/>
      <c r="Q25" s="54">
        <f>IF(OR(L25="",L25="در انتظار"),"",IF(Q25="",TODAY(),Q25))</f>
        <v/>
      </c>
    </row>
    <row r="26" ht="54" customHeight="1">
      <c r="A26" s="47" t="inlineStr">
        <is>
          <t>CO-022</t>
        </is>
      </c>
      <c r="B26" s="55" t="inlineStr">
        <is>
          <t>durationTicks صفر → no immediate cut</t>
        </is>
      </c>
      <c r="C26" s="56" t="inlineStr">
        <is>
          <t>بالا</t>
        </is>
      </c>
      <c r="D26" s="55" t="inlineStr">
        <is>
          <t>BATTERY با شرط قطع</t>
        </is>
      </c>
      <c r="E26" s="55" t="inlineStr">
        <is>
          <t>گام ۱: برد در BATTERY و شرط قطع برقرار باشد.
گام ۲: در شبیه‌سازی کاری کن فرکانس تیک صفر شود، طوری که func__Rtos_MillisecondsToTicks مقدار 0 برگرداند.
گام ۳: snapshot معتبر با v=20700 و flag=true را 3500 میلی‌ثانیه نگه دار.
گام ۴: هیچ قطع یا وصل فوری نباید اتفاق بیفتد؛ وضعیت و PB11 باید حفظ شوند و فقط تایمر reset شود. قطع فوری یعنی رد تست.</t>
        </is>
      </c>
      <c r="F26" s="57" t="inlineStr">
        <is>
          <t>valid true v20700 durTicks0</t>
        </is>
      </c>
      <c r="G26" s="57" t="inlineStr">
        <is>
          <t>3500ms</t>
        </is>
      </c>
      <c r="H26" s="55" t="inlineStr">
        <is>
          <t>هیچ قطع/وصل فوری انجام نشود، state و PB11 حفظ، تایمر reset. PASS: guard بدون تصمیم. FAIL: قطع فوری.</t>
        </is>
      </c>
      <c r="I26" s="55" t="inlineStr">
        <is>
          <t>PASS: guard preserves. FAIL: immediate cut.</t>
        </is>
      </c>
      <c r="J26" s="55" t="inlineStr"/>
      <c r="K26" s="55" t="inlineStr">
        <is>
          <t>در انتظار</t>
        </is>
      </c>
      <c r="L26" s="58" t="inlineStr"/>
      <c r="M26" s="55" t="inlineStr"/>
      <c r="N26" s="55" t="inlineStr">
        <is>
          <t>c6b084f28f2c507cfd342e5dbd0dbd8e45686772</t>
        </is>
      </c>
      <c r="O26" s="57" t="inlineStr"/>
      <c r="P26" s="57" t="inlineStr"/>
      <c r="Q26" s="59">
        <f>IF(OR(L26="",L26="در انتظار"),"",IF(Q26="",TODAY(),Q26))</f>
        <v/>
      </c>
    </row>
    <row r="27" ht="54" customHeight="1">
      <c r="A27" s="47" t="inlineStr">
        <is>
          <t>CO-023</t>
        </is>
      </c>
      <c r="B27" s="48" t="inlineStr">
        <is>
          <t>snapshot zeroing task_control</t>
        </is>
      </c>
      <c r="C27" s="49" t="inlineStr">
        <is>
          <t>بالا</t>
        </is>
      </c>
      <c r="D27" s="48" t="inlineStr">
        <is>
          <t>MODULE_MEASUREMENT=0 یا GetSnapshot=false</t>
        </is>
      </c>
      <c r="E27" s="48" t="inlineStr">
        <is>
          <t>گام ۱: برد را با MODULE_MEASUREMENT=0 بیلد کن (یا ADC را نگه دار تا valid=false بماند).
گام ۲: 3 ثانیه وضعیت و PB11 را نگاه کن.
گام ۳: هیچ فیلد snapshot نباید زبالهٔ پشته داشته باشد: task_control مثل task_comm و task_ui و task_protection هر 9 فیلد را از قبل صفر می‌کند.
گام ۴: Changeover باید فقط روی valid تصمیم بگیرد و PB11 امن بماند؛ هیچ تصمیمی بر اساس زباله قبول نیست.</t>
        </is>
      </c>
      <c r="F27" s="50" t="inlineStr">
        <is>
          <t>valid=false</t>
        </is>
      </c>
      <c r="G27" s="50" t="inlineStr">
        <is>
          <t>3500ms</t>
        </is>
      </c>
      <c r="H27" s="48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27" s="48" t="inlineStr">
        <is>
          <t>امن</t>
        </is>
      </c>
      <c r="J27" s="48" t="inlineStr">
        <is>
          <t>بدون تصمیم بر اساس زباله؛ PB11 حفظ</t>
        </is>
      </c>
      <c r="K27" s="48" t="n"/>
      <c r="L27" s="62" t="inlineStr">
        <is>
          <t>نیاز به تکرار</t>
        </is>
      </c>
      <c r="M27" s="48" t="n"/>
      <c r="N27" s="48" t="n"/>
      <c r="O27" s="50" t="inlineStr">
        <is>
          <t>62f3782</t>
        </is>
      </c>
      <c r="P27" s="50" t="n"/>
      <c r="Q27" s="54" t="inlineStr">
        <is>
          <t>2026-10-12</t>
        </is>
      </c>
    </row>
    <row r="28" ht="54" customHeight="1">
      <c r="A28" s="47" t="inlineStr">
        <is>
          <t>CO-024</t>
        </is>
      </c>
      <c r="B28" s="55" t="inlineStr">
        <is>
          <t>وصل مجدد 30s پایداری ورودی</t>
        </is>
      </c>
      <c r="C28" s="56" t="inlineStr">
        <is>
          <t>بالا</t>
        </is>
      </c>
      <c r="D28" s="55" t="inlineStr">
        <is>
          <t>برد در SAFE پس از قطع، v_bat=24V</t>
        </is>
      </c>
      <c r="E28" s="61" t="inlineStr">
        <is>
          <t>گام ۱: از تست CO-008 شروع کن تا برد در SAFE و ولتاژ باتری 24 ولت باشد.
گام ۲: ورودی را وصل کن (input=true) و 30 ثانیه پیوسته حاضر نگه دار.
گام ۳: بعد از آن 3 ثانیه ولتاژ را روی 21200 نگه دار (در مجموع 33 ثانیه).
گام ۴: در پایان، پس از 30 ثانیه پایداری ورودی و 3 ثانیه ولتاژ کافی، باید وصل مجدد کامل شده باشد و وضعیت INPUT شود؛ سطح PB11 در لحظهٔ وصل را با اسکوپ ثبت کن و با الگوی CO-013 مقایسه کن.</t>
        </is>
      </c>
      <c r="F28" s="57" t="inlineStr">
        <is>
          <t>input=true v=24000</t>
        </is>
      </c>
      <c r="G28" s="57" t="inlineStr">
        <is>
          <t>33s</t>
        </is>
      </c>
      <c r="H28" s="55" t="inlineStr">
        <is>
          <t>بعد از 30 ثانیه پایداری ورودی و 3 ثانیه ولتاژ 21200، PB11 از Low به High و وضعیت INPUT شود</t>
        </is>
      </c>
      <c r="I28" s="55" t="inlineStr">
        <is>
          <t>PASS: PB11 بعد 33s وصل، قبلش SAFE. FAIL: وصل زودتر از 30s</t>
        </is>
      </c>
      <c r="J28" s="55" t="n"/>
      <c r="K28" s="55" t="inlineStr">
        <is>
          <t>نیاز به تکرار</t>
        </is>
      </c>
      <c r="L28" s="58" t="n"/>
      <c r="M28" s="55" t="n"/>
      <c r="N28" s="55" t="inlineStr">
        <is>
          <t>thermal+30s</t>
        </is>
      </c>
      <c r="O28" s="57" t="n"/>
      <c r="P28" s="57" t="n"/>
      <c r="Q28" s="59">
        <f>IF(OR(L28="",L28="در انتظار"),"",IF(Q28="",TODAY(),Q28))</f>
        <v/>
      </c>
    </row>
    <row r="29">
      <c r="Q29" s="63">
        <f>IF(OR(L29="",L29="در انتظار"),"",IF(Q29="",TODAY(),Q29))</f>
        <v/>
      </c>
    </row>
    <row r="30">
      <c r="Q30" s="63">
        <f>IF(OR(L30="",L30="در انتظار"),"",IF(Q30="",TODAY(),Q30))</f>
        <v/>
      </c>
    </row>
    <row r="31">
      <c r="Q31" s="63">
        <f>IF(OR(L31="",L31="در انتظار"),"",IF(Q31="",TODAY(),Q31))</f>
        <v/>
      </c>
    </row>
    <row r="32">
      <c r="Q32" s="63">
        <f>IF(OR(L32="",L32="در انتظار"),"",IF(Q32="",TODAY(),Q32))</f>
        <v/>
      </c>
    </row>
    <row r="33">
      <c r="Q33" s="63">
        <f>IF(OR(L33="",L33="در انتظار"),"",IF(Q33="",TODAY(),Q33))</f>
        <v/>
      </c>
    </row>
    <row r="34">
      <c r="Q34" s="63">
        <f>IF(OR(L34="",L34="در انتظار"),"",IF(Q34="",TODAY(),Q34))</f>
        <v/>
      </c>
    </row>
    <row r="35">
      <c r="Q35" s="63">
        <f>IF(OR(L35="",L35="در انتظار"),"",IF(Q35="",TODAY(),Q35))</f>
        <v/>
      </c>
    </row>
    <row r="36">
      <c r="Q36" s="63">
        <f>IF(OR(L36="",L36="در انتظار"),"",IF(Q36="",TODAY(),Q36))</f>
        <v/>
      </c>
    </row>
    <row r="37">
      <c r="Q37" s="63">
        <f>IF(OR(L37="",L37="در انتظار"),"",IF(Q37="",TODAY(),Q37))</f>
        <v/>
      </c>
    </row>
    <row r="38">
      <c r="Q38" s="63">
        <f>IF(OR(L38="",L38="در انتظار"),"",IF(Q38="",TODAY(),Q38))</f>
        <v/>
      </c>
    </row>
    <row r="39">
      <c r="Q39" s="63">
        <f>IF(OR(L39="",L39="در انتظار"),"",IF(Q39="",TODAY(),Q39))</f>
        <v/>
      </c>
    </row>
    <row r="40">
      <c r="Q40" s="63">
        <f>IF(OR(L40="",L40="در انتظار"),"",IF(Q40="",TODAY(),Q40))</f>
        <v/>
      </c>
    </row>
    <row r="41">
      <c r="Q41" s="63">
        <f>IF(OR(L41="",L41="در انتظار"),"",IF(Q41="",TODAY(),Q41))</f>
        <v/>
      </c>
    </row>
    <row r="42">
      <c r="Q42" s="63">
        <f>IF(OR(L42="",L42="در انتظار"),"",IF(Q42="",TODAY(),Q42))</f>
        <v/>
      </c>
    </row>
    <row r="43">
      <c r="Q43" s="63">
        <f>IF(OR(L43="",L43="در انتظار"),"",IF(Q43="",TODAY(),Q43))</f>
        <v/>
      </c>
    </row>
    <row r="44">
      <c r="Q44" s="63">
        <f>IF(OR(L44="",L44="در انتظار"),"",IF(Q44="",TODAY(),Q44))</f>
        <v/>
      </c>
    </row>
    <row r="45">
      <c r="Q45" s="63">
        <f>IF(OR(L45="",L45="در انتظار"),"",IF(Q45="",TODAY(),Q45))</f>
        <v/>
      </c>
    </row>
    <row r="46">
      <c r="Q46" s="63">
        <f>IF(OR(L46="",L46="در انتظار"),"",IF(Q46="",TODAY(),Q46))</f>
        <v/>
      </c>
    </row>
    <row r="47">
      <c r="Q47" s="63">
        <f>IF(OR(L47="",L47="در انتظار"),"",IF(Q47="",TODAY(),Q47))</f>
        <v/>
      </c>
    </row>
    <row r="48">
      <c r="Q48" s="63">
        <f>IF(OR(L48="",L48="در انتظار"),"",IF(Q48="",TODAY(),Q48))</f>
        <v/>
      </c>
    </row>
    <row r="49">
      <c r="Q49" s="63">
        <f>IF(OR(L49="",L49="در انتظار"),"",IF(Q49="",TODAY(),Q49))</f>
        <v/>
      </c>
    </row>
    <row r="50">
      <c r="Q50" s="63">
        <f>IF(OR(L50="",L50="در انتظار"),"",IF(Q50="",TODAY(),Q50))</f>
        <v/>
      </c>
    </row>
    <row r="51">
      <c r="Q51" s="63">
        <f>IF(OR(L51="",L51="در انتظار"),"",IF(Q51="",TODAY(),Q51))</f>
        <v/>
      </c>
    </row>
    <row r="52">
      <c r="Q52" s="63">
        <f>IF(OR(L52="",L52="در انتظار"),"",IF(Q52="",TODAY(),Q52))</f>
        <v/>
      </c>
    </row>
    <row r="53">
      <c r="Q53" s="63">
        <f>IF(OR(L53="",L53="در انتظار"),"",IF(Q53="",TODAY(),Q53))</f>
        <v/>
      </c>
    </row>
    <row r="54">
      <c r="Q54" s="63">
        <f>IF(OR(L54="",L54="در انتظار"),"",IF(Q54="",TODAY(),Q54))</f>
        <v/>
      </c>
    </row>
    <row r="55">
      <c r="Q55" s="63">
        <f>IF(OR(L55="",L55="در انتظار"),"",IF(Q55="",TODAY(),Q55))</f>
        <v/>
      </c>
    </row>
    <row r="56">
      <c r="Q56" s="63">
        <f>IF(OR(L56="",L56="در انتظار"),"",IF(Q56="",TODAY(),Q56))</f>
        <v/>
      </c>
    </row>
    <row r="57">
      <c r="Q57" s="63">
        <f>IF(OR(L57="",L57="در انتظار"),"",IF(Q57="",TODAY(),Q57))</f>
        <v/>
      </c>
    </row>
    <row r="58">
      <c r="Q58" s="63">
        <f>IF(OR(L58="",L58="در انتظار"),"",IF(Q58="",TODAY(),Q58))</f>
        <v/>
      </c>
    </row>
    <row r="59">
      <c r="Q59" s="63">
        <f>IF(OR(L59="",L59="در انتظار"),"",IF(Q59="",TODAY(),Q59))</f>
        <v/>
      </c>
    </row>
    <row r="60">
      <c r="Q60" s="63">
        <f>IF(OR(L60="",L60="در انتظار"),"",IF(Q60="",TODAY(),Q60))</f>
        <v/>
      </c>
    </row>
    <row r="61">
      <c r="Q61" s="63">
        <f>IF(OR(L61="",L61="در انتظار"),"",IF(Q61="",TODAY(),Q61))</f>
        <v/>
      </c>
    </row>
    <row r="62">
      <c r="Q62" s="63">
        <f>IF(OR(L62="",L62="در انتظار"),"",IF(Q62="",TODAY(),Q62))</f>
        <v/>
      </c>
    </row>
    <row r="63">
      <c r="Q63" s="63">
        <f>IF(OR(L63="",L63="در انتظار"),"",IF(Q63="",TODAY(),Q63))</f>
        <v/>
      </c>
    </row>
    <row r="64">
      <c r="Q64" s="63">
        <f>IF(OR(L64="",L64="در انتظار"),"",IF(Q64="",TODAY(),Q64))</f>
        <v/>
      </c>
    </row>
    <row r="65">
      <c r="Q65" s="63">
        <f>IF(OR(L65="",L65="در انتظار"),"",IF(Q65="",TODAY(),Q65))</f>
        <v/>
      </c>
    </row>
    <row r="66">
      <c r="Q66" s="63">
        <f>IF(OR(L66="",L66="در انتظار"),"",IF(Q66="",TODAY(),Q66))</f>
        <v/>
      </c>
    </row>
    <row r="67">
      <c r="Q67" s="63">
        <f>IF(OR(L67="",L67="در انتظار"),"",IF(Q67="",TODAY(),Q67))</f>
        <v/>
      </c>
    </row>
    <row r="68">
      <c r="Q68" s="63">
        <f>IF(OR(L68="",L68="در انتظار"),"",IF(Q68="",TODAY(),Q68))</f>
        <v/>
      </c>
    </row>
  </sheetData>
  <autoFilter ref="A4:Q28"/>
  <mergeCells count="3">
    <mergeCell ref="A1:P1"/>
    <mergeCell ref="A3:P3"/>
    <mergeCell ref="A2:P2"/>
  </mergeCells>
  <dataValidations count="1"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17" r:id="rId1"/>
    <hyperlink xmlns:r="http://schemas.openxmlformats.org/officeDocument/2006/relationships" ref="D20" r:id="rId2"/>
    <hyperlink xmlns:r="http://schemas.openxmlformats.org/officeDocument/2006/relationships" ref="E20" r:id="rId3"/>
    <hyperlink xmlns:r="http://schemas.openxmlformats.org/officeDocument/2006/relationships" ref="E23" r:id="rId4"/>
    <hyperlink xmlns:r="http://schemas.openxmlformats.org/officeDocument/2006/relationships" ref="E24" r:id="rId5"/>
    <hyperlink xmlns:r="http://schemas.openxmlformats.org/officeDocument/2006/relationships" ref="E28" r:id="rId6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30" customHeight="1">
      <c r="A1" s="37" t="inlineStr">
        <is>
          <t>مرجع سریع سناریوهای Changeover</t>
        </is>
      </c>
      <c r="B1" s="8" t="n"/>
      <c r="C1" s="8" t="n"/>
      <c r="D1" s="8" t="n"/>
      <c r="E1" s="8" t="n"/>
      <c r="F1" s="9" t="n"/>
    </row>
    <row r="2" ht="18" customHeight="1">
      <c r="A2" s="64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5" t="inlineStr">
        <is>
          <t>Snapshot نامعتبر</t>
        </is>
      </c>
      <c r="B4" s="65" t="inlineStr">
        <is>
          <t>valid==false یا NULL</t>
        </is>
      </c>
      <c r="C4" s="65" t="inlineStr">
        <is>
          <t>state حفظ، PB11 حفظ، تایمر reset</t>
        </is>
      </c>
      <c r="D4" s="66" t="inlineStr">
        <is>
          <t>changeover.c:valid check</t>
        </is>
      </c>
      <c r="E4" s="65" t="inlineStr">
        <is>
          <t>زمان نامعتبر شمرده نشود</t>
        </is>
      </c>
      <c r="F4" s="66" t="inlineStr">
        <is>
          <t>CO-001,002,017</t>
        </is>
      </c>
    </row>
    <row r="5" ht="14" customHeight="1">
      <c r="A5" s="65" t="inlineStr">
        <is>
          <t>Fault</t>
        </is>
      </c>
      <c r="B5" s="65" t="inlineStr">
        <is>
          <t>fault_mask !=0</t>
        </is>
      </c>
      <c r="C5" s="65" t="inlineStr">
        <is>
          <t>state=FAULT، هیچ pin تغییر نکند</t>
        </is>
      </c>
      <c r="D5" s="65" t="inlineStr">
        <is>
          <t>FAULT_NONE</t>
        </is>
      </c>
      <c r="E5" s="65" t="inlineStr">
        <is>
          <t>بالاترین اولویت پس از valid</t>
        </is>
      </c>
      <c r="F5" s="66" t="inlineStr">
        <is>
          <t>CO-004,005,018</t>
        </is>
      </c>
    </row>
    <row r="6" ht="14" customHeight="1">
      <c r="A6" s="65" t="inlineStr">
        <is>
          <t>قطع با آلارم</t>
        </is>
      </c>
      <c r="B6" s="65" t="inlineStr">
        <is>
          <t>v&lt;21000 و فلگ true</t>
        </is>
      </c>
      <c r="C6" s="65" t="inlineStr">
        <is>
          <t>پس از 3000ms PB11 Low (قطع) → SAFE</t>
        </is>
      </c>
      <c r="D6" s="65" t="inlineStr">
        <is>
          <t>CHANGEOVER_BAT_LOW_ALARM_CUT_MV=21000</t>
        </is>
      </c>
      <c r="E6" s="65" t="inlineStr">
        <is>
          <t>پیوسته</t>
        </is>
      </c>
      <c r="F6" s="66" t="inlineStr">
        <is>
          <t>CO-008,010,012</t>
        </is>
      </c>
    </row>
    <row r="7" ht="14" customHeight="1">
      <c r="A7" s="65" t="inlineStr">
        <is>
          <t>قطع مستقل</t>
        </is>
      </c>
      <c r="B7" s="65" t="inlineStr">
        <is>
          <t>v&lt;20800 (بدون فلگ)</t>
        </is>
      </c>
      <c r="C7" s="65" t="inlineStr">
        <is>
          <t>پس از 3000ms PB11 Low</t>
        </is>
      </c>
      <c r="D7" s="65" t="inlineStr">
        <is>
          <t>CHANGEOVER_BAT_CRITICAL_CUT_MV=20800</t>
        </is>
      </c>
      <c r="E7" s="65" t="inlineStr">
        <is>
          <t>مستقل</t>
        </is>
      </c>
      <c r="F7" s="66" t="inlineStr">
        <is>
          <t>CO-009,011</t>
        </is>
      </c>
    </row>
    <row r="8" ht="14" customHeight="1">
      <c r="A8" s="65" t="inlineStr">
        <is>
          <t>فیلتر زمان</t>
        </is>
      </c>
      <c r="B8" s="65" t="inlineStr">
        <is>
          <t>هر شرط &lt;3000ms</t>
        </is>
      </c>
      <c r="C8" s="65" t="inlineStr">
        <is>
          <t>عدم قطع/وصل</t>
        </is>
      </c>
      <c r="D8" s="65" t="inlineStr">
        <is>
          <t>CHANGEOVER_DURATION_MS=3000</t>
        </is>
      </c>
      <c r="E8" s="65" t="inlineStr">
        <is>
          <t>از rtos_time</t>
        </is>
      </c>
      <c r="F8" s="66" t="inlineStr">
        <is>
          <t>CO-012,015</t>
        </is>
      </c>
    </row>
    <row r="9" ht="14" customHeight="1">
      <c r="A9" s="65" t="inlineStr">
        <is>
          <t>وصل مجدد</t>
        </is>
      </c>
      <c r="B9" s="65" t="inlineStr">
        <is>
          <t>input==true و v≥21200</t>
        </is>
      </c>
      <c r="C9" s="65" t="inlineStr">
        <is>
          <t>پس از 3000ms PB11 High → INPUT</t>
        </is>
      </c>
      <c r="D9" s="65" t="inlineStr">
        <is>
          <t>CHANGEOVER_BAT_RECONNECT_MV=21200</t>
        </is>
      </c>
      <c r="E9" s="65" t="inlineStr">
        <is>
          <t>هر دو پیوسته</t>
        </is>
      </c>
      <c r="F9" s="66" t="inlineStr">
        <is>
          <t>CO-013,014,016</t>
        </is>
      </c>
    </row>
    <row r="10" ht="14" customHeight="1">
      <c r="A10" s="65" t="inlineStr">
        <is>
          <t>پس از reconnect</t>
        </is>
      </c>
      <c r="B10" s="65" t="inlineStr">
        <is>
          <t>state=INPUT</t>
        </is>
      </c>
      <c r="C10" s="65" t="inlineStr">
        <is>
          <t>نه IDLE</t>
        </is>
      </c>
      <c r="D10" s="66" t="inlineStr">
        <is>
          <t>app_types.h</t>
        </is>
      </c>
      <c r="E10" s="65" t="inlineStr">
        <is>
          <t>IDLE ممنوع برای valid</t>
        </is>
      </c>
      <c r="F10" s="66" t="inlineStr">
        <is>
          <t>CO-016</t>
        </is>
      </c>
    </row>
    <row r="11" ht="14" customHeight="1">
      <c r="A11" s="65" t="inlineStr">
        <is>
          <t>PB11 حفظ</t>
        </is>
      </c>
      <c r="B11" s="65" t="inlineStr">
        <is>
          <t>invalid/fault</t>
        </is>
      </c>
      <c r="C11" s="65" t="inlineStr">
        <is>
          <t>بدون تغییر</t>
        </is>
      </c>
      <c r="D11" s="65" t="inlineStr">
        <is>
          <t>—</t>
        </is>
      </c>
      <c r="E11" s="65" t="inlineStr">
        <is>
          <t>snapshot-first</t>
        </is>
      </c>
      <c r="F11" s="66" t="inlineStr">
        <is>
          <t>CO-017,018</t>
        </is>
      </c>
    </row>
    <row r="12" ht="14" customHeight="1">
      <c r="A12" s="65" t="inlineStr">
        <is>
          <t>PB5/PB7</t>
        </is>
      </c>
      <c r="B12" s="65" t="inlineStr">
        <is>
          <t>هیچ‌گاه</t>
        </is>
      </c>
      <c r="C12" s="65" t="inlineStr">
        <is>
          <t>بدون تغییر</t>
        </is>
      </c>
      <c r="D12" s="66" t="inlineStr">
        <is>
          <t>bsp_gpio.h:Forbidden</t>
        </is>
      </c>
      <c r="E12" s="65" t="inlineStr">
        <is>
          <t>فقط PROTECT_BATTERY</t>
        </is>
      </c>
      <c r="F12" s="66" t="inlineStr">
        <is>
          <t>CO-019,020</t>
        </is>
      </c>
    </row>
    <row r="13" ht="14" customHeight="1">
      <c r="A13" s="65" t="inlineStr">
        <is>
          <t>زمان</t>
        </is>
      </c>
      <c r="B13" s="65" t="inlineStr">
        <is>
          <t>ticks→ms via rtos_time</t>
        </is>
      </c>
      <c r="C13" s="65" t="inlineStr">
        <is>
          <t>بدون فرض 1ms</t>
        </is>
      </c>
      <c r="D13" s="65" t="inlineStr">
        <is>
          <t>func__Rtos_MillisecondsToTicks</t>
        </is>
      </c>
      <c r="E13" s="65" t="inlineStr">
        <is>
          <t>قابل‌حمل</t>
        </is>
      </c>
      <c r="F13" s="66" t="inlineStr">
        <is>
          <t>CO-021</t>
        </is>
      </c>
    </row>
    <row r="14" ht="14" customHeight="1">
      <c r="A14" s="65" t="inlineStr">
        <is>
          <t>duration0</t>
        </is>
      </c>
      <c r="B14" s="65" t="inlineStr">
        <is>
          <t>Ticks==0</t>
        </is>
      </c>
      <c r="C14" s="65" t="inlineStr">
        <is>
          <t>بدون تصمیم، حفظ state/PB11</t>
        </is>
      </c>
      <c r="D14" s="66" t="inlineStr">
        <is>
          <t>changeover.c guard</t>
        </is>
      </c>
      <c r="E14" s="65" t="inlineStr">
        <is>
          <t>frequency 0</t>
        </is>
      </c>
      <c r="F14" s="66" t="inlineStr">
        <is>
          <t>CO-022</t>
        </is>
      </c>
    </row>
    <row r="15" ht="14" customHeight="1">
      <c r="A15" s="65" t="inlineStr">
        <is>
          <t>منبع داده</t>
        </is>
      </c>
      <c r="B15" s="65" t="inlineStr">
        <is>
          <t>فقط 5 ورودی مجاز</t>
        </is>
      </c>
      <c r="C15" s="65" t="inlineStr">
        <is>
          <t>عدم استفاده از v_in/v_bat12 و ...</t>
        </is>
      </c>
      <c r="D15" s="66" t="inlineStr">
        <is>
          <t>app_types.h</t>
        </is>
      </c>
      <c r="E15" s="65" t="inlineStr">
        <is>
          <t>محدودیت</t>
        </is>
      </c>
      <c r="F15" s="66" t="inlineStr">
        <is>
          <t>CO-020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D10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D12" r:id="rId11"/>
    <hyperlink xmlns:r="http://schemas.openxmlformats.org/officeDocument/2006/relationships" ref="F12" r:id="rId12"/>
    <hyperlink xmlns:r="http://schemas.openxmlformats.org/officeDocument/2006/relationships" ref="F13" r:id="rId13"/>
    <hyperlink xmlns:r="http://schemas.openxmlformats.org/officeDocument/2006/relationships" ref="D14" r:id="rId14"/>
    <hyperlink xmlns:r="http://schemas.openxmlformats.org/officeDocument/2006/relationships" ref="F14" r:id="rId15"/>
    <hyperlink xmlns:r="http://schemas.openxmlformats.org/officeDocument/2006/relationships" ref="D15" r:id="rId16"/>
    <hyperlink xmlns:r="http://schemas.openxmlformats.org/officeDocument/2006/relationships" ref="F15" r:id="rId17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7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Changeover — PB11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Changeover — PB11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(2.1 — فیلتر 3000ms)</t>
        </is>
      </c>
      <c r="C5" s="70" t="inlineStr">
        <is>
          <t>نسخه فرم</t>
        </is>
      </c>
      <c r="D5" s="42" t="inlineStr">
        <is>
          <t>2.1 — فیلتر 3000ms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فرکانس تیک</t>
        </is>
      </c>
      <c r="B10" s="42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آستانه‌ها</t>
        </is>
      </c>
      <c r="B11" s="42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فیلتر</t>
        </is>
      </c>
      <c r="B12" s="42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مجاز pin</t>
        </is>
      </c>
      <c r="B13" s="42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70" t="inlineStr">
        <is>
          <t>ممنوع</t>
        </is>
      </c>
      <c r="B14" s="42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40" t="inlineStr">
        <is>
          <t>خلاصه خودکار وضعیت تست‌ها (پس از تست برد پر شود)</t>
        </is>
      </c>
    </row>
    <row r="16">
      <c r="A16" s="41" t="inlineStr">
        <is>
          <t>شاخص</t>
        </is>
      </c>
      <c r="B16" s="41" t="inlineStr">
        <is>
          <t>مقدار</t>
        </is>
      </c>
      <c r="C16" s="41" t="inlineStr">
        <is>
          <t>توضیح</t>
        </is>
      </c>
      <c r="D16" s="41" t="inlineStr">
        <is>
          <t>فرمول پیشنهادی</t>
        </is>
      </c>
      <c r="E16" s="8" t="n"/>
      <c r="F16" s="9" t="n"/>
    </row>
    <row r="17" ht="13" customHeight="1">
      <c r="A17" s="42" t="inlineStr">
        <is>
          <t>تعداد کل تست‌ها</t>
        </is>
      </c>
      <c r="B17" s="71">
        <f>COUNTA('برنامه تست'!A5:A200)</f>
        <v/>
      </c>
      <c r="C17" s="42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42" t="inlineStr">
        <is>
          <t>تعداد قبول (PASS)</t>
        </is>
      </c>
      <c r="B18" s="71">
        <f>COUNTIF('برنامه تست'!K5:K200,"قبول")</f>
        <v/>
      </c>
      <c r="C18" s="42" t="inlineStr">
        <is>
          <t>تعداد ردیف با وضعیت = قبول</t>
        </is>
      </c>
      <c r="D18" s="42" t="inlineStr">
        <is>
          <t>COUNTIF('برنامه تست'!K5:K200,"قبول")</t>
        </is>
      </c>
      <c r="E18" s="8" t="n"/>
      <c r="F18" s="9" t="n"/>
    </row>
    <row r="19" ht="13" customHeight="1">
      <c r="A19" s="42" t="inlineStr">
        <is>
          <t>تعداد رد (FAIL)</t>
        </is>
      </c>
      <c r="B19" s="71">
        <f>COUNTIF('برنامه تست'!K5:K200,"رد")</f>
        <v/>
      </c>
      <c r="C19" s="42" t="inlineStr">
        <is>
          <t>تعداد ردیف با وضعیت = رد</t>
        </is>
      </c>
      <c r="D19" s="42" t="inlineStr">
        <is>
          <t>COUNTIF('برنامه تست'!K5:K200,"رد")</t>
        </is>
      </c>
      <c r="E19" s="8" t="n"/>
      <c r="F19" s="9" t="n"/>
    </row>
    <row r="20" ht="13" customHeight="1">
      <c r="A20" s="42" t="inlineStr">
        <is>
          <t>تعداد در انتظار</t>
        </is>
      </c>
      <c r="B20" s="71">
        <f>COUNTIF('برنامه تست'!K5:K200,"در انتظار")</f>
        <v/>
      </c>
      <c r="C20" s="42" t="inlineStr">
        <is>
          <t>تعداد ردیف با وضعیت = در انتظار</t>
        </is>
      </c>
      <c r="D20" s="42" t="inlineStr">
        <is>
          <t>COUNTIF('برنامه تست'!K5:K200,"در انتظار")</t>
        </is>
      </c>
      <c r="E20" s="8" t="n"/>
      <c r="F20" s="9" t="n"/>
    </row>
    <row r="21" ht="13" customHeight="1">
      <c r="A21" s="42" t="inlineStr">
        <is>
          <t>تعداد مسدود</t>
        </is>
      </c>
      <c r="B21" s="71">
        <f>COUNTIF('برنامه تست'!K5:K200,"مسدود")</f>
        <v/>
      </c>
      <c r="C21" s="42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42" t="inlineStr">
        <is>
          <t>نرخ قبولی</t>
        </is>
      </c>
      <c r="B22" s="71">
        <f>IF(B17=0,"",TEXT(B18/B17,"0%"))</f>
        <v/>
      </c>
      <c r="C22" s="42" t="inlineStr">
        <is>
          <t>PASS / TOTAL</t>
        </is>
      </c>
      <c r="D22" s="10" t="inlineStr"/>
      <c r="E22" s="8" t="n"/>
      <c r="F22" s="9" t="n"/>
    </row>
    <row r="23">
      <c r="A23" s="40" t="inlineStr">
        <is>
          <t>امضاها</t>
        </is>
      </c>
    </row>
    <row r="24" ht="18" customHeight="1">
      <c r="A24" s="41" t="inlineStr">
        <is>
          <t>نقش</t>
        </is>
      </c>
      <c r="B24" s="41" t="inlineStr">
        <is>
          <t>نام و نام خانوادگی</t>
        </is>
      </c>
      <c r="C24" s="41" t="inlineStr">
        <is>
          <t>تاریخ</t>
        </is>
      </c>
      <c r="D24" s="41" t="inlineStr">
        <is>
          <t>امضا</t>
        </is>
      </c>
      <c r="E24" s="41" t="inlineStr">
        <is>
          <t>توضیحات</t>
        </is>
      </c>
      <c r="F24" s="9" t="n"/>
    </row>
    <row r="25" ht="22" customHeight="1">
      <c r="A25" s="42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42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تغییر مسیر (Changeover)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Changeover_State_Machine.xlsx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2026-10-16T07:44:05Z</dcterms:modified>
</cp:coreProperties>
</file>