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برنامه تست" sheetId="2" state="visible" r:id="rId2"/>
    <sheet name="تست‌های آزمایشگاهی" sheetId="3" state="visible" r:id="rId3"/>
    <sheet name="مراجع سناریو" sheetId="4" state="visible" r:id="rId4"/>
    <sheet name="ثبت ایراد" sheetId="5" state="visible" r:id="rId5"/>
    <sheet name="تأیید نهایی" sheetId="6" state="visible" r:id="rId6"/>
    <sheet name="فهرست‌ها" sheetId="7" state="visible" r:id="rId7"/>
    <sheet name="ماشین حالت" sheetId="8" state="visible" r:id="rId8"/>
    <sheet name="تست‌های برنامه‌نویسی" sheetId="9" state="visible" r:id="rId9"/>
  </sheets>
  <definedNames>
    <definedName name="_xlnm._FilterDatabase" localSheetId="1" hidden="1">'برنامه تست'!$A$4:$Q$60</definedName>
    <definedName name="_xlnm.Print_Titles" localSheetId="1">'برنامه تست'!$4:$4</definedName>
    <definedName name="_xlnm._FilterDatabase" localSheetId="2" hidden="1">'تست‌های آزمایشگاهی'!$A$4:$Q$5</definedName>
    <definedName name="_xlnm.Print_Titles" localSheetId="2">'تست‌های آزمایشگاهی'!$4:$4</definedName>
  </definedNames>
  <calcPr calcId="124519" fullCalcOnLoad="1" iterate="1" iterateCount="100" iterateDelta="0.001"/>
</workbook>
</file>

<file path=xl/styles.xml><?xml version="1.0" encoding="utf-8"?>
<styleSheet xmlns="http://schemas.openxmlformats.org/spreadsheetml/2006/main">
  <numFmts count="1">
    <numFmt numFmtId="164" formatCode="yyyy-mm-dd"/>
  </numFmts>
  <fonts count="27">
    <font>
      <name val="Calibri"/>
      <family val="2"/>
      <color theme="1"/>
      <sz val="11"/>
      <scheme val="minor"/>
    </font>
    <font>
      <b val="1"/>
      <sz val="10"/>
    </font>
    <font>
      <sz val="8"/>
    </font>
    <font>
      <b val="1"/>
      <sz val="8"/>
    </font>
    <font>
      <name val="Vazirmatn"/>
      <b val="1"/>
      <color rgb="00FFFFFF"/>
      <sz val="14"/>
    </font>
    <font>
      <name val="Vazirmatn"/>
      <b val="1"/>
      <sz val="10"/>
    </font>
    <font>
      <name val="Vazirmatn"/>
      <color rgb="000563C1"/>
      <sz val="10"/>
      <u val="single"/>
    </font>
    <font>
      <name val="Vazirmatn"/>
      <sz val="10"/>
    </font>
    <font>
      <name val="Tahoma"/>
      <b val="1"/>
      <sz val="10"/>
    </font>
    <font>
      <name val="Tahoma"/>
      <sz val="8"/>
    </font>
    <font>
      <name val="Tahoma"/>
      <b val="1"/>
      <sz val="8"/>
    </font>
    <font>
      <name val="Tahoma"/>
      <color theme="1"/>
      <sz val="11"/>
    </font>
    <font>
      <name val="Tahoma"/>
      <b val="1"/>
      <color rgb="00FFFFFF"/>
      <sz val="14"/>
    </font>
    <font>
      <name val="Tahoma"/>
      <color rgb="000563C1"/>
      <sz val="10"/>
      <u val="single"/>
    </font>
    <font>
      <name val="Tahoma"/>
      <sz val="10"/>
    </font>
    <font>
      <name val="Tahoma"/>
      <b val="1"/>
      <color rgb="00FFFFFF"/>
      <sz val="11"/>
    </font>
    <font>
      <name val="Tahoma"/>
      <b val="1"/>
      <color rgb="001F3864"/>
      <sz val="13"/>
    </font>
    <font>
      <name val="Tahoma"/>
      <b val="1"/>
      <color rgb="00C00000"/>
      <sz val="10"/>
    </font>
    <font>
      <name val="Tahoma"/>
      <color rgb="000563C1"/>
      <sz val="8"/>
      <u val="single"/>
    </font>
    <font>
      <name val="Vazirmatn"/>
      <sz val="8"/>
    </font>
    <font>
      <name val="Vazirmatn"/>
      <b val="1"/>
      <color rgb="00FFFFFF"/>
      <sz val="11"/>
    </font>
    <font>
      <name val="Vazirmatn"/>
      <color rgb="000563C1"/>
      <sz val="8"/>
      <u val="single"/>
    </font>
    <font>
      <name val="Vazirmatn"/>
      <b val="1"/>
      <color rgb="001F3864"/>
      <sz val="13"/>
    </font>
    <font>
      <name val="Vazirmatn"/>
      <family val="2"/>
      <color theme="1"/>
      <sz val="11"/>
      <scheme val="minor"/>
    </font>
    <font>
      <name val="Vazirmatn"/>
      <b val="1"/>
      <color rgb="00C00000"/>
      <sz val="10"/>
    </font>
    <font>
      <name val="Vazirmatn"/>
      <b val="1"/>
      <sz val="8"/>
    </font>
    <font>
      <name val="Vazirmatn"/>
      <sz val="11"/>
    </font>
  </fonts>
  <fills count="8">
    <fill>
      <patternFill/>
    </fill>
    <fill>
      <patternFill patternType="gray125"/>
    </fill>
    <fill>
      <patternFill patternType="solid">
        <fgColor rgb="00DDEBF7"/>
      </patternFill>
    </fill>
    <fill>
      <patternFill patternType="solid">
        <fgColor rgb="001F3864"/>
      </patternFill>
    </fill>
    <fill>
      <patternFill patternType="solid">
        <fgColor rgb="00D9E2F3"/>
      </patternFill>
    </fill>
    <fill>
      <patternFill patternType="solid">
        <fgColor rgb="00FFE699"/>
      </patternFill>
    </fill>
    <fill>
      <patternFill patternType="solid">
        <fgColor rgb="00F2F6FC"/>
      </patternFill>
    </fill>
    <fill>
      <patternFill patternType="solid">
        <fgColor rgb="00FCE4D6"/>
      </patternFill>
    </fill>
  </fills>
  <borders count="4">
    <border>
      <left/>
      <right/>
      <top/>
      <bottom/>
      <diagonal/>
    </border>
    <border>
      <left style="thin">
        <color rgb="009DB7E8"/>
      </left>
      <right style="thin">
        <color rgb="009DB7E8"/>
      </right>
      <top style="thin">
        <color rgb="009DB7E8"/>
      </top>
      <bottom style="thin">
        <color rgb="009DB7E8"/>
      </bottom>
    </border>
    <border>
      <left style="thin">
        <color rgb="00B4C6E7"/>
      </left>
      <right style="thin">
        <color rgb="00B4C6E7"/>
      </right>
      <top style="thin">
        <color rgb="00B4C6E7"/>
      </top>
      <bottom style="thin">
        <color rgb="00B4C6E7"/>
      </bottom>
    </border>
    <border/>
  </borders>
  <cellStyleXfs count="1">
    <xf numFmtId="0" fontId="0" fillId="0" borderId="0"/>
  </cellStyleXfs>
  <cellXfs count="7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0" applyAlignment="1" pivotButton="0" quotePrefix="0" xfId="0">
      <alignment horizontal="left" vertical="center" wrapText="1"/>
    </xf>
    <xf numFmtId="0" fontId="3" fillId="0" borderId="0" pivotButton="0" quotePrefix="0" xfId="0"/>
    <xf numFmtId="0" fontId="4" fillId="3" borderId="0" applyAlignment="1" pivotButton="0" quotePrefix="0" xfId="0">
      <alignment horizontal="center" vertical="center"/>
    </xf>
    <xf numFmtId="0" fontId="5" fillId="0" borderId="1" applyAlignment="1" pivotButton="0" quotePrefix="0" xfId="0">
      <alignment horizontal="right" vertical="center" wrapText="1"/>
    </xf>
    <xf numFmtId="0" fontId="6" fillId="0" borderId="1" applyAlignment="1" pivotButton="0" quotePrefix="0" xfId="0">
      <alignment horizontal="right" vertical="center" wrapText="1"/>
    </xf>
    <xf numFmtId="0" fontId="7" fillId="0" borderId="1" applyAlignment="1" pivotButton="0" quotePrefix="0" xfId="0">
      <alignment horizontal="righ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5" fillId="3" borderId="2" applyAlignment="1" pivotButton="0" quotePrefix="0" xfId="0">
      <alignment horizontal="center" vertical="center" wrapText="1"/>
    </xf>
    <xf numFmtId="0" fontId="16" fillId="0" borderId="0" pivotButton="0" quotePrefix="0" xfId="0"/>
    <xf numFmtId="0" fontId="9" fillId="0" borderId="0" pivotButton="0" quotePrefix="0" xfId="0"/>
    <xf numFmtId="0" fontId="8" fillId="4" borderId="2" applyAlignment="1" pivotButton="0" quotePrefix="0" xfId="0">
      <alignment horizontal="center" vertical="center"/>
    </xf>
    <xf numFmtId="0" fontId="14" fillId="0" borderId="2" applyAlignment="1" pivotButton="0" quotePrefix="0" xfId="0">
      <alignment horizontal="right" vertical="center" wrapText="1"/>
    </xf>
    <xf numFmtId="0" fontId="17"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8" fillId="5" borderId="2" applyAlignment="1" pivotButton="0" quotePrefix="0" xfId="0">
      <alignment horizontal="center" vertical="center" wrapText="1"/>
    </xf>
    <xf numFmtId="164" fontId="14" fillId="0" borderId="2" applyAlignment="1" pivotButton="0" quotePrefix="0" xfId="0">
      <alignment horizontal="center" vertical="center" wrapText="1"/>
    </xf>
    <xf numFmtId="0" fontId="14" fillId="6" borderId="2" applyAlignment="1" pivotButton="0" quotePrefix="0" xfId="0">
      <alignment horizontal="right" vertical="center" wrapText="1"/>
    </xf>
    <xf numFmtId="0" fontId="17" fillId="6" borderId="2" applyAlignment="1" pivotButton="0" quotePrefix="0" xfId="0">
      <alignment horizontal="center" vertical="center" wrapText="1"/>
    </xf>
    <xf numFmtId="0" fontId="14" fillId="6" borderId="2" applyAlignment="1" pivotButton="0" quotePrefix="0" xfId="0">
      <alignment horizontal="center" vertical="center" wrapText="1"/>
    </xf>
    <xf numFmtId="164" fontId="14" fillId="6" borderId="2" applyAlignment="1" pivotButton="0" quotePrefix="0" xfId="0">
      <alignment horizontal="center" vertical="center" wrapText="1"/>
    </xf>
    <xf numFmtId="0" fontId="13" fillId="0" borderId="2" applyAlignment="1" pivotButton="0" quotePrefix="0" xfId="0">
      <alignment horizontal="right" vertical="center" wrapText="1"/>
    </xf>
    <xf numFmtId="0" fontId="13" fillId="6" borderId="2" applyAlignment="1" pivotButton="0" quotePrefix="0" xfId="0">
      <alignment horizontal="right" vertical="center" wrapText="1"/>
    </xf>
    <xf numFmtId="0" fontId="8" fillId="7" borderId="2" applyAlignment="1" pivotButton="0" quotePrefix="0" xfId="0">
      <alignment horizontal="center" vertical="center" wrapText="1"/>
    </xf>
    <xf numFmtId="164" fontId="0" fillId="0" borderId="0" pivotButton="0" quotePrefix="0" xfId="0"/>
    <xf numFmtId="0" fontId="10" fillId="2" borderId="0"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pivotButton="0" quotePrefix="0" xfId="0"/>
    <xf numFmtId="0" fontId="10" fillId="2" borderId="0" applyAlignment="1" pivotButton="0" quotePrefix="0" xfId="0">
      <alignment horizontal="left" vertical="center" wrapText="1"/>
    </xf>
    <xf numFmtId="0" fontId="10" fillId="0" borderId="0" pivotButton="0" quotePrefix="0" xfId="0"/>
    <xf numFmtId="0" fontId="12" fillId="3" borderId="0" applyAlignment="1" pivotButton="0" quotePrefix="0" xfId="0">
      <alignment horizontal="center" vertical="center"/>
    </xf>
    <xf numFmtId="0" fontId="8" fillId="0" borderId="1" applyAlignment="1" pivotButton="0" quotePrefix="0" xfId="0">
      <alignment horizontal="right" vertical="center" wrapText="1"/>
    </xf>
    <xf numFmtId="0" fontId="13" fillId="0" borderId="1" applyAlignment="1" pivotButton="0" quotePrefix="0" xfId="0">
      <alignment horizontal="right" vertical="center" wrapText="1"/>
    </xf>
    <xf numFmtId="0" fontId="14" fillId="0" borderId="1" applyAlignment="1" pivotButton="0" quotePrefix="0" xfId="0">
      <alignment horizontal="right" vertical="center" wrapText="1"/>
    </xf>
    <xf numFmtId="0" fontId="18" fillId="0" borderId="0" applyAlignment="1" pivotButton="0" quotePrefix="0" xfId="0">
      <alignment horizontal="left" vertical="center" wrapText="1"/>
    </xf>
    <xf numFmtId="0" fontId="18" fillId="0" borderId="0" applyAlignment="1" pivotButton="0" quotePrefix="0" xfId="0">
      <alignment horizontal="center" vertical="center" wrapText="1"/>
    </xf>
    <xf numFmtId="0" fontId="14" fillId="0" borderId="0" applyAlignment="1" pivotButton="0" quotePrefix="0" xfId="0">
      <alignment vertical="center" wrapText="1"/>
    </xf>
    <xf numFmtId="0" fontId="5"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0" fillId="3" borderId="2" applyAlignment="1" pivotButton="0" quotePrefix="0" xfId="0">
      <alignment horizontal="center" vertical="center" wrapText="1"/>
    </xf>
    <xf numFmtId="0" fontId="21" fillId="0" borderId="0" applyAlignment="1" pivotButton="0" quotePrefix="0" xfId="0">
      <alignment horizontal="left" vertical="center" wrapText="1"/>
    </xf>
    <xf numFmtId="0" fontId="22" fillId="0" borderId="0" pivotButton="0" quotePrefix="0" xfId="0"/>
    <xf numFmtId="0" fontId="23" fillId="0" borderId="0" pivotButton="0" quotePrefix="0" xfId="0"/>
    <xf numFmtId="0" fontId="19" fillId="0" borderId="0" pivotButton="0" quotePrefix="0" xfId="0"/>
    <xf numFmtId="0" fontId="5" fillId="4" borderId="2" applyAlignment="1" pivotButton="0" quotePrefix="0" xfId="0">
      <alignment horizontal="center" vertical="center"/>
    </xf>
    <xf numFmtId="0" fontId="7" fillId="0" borderId="2" applyAlignment="1" pivotButton="0" quotePrefix="0" xfId="0">
      <alignment horizontal="right" vertical="center" wrapText="1"/>
    </xf>
    <xf numFmtId="0" fontId="24" fillId="0" borderId="2" applyAlignment="1" pivotButton="0" quotePrefix="0" xfId="0">
      <alignment horizontal="center" vertical="center" wrapText="1"/>
    </xf>
    <xf numFmtId="0" fontId="6" fillId="0" borderId="2" applyAlignment="1" pivotButton="0" quotePrefix="0" xfId="0">
      <alignment horizontal="right" vertical="center" wrapText="1"/>
    </xf>
    <xf numFmtId="0" fontId="7" fillId="0" borderId="2" applyAlignment="1" pivotButton="0" quotePrefix="0" xfId="0">
      <alignment horizontal="center" vertical="center" wrapText="1"/>
    </xf>
    <xf numFmtId="0" fontId="5" fillId="5" borderId="2" applyAlignment="1" pivotButton="0" quotePrefix="0" xfId="0">
      <alignment horizontal="center" vertical="center" wrapText="1"/>
    </xf>
    <xf numFmtId="164" fontId="7" fillId="0" borderId="2" applyAlignment="1" pivotButton="0" quotePrefix="0" xfId="0">
      <alignment horizontal="center" vertical="center" wrapText="1"/>
    </xf>
    <xf numFmtId="0" fontId="7" fillId="6" borderId="2" applyAlignment="1" pivotButton="0" quotePrefix="0" xfId="0">
      <alignment horizontal="right" vertical="center" wrapText="1"/>
    </xf>
    <xf numFmtId="0" fontId="24" fillId="6" borderId="2" applyAlignment="1" pivotButton="0" quotePrefix="0" xfId="0">
      <alignment horizontal="center" vertical="center" wrapText="1"/>
    </xf>
    <xf numFmtId="0" fontId="7" fillId="6" borderId="2" applyAlignment="1" pivotButton="0" quotePrefix="0" xfId="0">
      <alignment horizontal="center" vertical="center" wrapText="1"/>
    </xf>
    <xf numFmtId="164" fontId="7" fillId="6" borderId="2" applyAlignment="1" pivotButton="0" quotePrefix="0" xfId="0">
      <alignment horizontal="center" vertical="center" wrapText="1"/>
    </xf>
    <xf numFmtId="0" fontId="6" fillId="6" borderId="2" applyAlignment="1" pivotButton="0" quotePrefix="0" xfId="0">
      <alignment horizontal="right" vertical="center" wrapText="1"/>
    </xf>
    <xf numFmtId="0" fontId="5" fillId="7" borderId="2" applyAlignment="1" pivotButton="0" quotePrefix="0" xfId="0">
      <alignment horizontal="center" vertical="center" wrapText="1"/>
    </xf>
    <xf numFmtId="164" fontId="23" fillId="0" borderId="0" pivotButton="0" quotePrefix="0" xfId="0"/>
    <xf numFmtId="0" fontId="7" fillId="0" borderId="0" applyAlignment="1" pivotButton="0" quotePrefix="0" xfId="0">
      <alignment vertical="center" wrapText="1"/>
    </xf>
    <xf numFmtId="0" fontId="25" fillId="2" borderId="0" applyAlignment="1" pivotButton="0" quotePrefix="0" xfId="0">
      <alignment horizontal="center" vertical="center" wrapText="1"/>
    </xf>
    <xf numFmtId="0" fontId="19"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5" fillId="0" borderId="0" pivotButton="0" quotePrefix="0" xfId="0"/>
    <xf numFmtId="0" fontId="25" fillId="2" borderId="0" applyAlignment="1" pivotButton="0" quotePrefix="0" xfId="0">
      <alignment horizontal="left" vertical="center" wrapText="1"/>
    </xf>
    <xf numFmtId="0" fontId="25" fillId="0" borderId="0" pivotButton="0" quotePrefix="0" xfId="0"/>
    <xf numFmtId="0" fontId="26" fillId="0" borderId="0" pivotButton="0" quotePrefix="0" xfId="0"/>
    <xf numFmtId="0" fontId="26" fillId="0" borderId="3" pivotButton="0" quotePrefix="0" xfId="0"/>
    <xf numFmtId="164" fontId="26"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spLink/esp_link_nvm.c" TargetMode="External" Id="rId1" /></Relationships>
</file>

<file path=xl/worksheets/_rels/sheet4.xml.rels><Relationships xmlns="http://schemas.openxmlformats.org/package/2006/relationships"><Relationship Type="http://schemas.openxmlformats.org/officeDocument/2006/relationships/hyperlink" Target="cal_lut.c" TargetMode="External" Id="rId1" /><Relationship Type="http://schemas.openxmlformats.org/officeDocument/2006/relationships/hyperlink" Target="cal_lut.c" TargetMode="External" Id="rId2" /></Relationships>
</file>

<file path=xl/worksheets/_rels/sheet8.xml.rels><Relationships xmlns="http://schemas.openxmlformats.org/package/2006/relationships"><Relationship Type="http://schemas.openxmlformats.org/officeDocument/2006/relationships/hyperlink" Target="CalLut_State_Machine.xlsx" TargetMode="External" Id="rId1" /><Relationship Type="http://schemas.openxmlformats.org/officeDocument/2006/relationships/hyperlink" Target="../../../Documentation/System_State_Machine.xlsx" TargetMode="External" Id="rId2" /><Relationship Type="http://schemas.openxmlformats.org/officeDocument/2006/relationships/hyperlink" Target="../../../tools/make_module_state_machines.py" TargetMode="External" Id="rId3" /></Relationships>
</file>

<file path=xl/worksheets/sheet1.xml><?xml version="1.0" encoding="utf-8"?>
<worksheet xmlns="http://schemas.openxmlformats.org/spreadsheetml/2006/main">
  <sheetPr>
    <tabColor rgb="007F7F7F"/>
    <outlinePr summaryBelow="1" summaryRight="1"/>
    <pageSetUpPr/>
  </sheetPr>
  <dimension ref="A1:A12"/>
  <sheetViews>
    <sheetView rightToLeft="1" workbookViewId="0">
      <pane ySplit="1" topLeftCell="A2" activePane="bottomLeft" state="frozen"/>
      <selection pane="bottomLeft" activeCell="A1" sqref="A1"/>
    </sheetView>
  </sheetViews>
  <sheetFormatPr baseColWidth="8" defaultRowHeight="15"/>
  <cols>
    <col width="120" customWidth="1" min="1" max="1"/>
  </cols>
  <sheetData>
    <row r="1">
      <c r="A1" s="45" t="inlineStr">
        <is>
          <t>برگه تست و اعتبارسنجی عملی ماژول CalLut</t>
        </is>
      </c>
    </row>
    <row r="2">
      <c r="A2" s="46" t="inlineStr">
        <is>
          <t>CalLut | نگهداری جدول کالیبراسیون بنچ در بلوک فلش اختصاصی با CRC32 و بازگشت به جدول کامپایل‌شده</t>
        </is>
      </c>
    </row>
    <row r="3" ht="30" customHeight="1">
      <c r="A3" s="47" t="inlineStr">
        <is>
          <t>هدف فایل</t>
        </is>
      </c>
    </row>
    <row r="4">
      <c r="A4" s="46" t="n"/>
    </row>
    <row r="5">
      <c r="A5" s="46" t="inlineStr">
        <is>
          <t>مسیر ذخیرهٔ جدول کالیبراسیون بنچ در «بلوک فلش مخصوص خودش»: دو صفحهٔ ۱KB در 0x0800F000 و 0x0800F400، پینگ‌پنگ امن در برابر قطع برق، مجیک/نسخه/CRC32 مستقل.</t>
        </is>
      </c>
    </row>
    <row r="6">
      <c r="A6" s="48" t="inlineStr">
        <is>
          <t>هیچ اشتراکی با esp_link_nvm.c جز درایور فلش ندارد؛ پس فرستادن جدول هرگز رکورد پارامترها را خراب نمی‌کند و برعکس.</t>
        </is>
      </c>
    </row>
    <row r="7">
      <c r="A7" s="46" t="inlineStr">
        <is>
          <t>جدول کامپایل‌شده وجود ندارد. وقتی رکورد معتبر در فلش نباشد، خط گین و آفست (پیش‌فرض گین 3000، آفست 0) استفاده می‌شود؛ وقتی رکورد معتبر در فلش باشد از آن استفاده می‌شود.</t>
        </is>
      </c>
    </row>
    <row r="8">
      <c r="A8" s="46" t="inlineStr">
        <is>
          <t>دست‌دادن: LUT_BEGIN → LUT_CHUNK → LUT_COMMIT (با CRC32 پنل) → LUT_ACK (با CRC32 خودِ برد از آنچه در فلش است) → تنها در صورت برابری، LUT_RESET.</t>
        </is>
      </c>
    </row>
    <row r="9">
      <c r="A9" s="46" t="inlineStr">
        <is>
          <t>هدف این برگه: اثبات روی برد که نوشتن، بازخوانی، اعتبارسنجی و بازگشت به پشتیبان همگی همان‌طور کار می‌کنند که هدر ادعا می‌کند.</t>
        </is>
      </c>
    </row>
    <row r="10">
      <c r="A10" s="46" t="inlineStr">
        <is>
          <t>تست Host (کامپایل و اجرا روی PC با شبیه‌سازی RAM) جایگزین این تست‌ها نیست.</t>
        </is>
      </c>
    </row>
    <row r="11"/>
    <row r="12">
      <c r="A12" s="73" t="inlineStr">
        <is>
          <t>اولویت تست‌های عملی: «بالا» یعنی رفتار اصلی‌ای که در کار عادی دستگاه می‌بینید (روشن‌شدن، شروع و پایان شارژ، چهره‌های اصلی چراغ‌ها، رفتن تغذیه روی برق ورودی، خطاهای اصلی)؛ اول همین‌ها را انجام دهید. «متوسط» رفتارهای فرعیِ کاربردی است و «پایین» ریزه‌کاری‌ها (مثل اثر نوسان چند درصدی روی ریتم چشمک یا لبه‌های دقیق درصد و زمان).
ستون «چه چیزی باید ببینید تا بگویید درست است» می‌گوید دقیقاً چه چیزی را باید ببینید یا بشنوید تا آن تست را قبول کنید؛ اگر چیز دیگری دیدید، وضعیت را «رد» بزنید و در شرح ایراد بنویسید چه دیدید.</t>
        </is>
      </c>
    </row>
  </sheetData>
  <hyperlinks>
    <hyperlink xmlns:r="http://schemas.openxmlformats.org/officeDocument/2006/relationships" ref="A6" r:id="rId1"/>
  </hyperlinks>
  <pageMargins left="0.75" right="0.75" top="1" bottom="1" header="0.5" footer="0.5"/>
</worksheet>
</file>

<file path=xl/worksheets/sheet2.xml><?xml version="1.0" encoding="utf-8"?>
<worksheet xmlns="http://schemas.openxmlformats.org/spreadsheetml/2006/main">
  <sheetPr>
    <tabColor rgb="001F4E79"/>
    <outlinePr summaryBelow="1" summaryRight="1"/>
    <pageSetUpPr fitToPage="1"/>
  </sheetPr>
  <dimension ref="A1:Q53"/>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49" t="inlineStr">
        <is>
          <t>برنامهٔ تست عملی — ماژول CalLut</t>
        </is>
      </c>
      <c r="B1" s="50" t="n"/>
      <c r="C1" s="50" t="n"/>
      <c r="D1" s="50" t="n"/>
      <c r="E1" s="50" t="n"/>
      <c r="F1" s="50" t="n"/>
      <c r="G1" s="50" t="n"/>
      <c r="H1" s="50" t="n"/>
      <c r="I1" s="50" t="n"/>
      <c r="J1" s="50" t="n"/>
      <c r="K1" s="50" t="n"/>
      <c r="L1" s="50" t="n"/>
      <c r="M1" s="50" t="n"/>
      <c r="N1" s="50" t="n"/>
      <c r="O1" s="50" t="n"/>
      <c r="P1" s="50" t="n"/>
      <c r="Q1" s="50" t="n"/>
    </row>
    <row r="2">
      <c r="A2" s="51" t="inlineStr">
        <is>
          <t>وضعیت فقط یکی از: در انتظار / قبول / رد / مسدود / نیاز به تکرار. تست Host جایگزین تست برد نیست.</t>
        </is>
      </c>
      <c r="B2" s="50" t="n"/>
      <c r="C2" s="50" t="n"/>
      <c r="D2" s="50" t="n"/>
      <c r="E2" s="50" t="n"/>
      <c r="F2" s="50" t="n"/>
      <c r="G2" s="50" t="n"/>
      <c r="H2" s="50" t="n"/>
      <c r="I2" s="50" t="n"/>
      <c r="J2" s="50" t="n"/>
      <c r="K2" s="50" t="n"/>
      <c r="L2" s="50" t="n"/>
      <c r="M2" s="50" t="n"/>
      <c r="N2" s="50" t="n"/>
      <c r="O2" s="50" t="n"/>
      <c r="P2" s="50" t="n"/>
      <c r="Q2" s="50" t="n"/>
    </row>
    <row r="3">
      <c r="A3" s="51" t="inlineStr">
        <is>
          <t>برای هر ردیف پیش‌شرط، ورودی، انتظار و معیار قبولی صریح است؛ نتیجهٔ واقعی فقط با اندازه‌گیری روی برد پر می‌شود.</t>
        </is>
      </c>
      <c r="B3" s="50" t="n"/>
      <c r="C3" s="50" t="n"/>
      <c r="D3" s="50" t="n"/>
      <c r="E3" s="50" t="n"/>
      <c r="F3" s="50" t="n"/>
      <c r="G3" s="50" t="n"/>
      <c r="H3" s="50" t="n"/>
      <c r="I3" s="50" t="n"/>
      <c r="J3" s="50" t="n"/>
      <c r="K3" s="50" t="n"/>
      <c r="L3" s="50" t="n"/>
      <c r="M3" s="50" t="n"/>
      <c r="N3" s="50" t="n"/>
      <c r="O3" s="50" t="n"/>
      <c r="P3" s="50" t="n"/>
      <c r="Q3" s="50" t="n"/>
    </row>
    <row r="4" ht="30" customHeight="1">
      <c r="A4" s="47" t="inlineStr">
        <is>
          <t>شناسه</t>
        </is>
      </c>
      <c r="B4" s="47" t="inlineStr">
        <is>
          <t>دسته</t>
        </is>
      </c>
      <c r="C4" s="47" t="inlineStr">
        <is>
          <t>اولویت</t>
        </is>
      </c>
      <c r="D4" s="47" t="inlineStr">
        <is>
          <t>پیش‌شرط</t>
        </is>
      </c>
      <c r="E4" s="47" t="inlineStr">
        <is>
          <t>روش اجرای دقیق</t>
        </is>
      </c>
      <c r="F4" s="47" t="inlineStr">
        <is>
          <t>ورودی‌ها / شرایط</t>
        </is>
      </c>
      <c r="G4" s="47" t="inlineStr">
        <is>
          <t>مدت مشاهده</t>
        </is>
      </c>
      <c r="H4" s="47" t="inlineStr">
        <is>
          <t>رفتار مورد انتظار</t>
        </is>
      </c>
      <c r="I4" s="47" t="inlineStr">
        <is>
          <t>وضعیت حفظ / latch</t>
        </is>
      </c>
      <c r="J4" s="47" t="inlineStr">
        <is>
          <t>چه چیزی باید ببینید تا بگویید درست است</t>
        </is>
      </c>
      <c r="K4" s="47" t="inlineStr">
        <is>
          <t>نتیجهٔ واقعی / اندازه‌گیری</t>
        </is>
      </c>
      <c r="L4" s="47" t="inlineStr">
        <is>
          <t>وضعیت</t>
        </is>
      </c>
      <c r="M4" s="47" t="inlineStr">
        <is>
          <t>شرح ایراد / تفاوت</t>
        </is>
      </c>
      <c r="N4" s="47" t="inlineStr">
        <is>
          <t>مدرک تست / scope</t>
        </is>
      </c>
      <c r="O4" s="47" t="inlineStr">
        <is>
          <t>commit</t>
        </is>
      </c>
      <c r="P4" s="47" t="inlineStr">
        <is>
          <t>نام تست‌کننده</t>
        </is>
      </c>
      <c r="Q4" s="47" t="inlineStr">
        <is>
          <t>تاریخ</t>
        </is>
      </c>
    </row>
    <row r="5" ht="54" customHeight="1">
      <c r="A5" s="52" t="inlineStr">
        <is>
          <t>CL-001</t>
        </is>
      </c>
      <c r="B5" s="53" t="inlineStr">
        <is>
          <t>بوت بدون رکورد</t>
        </is>
      </c>
      <c r="C5" s="54" t="inlineStr">
        <is>
          <t>بالا</t>
        </is>
      </c>
      <c r="D5" s="55" t="inlineStr">
        <is>
          <t>دستگاه تازه است یا جدولش را تازه پاک کرده‌ای (CL-016)؛ باتری و برق شهر آماده</t>
        </is>
      </c>
      <c r="E5" s="53" t="inlineStr">
        <is>
          <t>گام ۱: دستگاه را روشن کن و یک باتری نیمه‌خالی را به شارژ بزن.
گام ۲: چند دقیقه رفتار شارژ را نگاه کن.</t>
        </is>
      </c>
      <c r="F5" s="56" t="inlineStr">
        <is>
          <t>روشن‌کردن و شارژ بدون جدول سفارشی</t>
        </is>
      </c>
      <c r="G5" s="56" t="inlineStr">
        <is>
          <t>پنج دقیقه</t>
        </is>
      </c>
      <c r="H5" s="53" t="inlineStr">
        <is>
          <t>شارژ با جدول پیش‌فرض کارخانه کاملاً عادی کار می‌کند؛ هیچ خطای جدولی نیست</t>
        </is>
      </c>
      <c r="I5" s="53" t="inlineStr">
        <is>
          <t>رفتار پیش‌فرض</t>
        </is>
      </c>
      <c r="J5" s="53" t="inlineStr">
        <is>
          <t>باید ببینید: شارژ با جدول پیش‌فرض کارخانه کاملاً عادی کار می‌کند و هیچ خطای جدولی نیست. اگر شارژ خراب بود یا خطا آمد، قبول نیست.</t>
        </is>
      </c>
      <c r="K5" s="53" t="inlineStr">
        <is>
          <t>در انتظار</t>
        </is>
      </c>
      <c r="L5" s="57" t="inlineStr">
        <is>
          <t>در انتظار</t>
        </is>
      </c>
      <c r="M5" s="53" t="n"/>
      <c r="N5" s="53" t="inlineStr">
        <is>
          <t>TESTER: fill</t>
        </is>
      </c>
      <c r="O5" s="56" t="inlineStr">
        <is>
          <t>TESTER: fill</t>
        </is>
      </c>
      <c r="P5" s="56" t="inlineStr">
        <is>
          <t>TESTER: fill</t>
        </is>
      </c>
      <c r="Q5" s="58">
        <f>IF(OR(L5="",L5="در انتظار"),"",IF(Q5="",TODAY(),Q5))</f>
        <v/>
      </c>
    </row>
    <row r="6" ht="67.5" customHeight="1">
      <c r="A6" s="52" t="inlineStr">
        <is>
          <t>CL-002</t>
        </is>
      </c>
      <c r="B6" s="59" t="inlineStr">
        <is>
          <t>push سالم کانال ۱</t>
        </is>
      </c>
      <c r="C6" s="60" t="inlineStr">
        <is>
          <t>متوسط</t>
        </is>
      </c>
      <c r="D6" s="59" t="inlineStr">
        <is>
          <t>پنل باز است و جدول درست یک کانال را آماده داری</t>
        </is>
      </c>
      <c r="E6" s="59" t="inlineStr">
        <is>
          <t>گام ۱: جدول را از پنل برای کانال ۱ بفرست.
گام ۲: همان جدول را از پنل بخوان و عددها را مقایسه کن.
گام ۳: با همان کانال یک شارژ واقعی انجام بده.</t>
        </is>
      </c>
      <c r="F6" s="61" t="inlineStr">
        <is>
          <t>فرستادن جدول کانال ۱ از پنل</t>
        </is>
      </c>
      <c r="G6" s="61" t="inlineStr">
        <is>
          <t>ده دقیقه</t>
        </is>
      </c>
      <c r="H6" s="59" t="inlineStr">
        <is>
          <t>جدول درست نشسته (خواندن برعکس همان است) و شارژ کانال ۱ با همان اعداد کار می‌کند</t>
        </is>
      </c>
      <c r="I6" s="59" t="inlineStr">
        <is>
          <t>ماندگار</t>
        </is>
      </c>
      <c r="J6" s="59" t="inlineStr">
        <is>
          <t>باید ببینید: جدول درست نشسته (بازخوانی همان است) و شارژ کانال ۱ با همان اعداد کار می‌کند. اگر عددی اختلاف داشت یا شارژ خراب بود، قبول نیست.</t>
        </is>
      </c>
      <c r="K6" s="59" t="inlineStr">
        <is>
          <t>در انتظار</t>
        </is>
      </c>
      <c r="L6" s="57" t="inlineStr">
        <is>
          <t>در انتظار</t>
        </is>
      </c>
      <c r="M6" s="59" t="n"/>
      <c r="N6" s="59" t="inlineStr">
        <is>
          <t>TESTER: fill</t>
        </is>
      </c>
      <c r="O6" s="61" t="inlineStr">
        <is>
          <t>TESTER: fill</t>
        </is>
      </c>
      <c r="P6" s="61" t="inlineStr">
        <is>
          <t>TESTER: fill</t>
        </is>
      </c>
      <c r="Q6" s="62">
        <f>IF(OR(L6="",L6="در انتظار"),"",IF(Q6="",TODAY(),Q6))</f>
        <v/>
      </c>
    </row>
    <row r="7" ht="54" customHeight="1">
      <c r="A7" s="52" t="inlineStr">
        <is>
          <t>CL-003</t>
        </is>
      </c>
      <c r="B7" s="53" t="inlineStr">
        <is>
          <t>ماندگاری پس از قطع برق</t>
        </is>
      </c>
      <c r="C7" s="54" t="inlineStr">
        <is>
          <t>متوسط</t>
        </is>
      </c>
      <c r="D7" s="55" t="inlineStr">
        <is>
          <t>جدول سفارشی را فرستاده‌ای و نشسته است (CL-002)</t>
        </is>
      </c>
      <c r="E7" s="53" t="inlineStr">
        <is>
          <t>گام ۱: برق دستگاه را کامل قطع کن و یک دقیقه صبر کن.
گام ۲: روشن کن و جدول را از پنل دوباره بخوان.</t>
        </is>
      </c>
      <c r="F7" s="56" t="inlineStr">
        <is>
          <t>قطع و وصل کامل برق</t>
        </is>
      </c>
      <c r="G7" s="56" t="inlineStr">
        <is>
          <t>پنج دقیقه</t>
        </is>
      </c>
      <c r="H7" s="53" t="inlineStr">
        <is>
          <t>جدول سفارشی بعد از روشن‌شدن سر جاست</t>
        </is>
      </c>
      <c r="I7" s="53" t="inlineStr">
        <is>
          <t>ماندگار در قطع برق</t>
        </is>
      </c>
      <c r="J7" s="53" t="inlineStr">
        <is>
          <t>باید ببینید: جدول سفارشی بعد از خاموش و روشن‌کردن سر جاست. اگر پاک شده بود، قبول نیست.</t>
        </is>
      </c>
      <c r="K7" s="53" t="inlineStr">
        <is>
          <t>در انتظار</t>
        </is>
      </c>
      <c r="L7" s="57" t="inlineStr">
        <is>
          <t>در انتظار</t>
        </is>
      </c>
      <c r="M7" s="53" t="n"/>
      <c r="N7" s="53" t="inlineStr">
        <is>
          <t>TESTER: fill</t>
        </is>
      </c>
      <c r="O7" s="56" t="inlineStr">
        <is>
          <t>TESTER: fill</t>
        </is>
      </c>
      <c r="P7" s="56" t="inlineStr">
        <is>
          <t>TESTER: fill</t>
        </is>
      </c>
      <c r="Q7" s="58">
        <f>IF(OR(L7="",L7="در انتظار"),"",IF(Q7="",TODAY(),Q7))</f>
        <v/>
      </c>
    </row>
    <row r="8" ht="54" customHeight="1">
      <c r="A8" s="52" t="inlineStr">
        <is>
          <t>CL-010</t>
        </is>
      </c>
      <c r="B8" s="59" t="inlineStr">
        <is>
          <t>قطع برق وسط نوشتن</t>
        </is>
      </c>
      <c r="C8" s="60" t="inlineStr">
        <is>
          <t>متوسط</t>
        </is>
      </c>
      <c r="D8" s="63" t="inlineStr">
        <is>
          <t>پنل باز و دستگاه روشن است؛ دستت روی کلید برق دستگاه باشد</t>
        </is>
      </c>
      <c r="E8" s="63" t="inlineStr">
        <is>
          <t>گام ۱: فرستادن یک جدول تازه از پنل را شروع کن.
گام ۲: وسط فرستادن، برق دستگاه را بکش.
گام ۳: دوباره روشن کن و جدول را بخوان: یا جدول قبلی سالم است یا پیش‌فرض؛ بعد یک شارژ واقعی بگیر.</t>
        </is>
      </c>
      <c r="F8" s="61" t="inlineStr">
        <is>
          <t>قطع برق وسط فرستادن جدول</t>
        </is>
      </c>
      <c r="G8" s="61" t="inlineStr">
        <is>
          <t>ده دقیقه</t>
        </is>
      </c>
      <c r="H8" s="59" t="inlineStr">
        <is>
          <t>جدول نصفه‌نیمه ذخیره نشده؛ شارژ با جدول قبلی یا پیش‌فرض سالم کار می‌کند</t>
        </is>
      </c>
      <c r="I8" s="59" t="inlineStr">
        <is>
          <t>بدون جدول خراب</t>
        </is>
      </c>
      <c r="J8" s="59" t="inlineStr">
        <is>
          <t>باید ببینید: بعد از قطع برق وسط نوشتن، شارژ با جدول قبلی یا پیش‌فرض سالم کار می‌کند و جدول نصفه ذخیره نشده است. اگر جدول خراب یا شارژ به‌هم‌ریخته بود، قبول نیست.</t>
        </is>
      </c>
      <c r="K8" s="59" t="inlineStr">
        <is>
          <t>در انتظار</t>
        </is>
      </c>
      <c r="L8" s="57" t="inlineStr">
        <is>
          <t>در انتظار</t>
        </is>
      </c>
      <c r="M8" s="59" t="n"/>
      <c r="N8" s="59" t="inlineStr">
        <is>
          <t>TESTER: fill</t>
        </is>
      </c>
      <c r="O8" s="61" t="inlineStr">
        <is>
          <t>TESTER: fill</t>
        </is>
      </c>
      <c r="P8" s="61" t="inlineStr">
        <is>
          <t>TESTER: fill</t>
        </is>
      </c>
      <c r="Q8" s="62">
        <f>IF(OR(L8="",L8="در انتظار"),"",IF(Q8="",TODAY(),Q8))</f>
        <v/>
      </c>
    </row>
    <row r="9" ht="54" customHeight="1">
      <c r="A9" s="52" t="inlineStr">
        <is>
          <t>CL-011</t>
        </is>
      </c>
      <c r="B9" s="53" t="inlineStr">
        <is>
          <t>استقلال از NVM پارامترها</t>
        </is>
      </c>
      <c r="C9" s="54" t="inlineStr">
        <is>
          <t>متوسط</t>
        </is>
      </c>
      <c r="D9" s="53" t="inlineStr">
        <is>
          <t>جدول سفارشی نشسته و پنل باز است</t>
        </is>
      </c>
      <c r="E9" s="53" t="inlineStr">
        <is>
          <t>گام ۱: چند پارامتر معمولی پنل (نه جدولی) را عوض کن.
گام ۲: برق را قطع و وصل کن.
گام ۳: جدول را بخوان.</t>
        </is>
      </c>
      <c r="F9" s="56" t="inlineStr">
        <is>
          <t>تغییر پارامترهای معمولی و قطع‌ووصل</t>
        </is>
      </c>
      <c r="G9" s="56" t="inlineStr">
        <is>
          <t>پنج دقیقه</t>
        </is>
      </c>
      <c r="H9" s="53" t="inlineStr">
        <is>
          <t>جدول سفارشی دست‌نخورده مانده است</t>
        </is>
      </c>
      <c r="I9" s="53" t="inlineStr">
        <is>
          <t>استقلال جدول از بقیهٔ تنظیم‌ها</t>
        </is>
      </c>
      <c r="J9" s="53" t="inlineStr">
        <is>
          <t>باید ببینید: جدول سفارشی دست‌نخورده مانده است. اگر دست خورده بود، قبول نیست.</t>
        </is>
      </c>
      <c r="K9" s="53" t="inlineStr">
        <is>
          <t>در انتظار</t>
        </is>
      </c>
      <c r="L9" s="57" t="inlineStr">
        <is>
          <t>در انتظار</t>
        </is>
      </c>
      <c r="M9" s="53" t="n"/>
      <c r="N9" s="53" t="inlineStr">
        <is>
          <t>TESTER: fill</t>
        </is>
      </c>
      <c r="O9" s="56" t="inlineStr">
        <is>
          <t>TESTER: fill</t>
        </is>
      </c>
      <c r="P9" s="56" t="inlineStr">
        <is>
          <t>TESTER: fill</t>
        </is>
      </c>
      <c r="Q9" s="58">
        <f>IF(OR(L9="",L9="در انتظار"),"",IF(Q9="",TODAY(),Q9))</f>
        <v/>
      </c>
    </row>
    <row r="10" ht="54" customHeight="1">
      <c r="A10" s="52" t="inlineStr">
        <is>
          <t>CL-014</t>
        </is>
      </c>
      <c r="B10" s="59" t="inlineStr">
        <is>
          <t>LUT_READ بازخوانی واقعی هر دو کانال</t>
        </is>
      </c>
      <c r="C10" s="60" t="inlineStr">
        <is>
          <t>متوسط</t>
        </is>
      </c>
      <c r="D10" s="59" t="inlineStr">
        <is>
          <t>برای هر دو کانال جدول ذخیره کرده‌ای</t>
        </is>
      </c>
      <c r="E10" s="59" t="inlineStr">
        <is>
          <t>گام ۱: از پنل جدول هر دو کانال را کامل بخوان.
گام ۲: عددها را با چیزی که فرستاده بودی مقایسه کن.</t>
        </is>
      </c>
      <c r="F10" s="61" t="inlineStr">
        <is>
          <t>خواندن جدول هر دو کانال</t>
        </is>
      </c>
      <c r="G10" s="61" t="inlineStr">
        <is>
          <t>پنج دقیقه</t>
        </is>
      </c>
      <c r="H10" s="59" t="inlineStr">
        <is>
          <t>هر دو جدول عددبه‌عدد درست و سر جای خودشان‌اند؛ کانال‌ها قاطی نشده‌اند</t>
        </is>
      </c>
      <c r="I10" s="59" t="inlineStr">
        <is>
          <t>—</t>
        </is>
      </c>
      <c r="J10" s="59" t="inlineStr">
        <is>
          <t>باید ببینید: هر دو جدول عددبه‌عدد درست و سر جای خودشان‌اند و کانال‌ها قاطی نشده‌اند. اگر قاطی یا ناقص بود، قبول نیست.</t>
        </is>
      </c>
      <c r="K10" s="59" t="inlineStr">
        <is>
          <t>Host PASS: 159 check؛ شامل دو فریم واقعی LUT_DATA، battery 2 مستقل و transition غیرصفر→صفر؛ برد فیزیکی pending</t>
        </is>
      </c>
      <c r="L10" s="57" t="inlineStr">
        <is>
          <t>در انتظار</t>
        </is>
      </c>
      <c r="M10" s="59" t="inlineStr">
        <is>
          <t>Host جای اندازه‌گیری برد را نمی‌گیرد؛ فلش و readback روی برد واقعی لازم است</t>
        </is>
      </c>
      <c r="N10" s="59" t="inlineStr">
        <is>
          <t>Firmware/Modules/CalLut/Tester/run_host_test_cal_lut.sh</t>
        </is>
      </c>
      <c r="O10" s="61" t="inlineStr">
        <is>
          <t>WORKTREE</t>
        </is>
      </c>
      <c r="P10" s="61" t="n"/>
      <c r="Q10" s="62">
        <f>IF(OR(L10="",L10="در انتظار"),"",IF(Q10="",TODAY(),Q10))</f>
        <v/>
      </c>
    </row>
    <row r="11" ht="54" customHeight="1">
      <c r="A11" s="52" t="inlineStr">
        <is>
          <t>CL-015</t>
        </is>
      </c>
      <c r="B11" s="53" t="inlineStr">
        <is>
          <t>حذف override با صفرنقطه</t>
        </is>
      </c>
      <c r="C11" s="54" t="inlineStr">
        <is>
          <t>متوسط</t>
        </is>
      </c>
      <c r="D11" s="55" t="inlineStr">
        <is>
          <t>یک کانال جدول سفارشی (override) دارد و با آن شارژ می‌کند</t>
        </is>
      </c>
      <c r="E11" s="55" t="inlineStr">
        <is>
          <t>گام ۱: از پنل override همان کانال را با نقطهٔ صفر پاک کن.
گام ۲: یک شارژ واقعی با همان کانال بگیر.</t>
        </is>
      </c>
      <c r="F11" s="56" t="inlineStr">
        <is>
          <t>پاک‌کردن override از پنل</t>
        </is>
      </c>
      <c r="G11" s="56" t="inlineStr">
        <is>
          <t>ده دقیقه</t>
        </is>
      </c>
      <c r="H11" s="53" t="inlineStr">
        <is>
          <t>کانال به رفتار پیش‌فرض کارخانه برمی‌گردد و شارژ عادی می‌شود</t>
        </is>
      </c>
      <c r="I11" s="53" t="inlineStr">
        <is>
          <t>برگشت به پیش‌فرض</t>
        </is>
      </c>
      <c r="J11" s="53" t="inlineStr">
        <is>
          <t>باید ببینید: کانال به رفتار پیش‌فرض کارخانه برمی‌گردد و شارژ عادی می‌شود. اگر روی جدول پاک‌شده ماند، قبول نیست.</t>
        </is>
      </c>
      <c r="K11" s="53" t="inlineStr">
        <is>
          <t>Host PASS: 159 check؛ board physical pending</t>
        </is>
      </c>
      <c r="L11" s="57" t="inlineStr">
        <is>
          <t>در انتظار</t>
        </is>
      </c>
      <c r="M11" s="53" t="inlineStr">
        <is>
          <t>Host جای تست برد را نمی‌گیرد؛ حذف override و ماندگاری پس از reset روی برد واقعی لازم است</t>
        </is>
      </c>
      <c r="N11" s="55" t="inlineStr">
        <is>
          <t>Firmware/Modules/CalLut/Tester/run_host_test_cal_lut.sh؛ esp_link_panel/Tester/host_test_scenario_cards.js</t>
        </is>
      </c>
      <c r="O11" s="56" t="inlineStr">
        <is>
          <t>WORKTREE</t>
        </is>
      </c>
      <c r="P11" s="56" t="n"/>
      <c r="Q11" s="58">
        <f>IF(OR(L11="",L11="در انتظار"),"",IF(Q11="",TODAY(),Q11))</f>
        <v/>
      </c>
    </row>
    <row r="12" ht="54" customHeight="1">
      <c r="A12" s="52" t="inlineStr">
        <is>
          <t>CL-016</t>
        </is>
      </c>
      <c r="B12" s="59" t="inlineStr">
        <is>
          <t>reset با grant و flush NVM</t>
        </is>
      </c>
      <c r="C12" s="60" t="inlineStr">
        <is>
          <t>متوسط</t>
        </is>
      </c>
      <c r="D12" s="59" t="inlineStr">
        <is>
          <t>جدول سفارشی ذخیره است و پنل باز</t>
        </is>
      </c>
      <c r="E12" s="59" t="inlineStr">
        <is>
          <t>گام ۱: ریست جدول را از پنل با تأیید انجام بده.
گام ۲: برق را قطع و وصل کن.
گام ۳: جدول را بخوان و یک شارژ بگیر.</t>
        </is>
      </c>
      <c r="F12" s="61" t="inlineStr">
        <is>
          <t>ریست جدول و قطع‌ووصل برق</t>
        </is>
      </c>
      <c r="G12" s="61" t="inlineStr">
        <is>
          <t>ده دقیقه</t>
        </is>
      </c>
      <c r="H12" s="59" t="inlineStr">
        <is>
          <t>جدول پاک شده، بعد از روشن‌شدن هم برنمی‌گردد و شارژ پیش‌فرض عادی است</t>
        </is>
      </c>
      <c r="I12" s="59" t="inlineStr">
        <is>
          <t>ماندگار</t>
        </is>
      </c>
      <c r="J12" s="59" t="inlineStr">
        <is>
          <t>باید ببینید: جدول پاک شده و بعد از روشن‌شدن هم برنمی‌گردد و شارژ پیش‌فرض عادی است. اگر جدول برگشت، قبول نیست.</t>
        </is>
      </c>
      <c r="K12" s="59" t="inlineStr">
        <is>
          <t>Host PASS: CalLut=159، parser=14 و NVM؛ تست فیزیکی فلش/ریست/باتری انجام نشده و pending است</t>
        </is>
      </c>
      <c r="L12" s="57" t="inlineStr">
        <is>
          <t>در انتظار</t>
        </is>
      </c>
      <c r="M12" s="59" t="inlineStr">
        <is>
          <t>Host جای تست فیزیکی برد و fault واقعی NVM را نمی‌گیرد؛ commit zero-point، reset و flush روی برد واقعی تکرار شود</t>
        </is>
      </c>
      <c r="N12" s="63" t="inlineStr">
        <is>
          <t>Firmware/Modules/CalLut/Tester/run_host_test_cal_lut.sh؛ Firmware/Modules/EspLink/Tester/run_host_test_nvm.sh؛ Firmware/Modules/EspLink/esp_link.c</t>
        </is>
      </c>
      <c r="O12" s="61" t="inlineStr">
        <is>
          <t>WORKTREE</t>
        </is>
      </c>
      <c r="P12" s="61" t="n"/>
      <c r="Q12" s="62">
        <f>IF(OR(L12="",L12="در انتظار"),"",IF(Q12="",TODAY(),Q12))</f>
        <v/>
      </c>
    </row>
    <row r="13" ht="40.5" customHeight="1">
      <c r="A13" s="52" t="inlineStr">
        <is>
          <t>CL-020</t>
        </is>
      </c>
      <c r="B13" s="53" t="inlineStr">
        <is>
          <t>پنل دیالوگ LUT</t>
        </is>
      </c>
      <c r="C13" s="56" t="inlineStr">
        <is>
          <t>متوسط</t>
        </is>
      </c>
      <c r="D13" s="53" t="inlineStr">
        <is>
          <t>پنل باز و دستگاه روشن است</t>
        </is>
      </c>
      <c r="E13" s="53" t="inlineStr">
        <is>
          <t>گام ۱: دیالوگ جدول را در پنل باز کن و یک عدد را عوض کن.
گام ۲: لغو بزن؛ جدول را بخوان که عوض نشده باشد.
گام ۳: دوباره عوض کن و این بار تأیید بزن؛ بخوان که نشسته باشد.</t>
        </is>
      </c>
      <c r="F13" s="56" t="inlineStr">
        <is>
          <t>لغو و تأیید در دیالوگ جدول پنل</t>
        </is>
      </c>
      <c r="G13" s="56" t="inlineStr">
        <is>
          <t>پنج دقیقه</t>
        </is>
      </c>
      <c r="H13" s="53" t="inlineStr">
        <is>
          <t>لغو هیچ اثری ندارد و تأیید دقیقاً همان تغییر را می‌نشاند</t>
        </is>
      </c>
      <c r="I13" s="53" t="inlineStr">
        <is>
          <t>—</t>
        </is>
      </c>
      <c r="J13" s="53" t="inlineStr">
        <is>
          <t>باید ببینید: لغو هیچ اثری ندارد و تأیید دقیقاً همان تغییر را می‌نشاند. اگر با لغو اعمال شد یا با تأیید گم شد، قبول نیست.</t>
        </is>
      </c>
      <c r="K13" s="53" t="n"/>
      <c r="L13" s="64" t="inlineStr">
        <is>
          <t>نیاز به تکرار</t>
        </is>
      </c>
      <c r="M13" s="53" t="n"/>
      <c r="N13" s="53" t="inlineStr">
        <is>
          <t>../EspLink/esp_link.c</t>
        </is>
      </c>
      <c r="O13" s="56" t="inlineStr">
        <is>
          <t>62f3782</t>
        </is>
      </c>
      <c r="P13" s="56" t="n"/>
      <c r="Q13" s="58">
        <f>IF(OR(L13="",L13="در انتظار"),"",IF(Q13="",TODAY(),Q13))</f>
        <v/>
      </c>
    </row>
    <row r="14">
      <c r="A14" s="74" t="n"/>
      <c r="B14" s="74" t="n"/>
      <c r="C14" s="74" t="n"/>
      <c r="D14" s="74" t="n"/>
      <c r="E14" s="74" t="n"/>
      <c r="F14" s="74" t="n"/>
      <c r="G14" s="74" t="n"/>
      <c r="H14" s="74" t="n"/>
      <c r="I14" s="74" t="n"/>
      <c r="J14" s="74" t="n"/>
      <c r="K14" s="74" t="n"/>
      <c r="L14" s="74" t="n"/>
      <c r="M14" s="74" t="n"/>
      <c r="N14" s="74" t="n"/>
      <c r="O14" s="74" t="n"/>
      <c r="P14" s="74" t="n"/>
      <c r="Q14" s="75" t="n"/>
    </row>
    <row r="15">
      <c r="A15" s="74" t="n"/>
      <c r="B15" s="74" t="n"/>
      <c r="C15" s="74" t="n"/>
      <c r="D15" s="74" t="n"/>
      <c r="E15" s="74" t="n"/>
      <c r="F15" s="74" t="n"/>
      <c r="G15" s="74" t="n"/>
      <c r="H15" s="74" t="n"/>
      <c r="I15" s="74" t="n"/>
      <c r="J15" s="74" t="n"/>
      <c r="K15" s="74" t="n"/>
      <c r="L15" s="74" t="n"/>
      <c r="M15" s="74" t="n"/>
      <c r="N15" s="74" t="n"/>
      <c r="O15" s="74" t="n"/>
      <c r="P15" s="74" t="n"/>
      <c r="Q15" s="75" t="n"/>
    </row>
    <row r="16">
      <c r="A16" s="74" t="n"/>
      <c r="B16" s="74" t="n"/>
      <c r="C16" s="74" t="n"/>
      <c r="D16" s="74" t="n"/>
      <c r="E16" s="74" t="n"/>
      <c r="F16" s="74" t="n"/>
      <c r="G16" s="74" t="n"/>
      <c r="H16" s="74" t="n"/>
      <c r="I16" s="74" t="n"/>
      <c r="J16" s="74" t="n"/>
      <c r="K16" s="74" t="n"/>
      <c r="L16" s="74" t="n"/>
      <c r="M16" s="74" t="n"/>
      <c r="N16" s="74" t="n"/>
      <c r="O16" s="74" t="n"/>
      <c r="P16" s="74" t="n"/>
      <c r="Q16" s="75" t="n"/>
    </row>
    <row r="17">
      <c r="A17" s="74" t="n"/>
      <c r="B17" s="74" t="n"/>
      <c r="C17" s="74" t="n"/>
      <c r="D17" s="74" t="n"/>
      <c r="E17" s="74" t="n"/>
      <c r="F17" s="74" t="n"/>
      <c r="G17" s="74" t="n"/>
      <c r="H17" s="74" t="n"/>
      <c r="I17" s="74" t="n"/>
      <c r="J17" s="74" t="n"/>
      <c r="K17" s="74" t="n"/>
      <c r="L17" s="74" t="n"/>
      <c r="M17" s="74" t="n"/>
      <c r="N17" s="74" t="n"/>
      <c r="O17" s="74" t="n"/>
      <c r="P17" s="74" t="n"/>
      <c r="Q17" s="75" t="n"/>
    </row>
    <row r="18">
      <c r="A18" s="74" t="n"/>
      <c r="B18" s="74" t="n"/>
      <c r="C18" s="74" t="n"/>
      <c r="D18" s="74" t="n"/>
      <c r="E18" s="74" t="n"/>
      <c r="F18" s="74" t="n"/>
      <c r="G18" s="74" t="n"/>
      <c r="H18" s="74" t="n"/>
      <c r="I18" s="74" t="n"/>
      <c r="J18" s="74" t="n"/>
      <c r="K18" s="74" t="n"/>
      <c r="L18" s="74" t="n"/>
      <c r="M18" s="74" t="n"/>
      <c r="N18" s="74" t="n"/>
      <c r="O18" s="74" t="n"/>
      <c r="P18" s="74" t="n"/>
      <c r="Q18" s="75" t="n"/>
    </row>
    <row r="19">
      <c r="A19" s="74" t="n"/>
      <c r="B19" s="74" t="n"/>
      <c r="C19" s="74" t="n"/>
      <c r="D19" s="74" t="n"/>
      <c r="E19" s="74" t="n"/>
      <c r="F19" s="74" t="n"/>
      <c r="G19" s="74" t="n"/>
      <c r="H19" s="74" t="n"/>
      <c r="I19" s="74" t="n"/>
      <c r="J19" s="74" t="n"/>
      <c r="K19" s="74" t="n"/>
      <c r="L19" s="74" t="n"/>
      <c r="M19" s="74" t="n"/>
      <c r="N19" s="74" t="n"/>
      <c r="O19" s="74" t="n"/>
      <c r="P19" s="74" t="n"/>
      <c r="Q19" s="75" t="n"/>
    </row>
    <row r="20">
      <c r="A20" s="74" t="n"/>
      <c r="B20" s="74" t="n"/>
      <c r="C20" s="74" t="n"/>
      <c r="D20" s="74" t="n"/>
      <c r="E20" s="74" t="n"/>
      <c r="F20" s="74" t="n"/>
      <c r="G20" s="74" t="n"/>
      <c r="H20" s="74" t="n"/>
      <c r="I20" s="74" t="n"/>
      <c r="J20" s="74" t="n"/>
      <c r="K20" s="74" t="n"/>
      <c r="L20" s="74" t="n"/>
      <c r="M20" s="74" t="n"/>
      <c r="N20" s="74" t="n"/>
      <c r="O20" s="74" t="n"/>
      <c r="P20" s="74" t="n"/>
      <c r="Q20" s="75" t="n"/>
    </row>
    <row r="21">
      <c r="A21" s="74" t="n"/>
      <c r="B21" s="74" t="n"/>
      <c r="C21" s="74" t="n"/>
      <c r="D21" s="74" t="n"/>
      <c r="E21" s="74" t="n"/>
      <c r="F21" s="74" t="n"/>
      <c r="G21" s="74" t="n"/>
      <c r="H21" s="74" t="n"/>
      <c r="I21" s="74" t="n"/>
      <c r="J21" s="74" t="n"/>
      <c r="K21" s="74" t="n"/>
      <c r="L21" s="74" t="n"/>
      <c r="M21" s="74" t="n"/>
      <c r="N21" s="74" t="n"/>
      <c r="O21" s="74" t="n"/>
      <c r="P21" s="74" t="n"/>
      <c r="Q21" s="75" t="n"/>
    </row>
    <row r="22">
      <c r="A22" s="74" t="n"/>
      <c r="B22" s="74" t="n"/>
      <c r="C22" s="74" t="n"/>
      <c r="D22" s="74" t="n"/>
      <c r="E22" s="74" t="n"/>
      <c r="F22" s="74" t="n"/>
      <c r="G22" s="74" t="n"/>
      <c r="H22" s="74" t="n"/>
      <c r="I22" s="74" t="n"/>
      <c r="J22" s="74" t="n"/>
      <c r="K22" s="74" t="n"/>
      <c r="L22" s="74" t="n"/>
      <c r="M22" s="74" t="n"/>
      <c r="N22" s="74" t="n"/>
      <c r="O22" s="74" t="n"/>
      <c r="P22" s="74" t="n"/>
      <c r="Q22" s="75" t="n"/>
    </row>
    <row r="23">
      <c r="A23" s="74" t="n"/>
      <c r="B23" s="74" t="n"/>
      <c r="C23" s="74" t="n"/>
      <c r="D23" s="74" t="n"/>
      <c r="E23" s="74" t="n"/>
      <c r="F23" s="74" t="n"/>
      <c r="G23" s="74" t="n"/>
      <c r="H23" s="74" t="n"/>
      <c r="I23" s="74" t="n"/>
      <c r="J23" s="74" t="n"/>
      <c r="K23" s="74" t="n"/>
      <c r="L23" s="74" t="n"/>
      <c r="M23" s="74" t="n"/>
      <c r="N23" s="74" t="n"/>
      <c r="O23" s="74" t="n"/>
      <c r="P23" s="74" t="n"/>
      <c r="Q23" s="75" t="n"/>
    </row>
    <row r="24">
      <c r="A24" s="74" t="n"/>
      <c r="B24" s="74" t="n"/>
      <c r="C24" s="74" t="n"/>
      <c r="D24" s="74" t="n"/>
      <c r="E24" s="74" t="n"/>
      <c r="F24" s="74" t="n"/>
      <c r="G24" s="74" t="n"/>
      <c r="H24" s="74" t="n"/>
      <c r="I24" s="74" t="n"/>
      <c r="J24" s="74" t="n"/>
      <c r="K24" s="74" t="n"/>
      <c r="L24" s="74" t="n"/>
      <c r="M24" s="74" t="n"/>
      <c r="N24" s="74" t="n"/>
      <c r="O24" s="74" t="n"/>
      <c r="P24" s="74" t="n"/>
      <c r="Q24" s="75" t="n"/>
    </row>
    <row r="25">
      <c r="A25" s="74" t="n"/>
      <c r="B25" s="74" t="n"/>
      <c r="C25" s="74" t="n"/>
      <c r="D25" s="74" t="n"/>
      <c r="E25" s="74" t="n"/>
      <c r="F25" s="74" t="n"/>
      <c r="G25" s="74" t="n"/>
      <c r="H25" s="74" t="n"/>
      <c r="I25" s="74" t="n"/>
      <c r="J25" s="74" t="n"/>
      <c r="K25" s="74" t="n"/>
      <c r="L25" s="74" t="n"/>
      <c r="M25" s="74" t="n"/>
      <c r="N25" s="74" t="n"/>
      <c r="O25" s="74" t="n"/>
      <c r="P25" s="74" t="n"/>
      <c r="Q25" s="75" t="n"/>
    </row>
    <row r="26">
      <c r="A26" s="74" t="n"/>
      <c r="B26" s="74" t="n"/>
      <c r="C26" s="74" t="n"/>
      <c r="D26" s="74" t="n"/>
      <c r="E26" s="74" t="n"/>
      <c r="F26" s="74" t="n"/>
      <c r="G26" s="74" t="n"/>
      <c r="H26" s="74" t="n"/>
      <c r="I26" s="74" t="n"/>
      <c r="J26" s="74" t="n"/>
      <c r="K26" s="74" t="n"/>
      <c r="L26" s="74" t="n"/>
      <c r="M26" s="74" t="n"/>
      <c r="N26" s="74" t="n"/>
      <c r="O26" s="74" t="n"/>
      <c r="P26" s="74" t="n"/>
      <c r="Q26" s="75" t="n"/>
    </row>
    <row r="27">
      <c r="A27" s="74" t="n"/>
      <c r="B27" s="74" t="n"/>
      <c r="C27" s="74" t="n"/>
      <c r="D27" s="74" t="n"/>
      <c r="E27" s="74" t="n"/>
      <c r="F27" s="74" t="n"/>
      <c r="G27" s="74" t="n"/>
      <c r="H27" s="74" t="n"/>
      <c r="I27" s="74" t="n"/>
      <c r="J27" s="74" t="n"/>
      <c r="K27" s="74" t="n"/>
      <c r="L27" s="74" t="n"/>
      <c r="M27" s="74" t="n"/>
      <c r="N27" s="74" t="n"/>
      <c r="O27" s="74" t="n"/>
      <c r="P27" s="74" t="n"/>
      <c r="Q27" s="75" t="n"/>
    </row>
    <row r="28">
      <c r="A28" s="74" t="n"/>
      <c r="B28" s="74" t="n"/>
      <c r="C28" s="74" t="n"/>
      <c r="D28" s="74" t="n"/>
      <c r="E28" s="74" t="n"/>
      <c r="F28" s="74" t="n"/>
      <c r="G28" s="74" t="n"/>
      <c r="H28" s="74" t="n"/>
      <c r="I28" s="74" t="n"/>
      <c r="J28" s="74" t="n"/>
      <c r="K28" s="74" t="n"/>
      <c r="L28" s="74" t="n"/>
      <c r="M28" s="74" t="n"/>
      <c r="N28" s="74" t="n"/>
      <c r="O28" s="74" t="n"/>
      <c r="P28" s="74" t="n"/>
      <c r="Q28" s="75" t="n"/>
    </row>
    <row r="29">
      <c r="A29" s="74" t="n"/>
      <c r="B29" s="74" t="n"/>
      <c r="C29" s="74" t="n"/>
      <c r="D29" s="74" t="n"/>
      <c r="E29" s="74" t="n"/>
      <c r="F29" s="74" t="n"/>
      <c r="G29" s="74" t="n"/>
      <c r="H29" s="74" t="n"/>
      <c r="I29" s="74" t="n"/>
      <c r="J29" s="74" t="n"/>
      <c r="K29" s="74" t="n"/>
      <c r="L29" s="74" t="n"/>
      <c r="M29" s="74" t="n"/>
      <c r="N29" s="74" t="n"/>
      <c r="O29" s="74" t="n"/>
      <c r="P29" s="74" t="n"/>
      <c r="Q29" s="75" t="n"/>
    </row>
    <row r="30">
      <c r="A30" s="74" t="n"/>
      <c r="B30" s="74" t="n"/>
      <c r="C30" s="74" t="n"/>
      <c r="D30" s="74" t="n"/>
      <c r="E30" s="74" t="n"/>
      <c r="F30" s="74" t="n"/>
      <c r="G30" s="74" t="n"/>
      <c r="H30" s="74" t="n"/>
      <c r="I30" s="74" t="n"/>
      <c r="J30" s="74" t="n"/>
      <c r="K30" s="74" t="n"/>
      <c r="L30" s="74" t="n"/>
      <c r="M30" s="74" t="n"/>
      <c r="N30" s="74" t="n"/>
      <c r="O30" s="74" t="n"/>
      <c r="P30" s="74" t="n"/>
      <c r="Q30" s="75" t="n"/>
    </row>
    <row r="31">
      <c r="A31" s="74" t="n"/>
      <c r="B31" s="74" t="n"/>
      <c r="C31" s="74" t="n"/>
      <c r="D31" s="74" t="n"/>
      <c r="E31" s="74" t="n"/>
      <c r="F31" s="74" t="n"/>
      <c r="G31" s="74" t="n"/>
      <c r="H31" s="74" t="n"/>
      <c r="I31" s="74" t="n"/>
      <c r="J31" s="74" t="n"/>
      <c r="K31" s="74" t="n"/>
      <c r="L31" s="74" t="n"/>
      <c r="M31" s="74" t="n"/>
      <c r="N31" s="74" t="n"/>
      <c r="O31" s="74" t="n"/>
      <c r="P31" s="74" t="n"/>
      <c r="Q31" s="75" t="n"/>
    </row>
    <row r="32">
      <c r="A32" s="74" t="n"/>
      <c r="B32" s="74" t="n"/>
      <c r="C32" s="74" t="n"/>
      <c r="D32" s="74" t="n"/>
      <c r="E32" s="74" t="n"/>
      <c r="F32" s="74" t="n"/>
      <c r="G32" s="74" t="n"/>
      <c r="H32" s="74" t="n"/>
      <c r="I32" s="74" t="n"/>
      <c r="J32" s="74" t="n"/>
      <c r="K32" s="74" t="n"/>
      <c r="L32" s="74" t="n"/>
      <c r="M32" s="74" t="n"/>
      <c r="N32" s="74" t="n"/>
      <c r="O32" s="74" t="n"/>
      <c r="P32" s="74" t="n"/>
      <c r="Q32" s="75" t="n"/>
    </row>
    <row r="33">
      <c r="A33" s="74" t="n"/>
      <c r="B33" s="74" t="n"/>
      <c r="C33" s="74" t="n"/>
      <c r="D33" s="74" t="n"/>
      <c r="E33" s="74" t="n"/>
      <c r="F33" s="74" t="n"/>
      <c r="G33" s="74" t="n"/>
      <c r="H33" s="74" t="n"/>
      <c r="I33" s="74" t="n"/>
      <c r="J33" s="74" t="n"/>
      <c r="K33" s="74" t="n"/>
      <c r="L33" s="74" t="n"/>
      <c r="M33" s="74" t="n"/>
      <c r="N33" s="74" t="n"/>
      <c r="O33" s="74" t="n"/>
      <c r="P33" s="74" t="n"/>
      <c r="Q33" s="75" t="n"/>
    </row>
    <row r="34">
      <c r="A34" s="74" t="n"/>
      <c r="B34" s="74" t="n"/>
      <c r="C34" s="74" t="n"/>
      <c r="D34" s="74" t="n"/>
      <c r="E34" s="74" t="n"/>
      <c r="F34" s="74" t="n"/>
      <c r="G34" s="74" t="n"/>
      <c r="H34" s="74" t="n"/>
      <c r="I34" s="74" t="n"/>
      <c r="J34" s="74" t="n"/>
      <c r="K34" s="74" t="n"/>
      <c r="L34" s="74" t="n"/>
      <c r="M34" s="74" t="n"/>
      <c r="N34" s="74" t="n"/>
      <c r="O34" s="74" t="n"/>
      <c r="P34" s="74" t="n"/>
      <c r="Q34" s="75" t="n"/>
    </row>
    <row r="35">
      <c r="A35" s="74" t="n"/>
      <c r="B35" s="74" t="n"/>
      <c r="C35" s="74" t="n"/>
      <c r="D35" s="74" t="n"/>
      <c r="E35" s="74" t="n"/>
      <c r="F35" s="74" t="n"/>
      <c r="G35" s="74" t="n"/>
      <c r="H35" s="74" t="n"/>
      <c r="I35" s="74" t="n"/>
      <c r="J35" s="74" t="n"/>
      <c r="K35" s="74" t="n"/>
      <c r="L35" s="74" t="n"/>
      <c r="M35" s="74" t="n"/>
      <c r="N35" s="74" t="n"/>
      <c r="O35" s="74" t="n"/>
      <c r="P35" s="74" t="n"/>
      <c r="Q35" s="75" t="n"/>
    </row>
    <row r="36">
      <c r="A36" s="74" t="n"/>
      <c r="B36" s="74" t="n"/>
      <c r="C36" s="74" t="n"/>
      <c r="D36" s="74" t="n"/>
      <c r="E36" s="74" t="n"/>
      <c r="F36" s="74" t="n"/>
      <c r="G36" s="74" t="n"/>
      <c r="H36" s="74" t="n"/>
      <c r="I36" s="74" t="n"/>
      <c r="J36" s="74" t="n"/>
      <c r="K36" s="74" t="n"/>
      <c r="L36" s="74" t="n"/>
      <c r="M36" s="74" t="n"/>
      <c r="N36" s="74" t="n"/>
      <c r="O36" s="74" t="n"/>
      <c r="P36" s="74" t="n"/>
      <c r="Q36" s="75" t="n"/>
    </row>
    <row r="37">
      <c r="A37" s="74" t="n"/>
      <c r="B37" s="74" t="n"/>
      <c r="C37" s="74" t="n"/>
      <c r="D37" s="74" t="n"/>
      <c r="E37" s="74" t="n"/>
      <c r="F37" s="74" t="n"/>
      <c r="G37" s="74" t="n"/>
      <c r="H37" s="74" t="n"/>
      <c r="I37" s="74" t="n"/>
      <c r="J37" s="74" t="n"/>
      <c r="K37" s="74" t="n"/>
      <c r="L37" s="74" t="n"/>
      <c r="M37" s="74" t="n"/>
      <c r="N37" s="74" t="n"/>
      <c r="O37" s="74" t="n"/>
      <c r="P37" s="74" t="n"/>
      <c r="Q37" s="75" t="n"/>
    </row>
    <row r="38">
      <c r="A38" s="74" t="n"/>
      <c r="B38" s="74" t="n"/>
      <c r="C38" s="74" t="n"/>
      <c r="D38" s="74" t="n"/>
      <c r="E38" s="74" t="n"/>
      <c r="F38" s="74" t="n"/>
      <c r="G38" s="74" t="n"/>
      <c r="H38" s="74" t="n"/>
      <c r="I38" s="74" t="n"/>
      <c r="J38" s="74" t="n"/>
      <c r="K38" s="74" t="n"/>
      <c r="L38" s="74" t="n"/>
      <c r="M38" s="74" t="n"/>
      <c r="N38" s="74" t="n"/>
      <c r="O38" s="74" t="n"/>
      <c r="P38" s="74" t="n"/>
      <c r="Q38" s="75" t="n"/>
    </row>
    <row r="39">
      <c r="A39" s="74" t="n"/>
      <c r="B39" s="74" t="n"/>
      <c r="C39" s="74" t="n"/>
      <c r="D39" s="74" t="n"/>
      <c r="E39" s="74" t="n"/>
      <c r="F39" s="74" t="n"/>
      <c r="G39" s="74" t="n"/>
      <c r="H39" s="74" t="n"/>
      <c r="I39" s="74" t="n"/>
      <c r="J39" s="74" t="n"/>
      <c r="K39" s="74" t="n"/>
      <c r="L39" s="74" t="n"/>
      <c r="M39" s="74" t="n"/>
      <c r="N39" s="74" t="n"/>
      <c r="O39" s="74" t="n"/>
      <c r="P39" s="74" t="n"/>
      <c r="Q39" s="75" t="n"/>
    </row>
    <row r="40">
      <c r="A40" s="74" t="n"/>
      <c r="B40" s="74" t="n"/>
      <c r="C40" s="74" t="n"/>
      <c r="D40" s="74" t="n"/>
      <c r="E40" s="74" t="n"/>
      <c r="F40" s="74" t="n"/>
      <c r="G40" s="74" t="n"/>
      <c r="H40" s="74" t="n"/>
      <c r="I40" s="74" t="n"/>
      <c r="J40" s="74" t="n"/>
      <c r="K40" s="74" t="n"/>
      <c r="L40" s="74" t="n"/>
      <c r="M40" s="74" t="n"/>
      <c r="N40" s="74" t="n"/>
      <c r="O40" s="74" t="n"/>
      <c r="P40" s="74" t="n"/>
      <c r="Q40" s="75" t="n"/>
    </row>
    <row r="41">
      <c r="A41" s="74" t="n"/>
      <c r="B41" s="74" t="n"/>
      <c r="C41" s="74" t="n"/>
      <c r="D41" s="74" t="n"/>
      <c r="E41" s="74" t="n"/>
      <c r="F41" s="74" t="n"/>
      <c r="G41" s="74" t="n"/>
      <c r="H41" s="74" t="n"/>
      <c r="I41" s="74" t="n"/>
      <c r="J41" s="74" t="n"/>
      <c r="K41" s="74" t="n"/>
      <c r="L41" s="74" t="n"/>
      <c r="M41" s="74" t="n"/>
      <c r="N41" s="74" t="n"/>
      <c r="O41" s="74" t="n"/>
      <c r="P41" s="74" t="n"/>
      <c r="Q41" s="75" t="n"/>
    </row>
    <row r="42">
      <c r="A42" s="74" t="n"/>
      <c r="B42" s="74" t="n"/>
      <c r="C42" s="74" t="n"/>
      <c r="D42" s="74" t="n"/>
      <c r="E42" s="74" t="n"/>
      <c r="F42" s="74" t="n"/>
      <c r="G42" s="74" t="n"/>
      <c r="H42" s="74" t="n"/>
      <c r="I42" s="74" t="n"/>
      <c r="J42" s="74" t="n"/>
      <c r="K42" s="74" t="n"/>
      <c r="L42" s="74" t="n"/>
      <c r="M42" s="74" t="n"/>
      <c r="N42" s="74" t="n"/>
      <c r="O42" s="74" t="n"/>
      <c r="P42" s="74" t="n"/>
      <c r="Q42" s="75" t="n"/>
    </row>
    <row r="43">
      <c r="A43" s="74" t="n"/>
      <c r="B43" s="74" t="n"/>
      <c r="C43" s="74" t="n"/>
      <c r="D43" s="74" t="n"/>
      <c r="E43" s="74" t="n"/>
      <c r="F43" s="74" t="n"/>
      <c r="G43" s="74" t="n"/>
      <c r="H43" s="74" t="n"/>
      <c r="I43" s="74" t="n"/>
      <c r="J43" s="74" t="n"/>
      <c r="K43" s="74" t="n"/>
      <c r="L43" s="74" t="n"/>
      <c r="M43" s="74" t="n"/>
      <c r="N43" s="74" t="n"/>
      <c r="O43" s="74" t="n"/>
      <c r="P43" s="74" t="n"/>
      <c r="Q43" s="75" t="n"/>
    </row>
    <row r="44">
      <c r="A44" s="74" t="n"/>
      <c r="B44" s="74" t="n"/>
      <c r="C44" s="74" t="n"/>
      <c r="D44" s="74" t="n"/>
      <c r="E44" s="74" t="n"/>
      <c r="F44" s="74" t="n"/>
      <c r="G44" s="74" t="n"/>
      <c r="H44" s="74" t="n"/>
      <c r="I44" s="74" t="n"/>
      <c r="J44" s="74" t="n"/>
      <c r="K44" s="74" t="n"/>
      <c r="L44" s="74" t="n"/>
      <c r="M44" s="74" t="n"/>
      <c r="N44" s="74" t="n"/>
      <c r="O44" s="74" t="n"/>
      <c r="P44" s="74" t="n"/>
      <c r="Q44" s="75" t="n"/>
    </row>
    <row r="45">
      <c r="A45" s="74" t="n"/>
      <c r="B45" s="74" t="n"/>
      <c r="C45" s="74" t="n"/>
      <c r="D45" s="74" t="n"/>
      <c r="E45" s="74" t="n"/>
      <c r="F45" s="74" t="n"/>
      <c r="G45" s="74" t="n"/>
      <c r="H45" s="74" t="n"/>
      <c r="I45" s="74" t="n"/>
      <c r="J45" s="74" t="n"/>
      <c r="K45" s="74" t="n"/>
      <c r="L45" s="74" t="n"/>
      <c r="M45" s="74" t="n"/>
      <c r="N45" s="74" t="n"/>
      <c r="O45" s="74" t="n"/>
      <c r="P45" s="74" t="n"/>
      <c r="Q45" s="75" t="n"/>
    </row>
    <row r="46">
      <c r="A46" s="74" t="n"/>
      <c r="B46" s="74" t="n"/>
      <c r="C46" s="74" t="n"/>
      <c r="D46" s="74" t="n"/>
      <c r="E46" s="74" t="n"/>
      <c r="F46" s="74" t="n"/>
      <c r="G46" s="74" t="n"/>
      <c r="H46" s="74" t="n"/>
      <c r="I46" s="74" t="n"/>
      <c r="J46" s="74" t="n"/>
      <c r="K46" s="74" t="n"/>
      <c r="L46" s="74" t="n"/>
      <c r="M46" s="74" t="n"/>
      <c r="N46" s="74" t="n"/>
      <c r="O46" s="74" t="n"/>
      <c r="P46" s="74" t="n"/>
      <c r="Q46" s="75" t="n"/>
    </row>
    <row r="47">
      <c r="A47" s="74" t="n"/>
      <c r="B47" s="74" t="n"/>
      <c r="C47" s="74" t="n"/>
      <c r="D47" s="74" t="n"/>
      <c r="E47" s="74" t="n"/>
      <c r="F47" s="74" t="n"/>
      <c r="G47" s="74" t="n"/>
      <c r="H47" s="74" t="n"/>
      <c r="I47" s="74" t="n"/>
      <c r="J47" s="74" t="n"/>
      <c r="K47" s="74" t="n"/>
      <c r="L47" s="74" t="n"/>
      <c r="M47" s="74" t="n"/>
      <c r="N47" s="74" t="n"/>
      <c r="O47" s="74" t="n"/>
      <c r="P47" s="74" t="n"/>
      <c r="Q47" s="75" t="n"/>
    </row>
    <row r="48">
      <c r="A48" s="74" t="n"/>
      <c r="B48" s="74" t="n"/>
      <c r="C48" s="74" t="n"/>
      <c r="D48" s="74" t="n"/>
      <c r="E48" s="74" t="n"/>
      <c r="F48" s="74" t="n"/>
      <c r="G48" s="74" t="n"/>
      <c r="H48" s="74" t="n"/>
      <c r="I48" s="74" t="n"/>
      <c r="J48" s="74" t="n"/>
      <c r="K48" s="74" t="n"/>
      <c r="L48" s="74" t="n"/>
      <c r="M48" s="74" t="n"/>
      <c r="N48" s="74" t="n"/>
      <c r="O48" s="74" t="n"/>
      <c r="P48" s="74" t="n"/>
      <c r="Q48" s="75" t="n"/>
    </row>
    <row r="49">
      <c r="A49" s="74" t="n"/>
      <c r="B49" s="74" t="n"/>
      <c r="C49" s="74" t="n"/>
      <c r="D49" s="74" t="n"/>
      <c r="E49" s="74" t="n"/>
      <c r="F49" s="74" t="n"/>
      <c r="G49" s="74" t="n"/>
      <c r="H49" s="74" t="n"/>
      <c r="I49" s="74" t="n"/>
      <c r="J49" s="74" t="n"/>
      <c r="K49" s="74" t="n"/>
      <c r="L49" s="74" t="n"/>
      <c r="M49" s="74" t="n"/>
      <c r="N49" s="74" t="n"/>
      <c r="O49" s="74" t="n"/>
      <c r="P49" s="74" t="n"/>
      <c r="Q49" s="75" t="n"/>
    </row>
    <row r="50">
      <c r="A50" s="74" t="n"/>
      <c r="B50" s="74" t="n"/>
      <c r="C50" s="74" t="n"/>
      <c r="D50" s="74" t="n"/>
      <c r="E50" s="74" t="n"/>
      <c r="F50" s="74" t="n"/>
      <c r="G50" s="74" t="n"/>
      <c r="H50" s="74" t="n"/>
      <c r="I50" s="74" t="n"/>
      <c r="J50" s="74" t="n"/>
      <c r="K50" s="74" t="n"/>
      <c r="L50" s="74" t="n"/>
      <c r="M50" s="74" t="n"/>
      <c r="N50" s="74" t="n"/>
      <c r="O50" s="74" t="n"/>
      <c r="P50" s="74" t="n"/>
      <c r="Q50" s="75" t="n"/>
    </row>
    <row r="51">
      <c r="A51" s="74" t="n"/>
      <c r="B51" s="74" t="n"/>
      <c r="C51" s="74" t="n"/>
      <c r="D51" s="74" t="n"/>
      <c r="E51" s="74" t="n"/>
      <c r="F51" s="74" t="n"/>
      <c r="G51" s="74" t="n"/>
      <c r="H51" s="74" t="n"/>
      <c r="I51" s="74" t="n"/>
      <c r="J51" s="74" t="n"/>
      <c r="K51" s="74" t="n"/>
      <c r="L51" s="74" t="n"/>
      <c r="M51" s="74" t="n"/>
      <c r="N51" s="74" t="n"/>
      <c r="O51" s="74" t="n"/>
      <c r="P51" s="74" t="n"/>
      <c r="Q51" s="75" t="n"/>
    </row>
    <row r="52">
      <c r="A52" s="74" t="n"/>
      <c r="B52" s="74" t="n"/>
      <c r="C52" s="74" t="n"/>
      <c r="D52" s="74" t="n"/>
      <c r="E52" s="74" t="n"/>
      <c r="F52" s="74" t="n"/>
      <c r="G52" s="74" t="n"/>
      <c r="H52" s="74" t="n"/>
      <c r="I52" s="74" t="n"/>
      <c r="J52" s="74" t="n"/>
      <c r="K52" s="74" t="n"/>
      <c r="L52" s="74" t="n"/>
      <c r="M52" s="74" t="n"/>
      <c r="N52" s="74" t="n"/>
      <c r="O52" s="74" t="n"/>
      <c r="P52" s="74" t="n"/>
      <c r="Q52" s="75" t="n"/>
    </row>
    <row r="53">
      <c r="A53" s="74" t="n"/>
      <c r="B53" s="74" t="n"/>
      <c r="C53" s="74" t="n"/>
      <c r="D53" s="74" t="n"/>
      <c r="E53" s="74" t="n"/>
      <c r="F53" s="74" t="n"/>
      <c r="G53" s="74" t="n"/>
      <c r="H53" s="74" t="n"/>
      <c r="I53" s="74" t="n"/>
      <c r="J53" s="74" t="n"/>
      <c r="K53" s="74" t="n"/>
      <c r="L53" s="74" t="n"/>
      <c r="M53" s="74" t="n"/>
      <c r="N53" s="74" t="n"/>
      <c r="O53" s="74" t="n"/>
      <c r="P53" s="74" t="n"/>
      <c r="Q53" s="75" t="n"/>
    </row>
  </sheetData>
  <autoFilter ref="A4:Q60"/>
  <dataValidations count="2">
    <dataValidation sqref="C5:C13" showDropDown="0" showInputMessage="0" showErrorMessage="0" allowBlank="1" type="list">
      <formula1>='فهرست‌ها'!$B$9:$B$11</formula1>
    </dataValidation>
    <dataValidation sqref="L5:L13" showDropDown="0" showInputMessage="0" showErrorMessage="0" allowBlank="1" type="list">
      <formula1>='فهرست‌ها'!$A$2:$A$7</formula1>
    </dataValidation>
  </dataValidations>
  <hyperlinks>
    <hyperlink ref="D5" location="'برنامه تست'!A12"/>
    <hyperlink ref="D7" location="'برنامه تست'!A6"/>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Q25"/>
  <sheetViews>
    <sheetView rightToLeft="1"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49" t="inlineStr">
        <is>
          <t>تست‌های آزمایشگاهی (پایه، اسیلوسکوپ و زمان‌بندی دقیق — جدا از تست عملی)</t>
        </is>
      </c>
      <c r="B1" s="50" t="n"/>
      <c r="C1" s="50" t="n"/>
      <c r="D1" s="50" t="n"/>
      <c r="E1" s="50" t="n"/>
      <c r="F1" s="50" t="n"/>
      <c r="G1" s="50" t="n"/>
      <c r="H1" s="50" t="n"/>
      <c r="I1" s="50" t="n"/>
      <c r="J1" s="50" t="n"/>
      <c r="K1" s="50" t="n"/>
      <c r="L1" s="50" t="n"/>
      <c r="M1" s="50" t="n"/>
      <c r="N1" s="50" t="n"/>
      <c r="O1" s="50" t="n"/>
      <c r="P1" s="50" t="n"/>
      <c r="Q1" s="50" t="n"/>
    </row>
    <row r="2" ht="42" customHeight="1">
      <c r="A2" s="66" t="inlineStr">
        <is>
          <t>این شیت جدا از تست عملی است: اندازه‌گیری روی پایه‌ها، اسیلوسکوپ و تلرانس‌های دقیق میلی‌ثانیه/میکروثانیه. برای بررسی عملکرد واقعی دستگاه لازم نیست؛ برای اعتبارسنجی دقیق سخت‌افزار و زمان‌بندی‌هاست.</t>
        </is>
      </c>
      <c r="B2" s="50" t="n"/>
      <c r="C2" s="50" t="n"/>
      <c r="D2" s="50" t="n"/>
      <c r="E2" s="50" t="n"/>
      <c r="F2" s="50" t="n"/>
      <c r="G2" s="50" t="n"/>
      <c r="H2" s="50" t="n"/>
      <c r="I2" s="50" t="n"/>
      <c r="J2" s="50" t="n"/>
      <c r="K2" s="50" t="n"/>
      <c r="L2" s="50" t="n"/>
      <c r="M2" s="50" t="n"/>
      <c r="N2" s="50" t="n"/>
      <c r="O2" s="50" t="n"/>
      <c r="P2" s="50" t="n"/>
      <c r="Q2" s="50" t="n"/>
    </row>
    <row r="3">
      <c r="A3" s="50" t="n"/>
      <c r="B3" s="50" t="n"/>
      <c r="C3" s="50" t="n"/>
      <c r="D3" s="50" t="n"/>
      <c r="E3" s="50" t="n"/>
      <c r="F3" s="50" t="n"/>
      <c r="G3" s="50" t="n"/>
      <c r="H3" s="50" t="n"/>
      <c r="I3" s="50" t="n"/>
      <c r="J3" s="50" t="n"/>
      <c r="K3" s="50" t="n"/>
      <c r="L3" s="50" t="n"/>
      <c r="M3" s="50" t="n"/>
      <c r="N3" s="50" t="n"/>
      <c r="O3" s="50" t="n"/>
      <c r="P3" s="50" t="n"/>
      <c r="Q3" s="50" t="n"/>
    </row>
    <row r="4" ht="30" customHeight="1">
      <c r="A4" s="47" t="inlineStr">
        <is>
          <t>شناسه</t>
        </is>
      </c>
      <c r="B4" s="47" t="inlineStr">
        <is>
          <t>دسته</t>
        </is>
      </c>
      <c r="C4" s="47" t="inlineStr">
        <is>
          <t>اولویت</t>
        </is>
      </c>
      <c r="D4" s="47" t="inlineStr">
        <is>
          <t>پیش‌شرط</t>
        </is>
      </c>
      <c r="E4" s="47" t="inlineStr">
        <is>
          <t>روش اجرای دقیق</t>
        </is>
      </c>
      <c r="F4" s="47" t="inlineStr">
        <is>
          <t>ورودی‌ها / شرایط</t>
        </is>
      </c>
      <c r="G4" s="47" t="inlineStr">
        <is>
          <t>مدت مشاهده</t>
        </is>
      </c>
      <c r="H4" s="47" t="inlineStr">
        <is>
          <t>رفتار مورد انتظار</t>
        </is>
      </c>
      <c r="I4" s="47" t="inlineStr">
        <is>
          <t>وضعیت حفظ / latch</t>
        </is>
      </c>
      <c r="J4" s="47" t="inlineStr">
        <is>
          <t>معیار قبولی</t>
        </is>
      </c>
      <c r="K4" s="47" t="inlineStr">
        <is>
          <t>نتیجهٔ واقعی / اندازه‌گیری</t>
        </is>
      </c>
      <c r="L4" s="47" t="inlineStr">
        <is>
          <t>وضعیت</t>
        </is>
      </c>
      <c r="M4" s="47" t="inlineStr">
        <is>
          <t>شرح ایراد / تفاوت</t>
        </is>
      </c>
      <c r="N4" s="47" t="inlineStr">
        <is>
          <t>مدرک تست / scope</t>
        </is>
      </c>
      <c r="O4" s="47" t="inlineStr">
        <is>
          <t>commit</t>
        </is>
      </c>
      <c r="P4" s="47" t="inlineStr">
        <is>
          <t>نام تست‌کننده</t>
        </is>
      </c>
      <c r="Q4" s="47" t="inlineStr">
        <is>
          <t>تاریخ</t>
        </is>
      </c>
    </row>
    <row r="5" ht="54" customHeight="1">
      <c r="A5" s="52" t="inlineStr">
        <is>
          <t>CL-012</t>
        </is>
      </c>
      <c r="B5" s="59" t="inlineStr">
        <is>
          <t>idle شدن شارژر هنگام ریست</t>
        </is>
      </c>
      <c r="C5" s="60" t="inlineStr">
        <is>
          <t>بالا</t>
        </is>
      </c>
      <c r="D5" s="59" t="inlineStr">
        <is>
          <t>جدول فعال، شارژ در جریان</t>
        </is>
      </c>
      <c r="E5" s="59" t="inlineStr">
        <is>
          <t>گام ۱: یک جدول فعال کن و شارژ را در حالت BULK راه بینداز تا کانال در حال شارژ PWM داشته باشد.
گام ۲: اسیلوسکوپ را روی گیت همان کانال بگذار.
گام ۳: حین شارژ فرمان LUT_RESET را بفرست.
گام ۴: روی اسکوپ ببین که پیش از ریست، duty اول صفر شده و شارژر idle شده باشد؛ ریست نباید وسط پالس اتفاق بیفتد.</t>
        </is>
      </c>
      <c r="F5" s="61" t="inlineStr">
        <is>
          <t>درخواست ریست با PWM فعال</t>
        </is>
      </c>
      <c r="G5" s="61" t="inlineStr">
        <is>
          <t>یک تبادل</t>
        </is>
      </c>
      <c r="H5" s="59" t="inlineStr">
        <is>
          <t>قبل از ریست هر دو دیوتی صفر و شارژر idle می‌شود</t>
        </is>
      </c>
      <c r="I5" s="59" t="inlineStr">
        <is>
          <t>بدون latch</t>
        </is>
      </c>
      <c r="J5" s="59" t="inlineStr">
        <is>
          <t>اسیلوسکوپ روی گیت: صفر پیش از ریست</t>
        </is>
      </c>
      <c r="K5" s="59" t="inlineStr">
        <is>
          <t>در انتظار</t>
        </is>
      </c>
      <c r="L5" s="57" t="inlineStr">
        <is>
          <t>در انتظار</t>
        </is>
      </c>
      <c r="M5" s="59" t="n"/>
      <c r="N5" s="59" t="inlineStr">
        <is>
          <t>TESTER: fill</t>
        </is>
      </c>
      <c r="O5" s="61" t="inlineStr">
        <is>
          <t>TESTER: fill</t>
        </is>
      </c>
      <c r="P5" s="61" t="inlineStr">
        <is>
          <t>TESTER: fill</t>
        </is>
      </c>
      <c r="Q5" s="62" t="inlineStr">
        <is>
          <t>2026-10-05</t>
        </is>
      </c>
    </row>
    <row r="6">
      <c r="A6" s="50" t="n"/>
      <c r="B6" s="50" t="n"/>
      <c r="C6" s="50" t="n"/>
      <c r="D6" s="50" t="n"/>
      <c r="E6" s="50" t="n"/>
      <c r="F6" s="50" t="n"/>
      <c r="G6" s="50" t="n"/>
      <c r="H6" s="50" t="n"/>
      <c r="I6" s="50" t="n"/>
      <c r="J6" s="50" t="n"/>
      <c r="K6" s="50" t="n"/>
      <c r="L6" s="50" t="n"/>
      <c r="M6" s="50" t="n"/>
      <c r="N6" s="50" t="n"/>
      <c r="O6" s="50" t="n"/>
      <c r="P6" s="50" t="n"/>
      <c r="Q6" s="65">
        <f>IF(OR(L6="",L6="در انتظار"),"",IF(Q6="",TODAY(),Q6))</f>
        <v/>
      </c>
    </row>
    <row r="7">
      <c r="A7" s="50" t="n"/>
      <c r="B7" s="50" t="n"/>
      <c r="C7" s="50" t="n"/>
      <c r="D7" s="50" t="n"/>
      <c r="E7" s="50" t="n"/>
      <c r="F7" s="50" t="n"/>
      <c r="G7" s="50" t="n"/>
      <c r="H7" s="50" t="n"/>
      <c r="I7" s="50" t="n"/>
      <c r="J7" s="50" t="n"/>
      <c r="K7" s="50" t="n"/>
      <c r="L7" s="50" t="n"/>
      <c r="M7" s="50" t="n"/>
      <c r="N7" s="50" t="n"/>
      <c r="O7" s="50" t="n"/>
      <c r="P7" s="50" t="n"/>
      <c r="Q7" s="65">
        <f>IF(OR(L7="",L7="در انتظار"),"",IF(Q7="",TODAY(),Q7))</f>
        <v/>
      </c>
    </row>
    <row r="8">
      <c r="A8" s="50" t="n"/>
      <c r="B8" s="50" t="n"/>
      <c r="C8" s="50" t="n"/>
      <c r="D8" s="50" t="n"/>
      <c r="E8" s="50" t="n"/>
      <c r="F8" s="50" t="n"/>
      <c r="G8" s="50" t="n"/>
      <c r="H8" s="50" t="n"/>
      <c r="I8" s="50" t="n"/>
      <c r="J8" s="50" t="n"/>
      <c r="K8" s="50" t="n"/>
      <c r="L8" s="50" t="n"/>
      <c r="M8" s="50" t="n"/>
      <c r="N8" s="50" t="n"/>
      <c r="O8" s="50" t="n"/>
      <c r="P8" s="50" t="n"/>
      <c r="Q8" s="65">
        <f>IF(OR(L8="",L8="در انتظار"),"",IF(Q8="",TODAY(),Q8))</f>
        <v/>
      </c>
    </row>
    <row r="9">
      <c r="A9" s="50" t="n"/>
      <c r="B9" s="50" t="n"/>
      <c r="C9" s="50" t="n"/>
      <c r="D9" s="50" t="n"/>
      <c r="E9" s="50" t="n"/>
      <c r="F9" s="50" t="n"/>
      <c r="G9" s="50" t="n"/>
      <c r="H9" s="50" t="n"/>
      <c r="I9" s="50" t="n"/>
      <c r="J9" s="50" t="n"/>
      <c r="K9" s="50" t="n"/>
      <c r="L9" s="50" t="n"/>
      <c r="M9" s="50" t="n"/>
      <c r="N9" s="50" t="n"/>
      <c r="O9" s="50" t="n"/>
      <c r="P9" s="50" t="n"/>
      <c r="Q9" s="65">
        <f>IF(OR(L9="",L9="در انتظار"),"",IF(Q9="",TODAY(),Q9))</f>
        <v/>
      </c>
    </row>
    <row r="10">
      <c r="A10" s="50" t="n"/>
      <c r="B10" s="50" t="n"/>
      <c r="C10" s="50" t="n"/>
      <c r="D10" s="50" t="n"/>
      <c r="E10" s="50" t="n"/>
      <c r="F10" s="50" t="n"/>
      <c r="G10" s="50" t="n"/>
      <c r="H10" s="50" t="n"/>
      <c r="I10" s="50" t="n"/>
      <c r="J10" s="50" t="n"/>
      <c r="K10" s="50" t="n"/>
      <c r="L10" s="50" t="n"/>
      <c r="M10" s="50" t="n"/>
      <c r="N10" s="50" t="n"/>
      <c r="O10" s="50" t="n"/>
      <c r="P10" s="50" t="n"/>
      <c r="Q10" s="65">
        <f>IF(OR(L10="",L10="در انتظار"),"",IF(Q10="",TODAY(),Q10))</f>
        <v/>
      </c>
    </row>
    <row r="11">
      <c r="A11" s="50" t="n"/>
      <c r="B11" s="50" t="n"/>
      <c r="C11" s="50" t="n"/>
      <c r="D11" s="50" t="n"/>
      <c r="E11" s="50" t="n"/>
      <c r="F11" s="50" t="n"/>
      <c r="G11" s="50" t="n"/>
      <c r="H11" s="50" t="n"/>
      <c r="I11" s="50" t="n"/>
      <c r="J11" s="50" t="n"/>
      <c r="K11" s="50" t="n"/>
      <c r="L11" s="50" t="n"/>
      <c r="M11" s="50" t="n"/>
      <c r="N11" s="50" t="n"/>
      <c r="O11" s="50" t="n"/>
      <c r="P11" s="50" t="n"/>
      <c r="Q11" s="65">
        <f>IF(OR(L11="",L11="در انتظار"),"",IF(Q11="",TODAY(),Q11))</f>
        <v/>
      </c>
    </row>
    <row r="12">
      <c r="A12" s="50" t="n"/>
      <c r="B12" s="50" t="n"/>
      <c r="C12" s="50" t="n"/>
      <c r="D12" s="50" t="n"/>
      <c r="E12" s="50" t="n"/>
      <c r="F12" s="50" t="n"/>
      <c r="G12" s="50" t="n"/>
      <c r="H12" s="50" t="n"/>
      <c r="I12" s="50" t="n"/>
      <c r="J12" s="50" t="n"/>
      <c r="K12" s="50" t="n"/>
      <c r="L12" s="50" t="n"/>
      <c r="M12" s="50" t="n"/>
      <c r="N12" s="50" t="n"/>
      <c r="O12" s="50" t="n"/>
      <c r="P12" s="50" t="n"/>
      <c r="Q12" s="65">
        <f>IF(OR(L12="",L12="در انتظار"),"",IF(Q12="",TODAY(),Q12))</f>
        <v/>
      </c>
    </row>
    <row r="13">
      <c r="A13" s="50" t="n"/>
      <c r="B13" s="50" t="n"/>
      <c r="C13" s="50" t="n"/>
      <c r="D13" s="50" t="n"/>
      <c r="E13" s="50" t="n"/>
      <c r="F13" s="50" t="n"/>
      <c r="G13" s="50" t="n"/>
      <c r="H13" s="50" t="n"/>
      <c r="I13" s="50" t="n"/>
      <c r="J13" s="50" t="n"/>
      <c r="K13" s="50" t="n"/>
      <c r="L13" s="50" t="n"/>
      <c r="M13" s="50" t="n"/>
      <c r="N13" s="50" t="n"/>
      <c r="O13" s="50" t="n"/>
      <c r="P13" s="50" t="n"/>
      <c r="Q13" s="65">
        <f>IF(OR(L13="",L13="در انتظار"),"",IF(Q13="",TODAY(),Q13))</f>
        <v/>
      </c>
    </row>
    <row r="14">
      <c r="A14" s="50" t="n"/>
      <c r="B14" s="50" t="n"/>
      <c r="C14" s="50" t="n"/>
      <c r="D14" s="50" t="n"/>
      <c r="E14" s="50" t="n"/>
      <c r="F14" s="50" t="n"/>
      <c r="G14" s="50" t="n"/>
      <c r="H14" s="50" t="n"/>
      <c r="I14" s="50" t="n"/>
      <c r="J14" s="50" t="n"/>
      <c r="K14" s="50" t="n"/>
      <c r="L14" s="50" t="n"/>
      <c r="M14" s="50" t="n"/>
      <c r="N14" s="50" t="n"/>
      <c r="O14" s="50" t="n"/>
      <c r="P14" s="50" t="n"/>
      <c r="Q14" s="65">
        <f>IF(OR(L14="",L14="در انتظار"),"",IF(Q14="",TODAY(),Q14))</f>
        <v/>
      </c>
    </row>
    <row r="15">
      <c r="A15" s="50" t="n"/>
      <c r="B15" s="50" t="n"/>
      <c r="C15" s="50" t="n"/>
      <c r="D15" s="50" t="n"/>
      <c r="E15" s="50" t="n"/>
      <c r="F15" s="50" t="n"/>
      <c r="G15" s="50" t="n"/>
      <c r="H15" s="50" t="n"/>
      <c r="I15" s="50" t="n"/>
      <c r="J15" s="50" t="n"/>
      <c r="K15" s="50" t="n"/>
      <c r="L15" s="50" t="n"/>
      <c r="M15" s="50" t="n"/>
      <c r="N15" s="50" t="n"/>
      <c r="O15" s="50" t="n"/>
      <c r="P15" s="50" t="n"/>
      <c r="Q15" s="65">
        <f>IF(OR(L15="",L15="در انتظار"),"",IF(Q15="",TODAY(),Q15))</f>
        <v/>
      </c>
    </row>
    <row r="16">
      <c r="A16" s="50" t="n"/>
      <c r="B16" s="50" t="n"/>
      <c r="C16" s="50" t="n"/>
      <c r="D16" s="50" t="n"/>
      <c r="E16" s="50" t="n"/>
      <c r="F16" s="50" t="n"/>
      <c r="G16" s="50" t="n"/>
      <c r="H16" s="50" t="n"/>
      <c r="I16" s="50" t="n"/>
      <c r="J16" s="50" t="n"/>
      <c r="K16" s="50" t="n"/>
      <c r="L16" s="50" t="n"/>
      <c r="M16" s="50" t="n"/>
      <c r="N16" s="50" t="n"/>
      <c r="O16" s="50" t="n"/>
      <c r="P16" s="50" t="n"/>
      <c r="Q16" s="65">
        <f>IF(OR(L16="",L16="در انتظار"),"",IF(Q16="",TODAY(),Q16))</f>
        <v/>
      </c>
    </row>
    <row r="17">
      <c r="A17" s="50" t="n"/>
      <c r="B17" s="50" t="n"/>
      <c r="C17" s="50" t="n"/>
      <c r="D17" s="50" t="n"/>
      <c r="E17" s="50" t="n"/>
      <c r="F17" s="50" t="n"/>
      <c r="G17" s="50" t="n"/>
      <c r="H17" s="50" t="n"/>
      <c r="I17" s="50" t="n"/>
      <c r="J17" s="50" t="n"/>
      <c r="K17" s="50" t="n"/>
      <c r="L17" s="50" t="n"/>
      <c r="M17" s="50" t="n"/>
      <c r="N17" s="50" t="n"/>
      <c r="O17" s="50" t="n"/>
      <c r="P17" s="50" t="n"/>
      <c r="Q17" s="65">
        <f>IF(OR(L17="",L17="در انتظار"),"",IF(Q17="",TODAY(),Q17))</f>
        <v/>
      </c>
    </row>
    <row r="18">
      <c r="A18" s="50" t="n"/>
      <c r="B18" s="50" t="n"/>
      <c r="C18" s="50" t="n"/>
      <c r="D18" s="50" t="n"/>
      <c r="E18" s="50" t="n"/>
      <c r="F18" s="50" t="n"/>
      <c r="G18" s="50" t="n"/>
      <c r="H18" s="50" t="n"/>
      <c r="I18" s="50" t="n"/>
      <c r="J18" s="50" t="n"/>
      <c r="K18" s="50" t="n"/>
      <c r="L18" s="50" t="n"/>
      <c r="M18" s="50" t="n"/>
      <c r="N18" s="50" t="n"/>
      <c r="O18" s="50" t="n"/>
      <c r="P18" s="50" t="n"/>
      <c r="Q18" s="65">
        <f>IF(OR(L18="",L18="در انتظار"),"",IF(Q18="",TODAY(),Q18))</f>
        <v/>
      </c>
    </row>
    <row r="19">
      <c r="A19" s="50" t="n"/>
      <c r="B19" s="50" t="n"/>
      <c r="C19" s="50" t="n"/>
      <c r="D19" s="50" t="n"/>
      <c r="E19" s="50" t="n"/>
      <c r="F19" s="50" t="n"/>
      <c r="G19" s="50" t="n"/>
      <c r="H19" s="50" t="n"/>
      <c r="I19" s="50" t="n"/>
      <c r="J19" s="50" t="n"/>
      <c r="K19" s="50" t="n"/>
      <c r="L19" s="50" t="n"/>
      <c r="M19" s="50" t="n"/>
      <c r="N19" s="50" t="n"/>
      <c r="O19" s="50" t="n"/>
      <c r="P19" s="50" t="n"/>
      <c r="Q19" s="65">
        <f>IF(OR(L19="",L19="در انتظار"),"",IF(Q19="",TODAY(),Q19))</f>
        <v/>
      </c>
    </row>
    <row r="20">
      <c r="A20" s="50" t="n"/>
      <c r="B20" s="50" t="n"/>
      <c r="C20" s="50" t="n"/>
      <c r="D20" s="50" t="n"/>
      <c r="E20" s="50" t="n"/>
      <c r="F20" s="50" t="n"/>
      <c r="G20" s="50" t="n"/>
      <c r="H20" s="50" t="n"/>
      <c r="I20" s="50" t="n"/>
      <c r="J20" s="50" t="n"/>
      <c r="K20" s="50" t="n"/>
      <c r="L20" s="50" t="n"/>
      <c r="M20" s="50" t="n"/>
      <c r="N20" s="50" t="n"/>
      <c r="O20" s="50" t="n"/>
      <c r="P20" s="50" t="n"/>
      <c r="Q20" s="65">
        <f>IF(OR(L20="",L20="در انتظار"),"",IF(Q20="",TODAY(),Q20))</f>
        <v/>
      </c>
    </row>
    <row r="21">
      <c r="A21" s="50" t="n"/>
      <c r="B21" s="50" t="n"/>
      <c r="C21" s="50" t="n"/>
      <c r="D21" s="50" t="n"/>
      <c r="E21" s="50" t="n"/>
      <c r="F21" s="50" t="n"/>
      <c r="G21" s="50" t="n"/>
      <c r="H21" s="50" t="n"/>
      <c r="I21" s="50" t="n"/>
      <c r="J21" s="50" t="n"/>
      <c r="K21" s="50" t="n"/>
      <c r="L21" s="50" t="n"/>
      <c r="M21" s="50" t="n"/>
      <c r="N21" s="50" t="n"/>
      <c r="O21" s="50" t="n"/>
      <c r="P21" s="50" t="n"/>
      <c r="Q21" s="65">
        <f>IF(OR(L21="",L21="در انتظار"),"",IF(Q21="",TODAY(),Q21))</f>
        <v/>
      </c>
    </row>
    <row r="22">
      <c r="A22" s="50" t="n"/>
      <c r="B22" s="50" t="n"/>
      <c r="C22" s="50" t="n"/>
      <c r="D22" s="50" t="n"/>
      <c r="E22" s="50" t="n"/>
      <c r="F22" s="50" t="n"/>
      <c r="G22" s="50" t="n"/>
      <c r="H22" s="50" t="n"/>
      <c r="I22" s="50" t="n"/>
      <c r="J22" s="50" t="n"/>
      <c r="K22" s="50" t="n"/>
      <c r="L22" s="50" t="n"/>
      <c r="M22" s="50" t="n"/>
      <c r="N22" s="50" t="n"/>
      <c r="O22" s="50" t="n"/>
      <c r="P22" s="50" t="n"/>
      <c r="Q22" s="65">
        <f>IF(OR(L22="",L22="در انتظار"),"",IF(Q22="",TODAY(),Q22))</f>
        <v/>
      </c>
    </row>
    <row r="23">
      <c r="A23" s="50" t="n"/>
      <c r="B23" s="50" t="n"/>
      <c r="C23" s="50" t="n"/>
      <c r="D23" s="50" t="n"/>
      <c r="E23" s="50" t="n"/>
      <c r="F23" s="50" t="n"/>
      <c r="G23" s="50" t="n"/>
      <c r="H23" s="50" t="n"/>
      <c r="I23" s="50" t="n"/>
      <c r="J23" s="50" t="n"/>
      <c r="K23" s="50" t="n"/>
      <c r="L23" s="50" t="n"/>
      <c r="M23" s="50" t="n"/>
      <c r="N23" s="50" t="n"/>
      <c r="O23" s="50" t="n"/>
      <c r="P23" s="50" t="n"/>
      <c r="Q23" s="65">
        <f>IF(OR(L23="",L23="در انتظار"),"",IF(Q23="",TODAY(),Q23))</f>
        <v/>
      </c>
    </row>
    <row r="24">
      <c r="A24" s="50" t="n"/>
      <c r="B24" s="50" t="n"/>
      <c r="C24" s="50" t="n"/>
      <c r="D24" s="50" t="n"/>
      <c r="E24" s="50" t="n"/>
      <c r="F24" s="50" t="n"/>
      <c r="G24" s="50" t="n"/>
      <c r="H24" s="50" t="n"/>
      <c r="I24" s="50" t="n"/>
      <c r="J24" s="50" t="n"/>
      <c r="K24" s="50" t="n"/>
      <c r="L24" s="50" t="n"/>
      <c r="M24" s="50" t="n"/>
      <c r="N24" s="50" t="n"/>
      <c r="O24" s="50" t="n"/>
      <c r="P24" s="50" t="n"/>
      <c r="Q24" s="65">
        <f>IF(OR(L24="",L24="در انتظار"),"",IF(Q24="",TODAY(),Q24))</f>
        <v/>
      </c>
    </row>
    <row r="25">
      <c r="A25" s="50" t="n"/>
      <c r="B25" s="50" t="n"/>
      <c r="C25" s="50" t="n"/>
      <c r="D25" s="50" t="n"/>
      <c r="E25" s="50" t="n"/>
      <c r="F25" s="50" t="n"/>
      <c r="G25" s="50" t="n"/>
      <c r="H25" s="50" t="n"/>
      <c r="I25" s="50" t="n"/>
      <c r="J25" s="50" t="n"/>
      <c r="K25" s="50" t="n"/>
      <c r="L25" s="50" t="n"/>
      <c r="M25" s="50" t="n"/>
      <c r="N25" s="50" t="n"/>
      <c r="O25" s="50" t="n"/>
      <c r="P25" s="50" t="n"/>
      <c r="Q25" s="65">
        <f>IF(OR(L25="",L25="در انتظار"),"",IF(Q25="",TODAY(),Q25))</f>
        <v/>
      </c>
    </row>
  </sheetData>
  <autoFilter ref="A4:Q5"/>
  <dataValidations count="1">
    <dataValidation sqref="L5 L6 L7 L8 L9 L10 L11 L12 L13 L14 L15 L16 L17 L18 L19 L20 L21 L22 L23 L24 L25" showDropDown="0" showInputMessage="0" showErrorMessage="0" allowBlank="1" type="list">
      <formula1>='فهرست‌ها'!$A$2:$A$7</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BF8F00"/>
    <outlinePr summaryBelow="1" summaryRight="1"/>
    <pageSetUpPr/>
  </sheetPr>
  <dimension ref="A1:E10"/>
  <sheetViews>
    <sheetView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30" customWidth="1" min="3" max="3"/>
    <col width="34" customWidth="1" min="4" max="4"/>
    <col width="26" customWidth="1" min="5" max="5"/>
  </cols>
  <sheetData>
    <row r="1" ht="30" customHeight="1">
      <c r="A1" s="47" t="inlineStr">
        <is>
          <t>مرجع سریع سناریوها و ثابت‌های ماژول CalLut</t>
        </is>
      </c>
      <c r="B1" s="47" t="n"/>
      <c r="C1" s="47" t="n"/>
      <c r="D1" s="47" t="n"/>
      <c r="E1" s="47" t="n"/>
    </row>
    <row r="2">
      <c r="A2" s="50" t="n"/>
      <c r="B2" s="50" t="n"/>
      <c r="C2" s="50" t="n"/>
      <c r="D2" s="50" t="n"/>
      <c r="E2" s="50" t="n"/>
    </row>
    <row r="3">
      <c r="A3" s="67" t="inlineStr">
        <is>
          <t>موضوع</t>
        </is>
      </c>
      <c r="B3" s="67" t="inlineStr">
        <is>
          <t>شرط / مقدار</t>
        </is>
      </c>
      <c r="C3" s="67" t="inlineStr">
        <is>
          <t>رفتار مورد انتظار</t>
        </is>
      </c>
      <c r="D3" s="67" t="inlineStr">
        <is>
          <t>ثابت / محل کد</t>
        </is>
      </c>
      <c r="E3" s="67" t="inlineStr">
        <is>
          <t>توضیح</t>
        </is>
      </c>
    </row>
    <row r="4">
      <c r="A4" s="68" t="inlineStr">
        <is>
          <t>صفحه‌های اختصاصی</t>
        </is>
      </c>
      <c r="B4" s="68" t="inlineStr">
        <is>
          <t>0x0800F000 و 0x0800F400</t>
        </is>
      </c>
      <c r="C4" s="68" t="inlineStr">
        <is>
          <t>پینگ‌پنگ امن در برابر قطع برق</t>
        </is>
      </c>
      <c r="D4" s="68" t="inlineStr">
        <is>
          <t>CAL_LUT_PAGE_A_ADDR / CAL_LUT_PAGE_B_ADDR</t>
        </is>
      </c>
      <c r="E4" s="68" t="inlineStr">
        <is>
          <t>پایین‌تر از صفحه‌های پارامتر</t>
        </is>
      </c>
    </row>
    <row r="5">
      <c r="A5" s="68" t="inlineStr">
        <is>
          <t>مجیک و نسخه</t>
        </is>
      </c>
      <c r="B5" s="68" t="inlineStr">
        <is>
          <t>0x434C5554 («CLUT») و ۱</t>
        </is>
      </c>
      <c r="C5" s="68" t="inlineStr">
        <is>
          <t>ناهمخوانی = بازگشت به جدول کامپایل‌شده</t>
        </is>
      </c>
      <c r="D5" s="68" t="inlineStr">
        <is>
          <t>CAL_LUT_MAGIC / CAL_LUT_VERSION</t>
        </is>
      </c>
      <c r="E5" s="68" t="inlineStr">
        <is>
          <t>هرگز نیم‌ارتقای بی‌صدا</t>
        </is>
      </c>
    </row>
    <row r="6">
      <c r="A6" s="68" t="inlineStr">
        <is>
          <t>سقف نقاط</t>
        </is>
      </c>
      <c r="B6" s="68" t="inlineStr">
        <is>
          <t>۲ تا ۲۴ نقطه در هر کانال</t>
        </is>
      </c>
      <c r="C6" s="68" t="inlineStr">
        <is>
          <t>بیرون از بازه = رد با status=2</t>
        </is>
      </c>
      <c r="D6" s="68" t="inlineStr">
        <is>
          <t>CAL_LUT_POINTS_MIN / CAL_LUT_POINTS_MAX</t>
        </is>
      </c>
      <c r="E6" s="68" t="inlineStr">
        <is>
          <t>۲۴×۲×۲×۴ = ۳۸۴ بایت رکورد</t>
        </is>
      </c>
    </row>
    <row r="7">
      <c r="A7" s="68" t="inlineStr">
        <is>
          <t>کدهای وضعیت</t>
        </is>
      </c>
      <c r="B7" s="68" t="inlineStr">
        <is>
          <t>۰ تا ۷</t>
        </is>
      </c>
      <c r="C7" s="68" t="inlineStr">
        <is>
          <t>هر خطا دلیل خودش را در LUT_ACK می‌گوید</t>
        </is>
      </c>
      <c r="D7" s="68" t="inlineStr">
        <is>
          <t>CAL_LUT_ST_*</t>
        </is>
      </c>
      <c r="E7" s="68" t="inlineStr">
        <is>
          <t>۰=OK، ۶=CRC، ۷=فلش</t>
        </is>
      </c>
    </row>
    <row r="8">
      <c r="A8" s="68" t="inlineStr">
        <is>
          <t>دست‌دادن</t>
        </is>
      </c>
      <c r="B8" s="68" t="inlineStr">
        <is>
          <t>BEGIN → CHUNK → COMMIT → ACK → RESET</t>
        </is>
      </c>
      <c r="C8" s="68" t="inlineStr">
        <is>
          <t>ریست فقط با برابری دو CRC32</t>
        </is>
      </c>
      <c r="D8" s="69" t="inlineStr">
        <is>
          <t>cal_lut.c</t>
        </is>
      </c>
      <c r="E8" s="68" t="inlineStr">
        <is>
          <t>پنل CRC را می‌سازد، برد بازخوانی می‌کند</t>
        </is>
      </c>
    </row>
    <row r="9">
      <c r="A9" s="68" t="inlineStr">
        <is>
          <t>پشتیبان</t>
        </is>
      </c>
      <c r="B9" s="68" t="inlineStr">
        <is>
          <t>جدول‌های فلش (CalLut) و خط گین و آفست</t>
        </is>
      </c>
      <c r="C9" s="68" t="inlineStr">
        <is>
          <t>رکورد نامعتبر = جدول کامپایل‌شده</t>
        </is>
      </c>
      <c r="D9" s="68" t="inlineStr">
        <is>
          <t>CAL_CURRENT*_LUT_ENABLE</t>
        </is>
      </c>
      <c r="E9" s="68" t="inlineStr">
        <is>
          <t>روش قبلی حذف نشده</t>
        </is>
      </c>
    </row>
    <row r="10">
      <c r="A10" s="68" t="inlineStr">
        <is>
          <t>reset grant و flush NVM</t>
        </is>
      </c>
      <c r="B10" s="68" t="inlineStr">
        <is>
          <t>magic + commit grant؛ flush NVM پیش از arm</t>
        </is>
      </c>
      <c r="C10" s="68" t="inlineStr">
        <is>
          <t>flush failure = no reset؛ success = reset one-shot</t>
        </is>
      </c>
      <c r="D10" s="69" t="inlineStr">
        <is>
          <t>cal_lut.c / esp_link.c / esp_link_nvm.c</t>
        </is>
      </c>
      <c r="E10" s="68" t="inlineStr">
        <is>
          <t>zero-point commit حتی بدون active table معتبر است</t>
        </is>
      </c>
    </row>
  </sheetData>
  <hyperlinks>
    <hyperlink xmlns:r="http://schemas.openxmlformats.org/officeDocument/2006/relationships" ref="D8" r:id="rId1"/>
    <hyperlink xmlns:r="http://schemas.openxmlformats.org/officeDocument/2006/relationships" ref="D10" r:id="rId2"/>
  </hyperlink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M3"/>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70" t="inlineStr">
        <is>
          <t>ثبت ایرادهای مشاهده‌شده — ماژول CalLut</t>
        </is>
      </c>
      <c r="B1" s="50" t="n"/>
      <c r="C1" s="50" t="n"/>
      <c r="D1" s="50" t="n"/>
      <c r="E1" s="50" t="n"/>
      <c r="F1" s="50" t="n"/>
      <c r="G1" s="50" t="n"/>
      <c r="H1" s="50" t="n"/>
      <c r="I1" s="50" t="n"/>
      <c r="J1" s="50" t="n"/>
      <c r="K1" s="50" t="n"/>
      <c r="L1" s="50" t="n"/>
      <c r="M1" s="50" t="n"/>
    </row>
    <row r="2" ht="30" customHeight="1">
      <c r="A2" s="47" t="inlineStr">
        <is>
          <t>برای هر وضعیت «رد» یا تفاوت مهم، یک ردیف با شناسهٔ یکتا ثبت و پس از اصلاح دوباره تست شود.</t>
        </is>
      </c>
      <c r="B2" s="47" t="n"/>
      <c r="C2" s="47" t="n"/>
      <c r="D2" s="47" t="n"/>
      <c r="E2" s="47" t="n"/>
      <c r="F2" s="47" t="n"/>
      <c r="G2" s="47" t="n"/>
      <c r="H2" s="47" t="n"/>
      <c r="I2" s="47" t="n"/>
      <c r="J2" s="47" t="n"/>
      <c r="K2" s="47" t="n"/>
      <c r="L2" s="47" t="n"/>
      <c r="M2" s="47" t="n"/>
    </row>
    <row r="3">
      <c r="A3" s="67" t="inlineStr">
        <is>
          <t>شماره ایراد</t>
        </is>
      </c>
      <c r="B3" s="67" t="inlineStr">
        <is>
          <t>شناسه تست</t>
        </is>
      </c>
      <c r="C3" s="67" t="inlineStr">
        <is>
          <t>تاریخ کشف</t>
        </is>
      </c>
      <c r="D3" s="67" t="inlineStr">
        <is>
          <t>شدت</t>
        </is>
      </c>
      <c r="E3" s="67" t="inlineStr">
        <is>
          <t>شرح کوتاه ایراد</t>
        </is>
      </c>
      <c r="F3" s="67" t="inlineStr">
        <is>
          <t>مراحل بازتولید</t>
        </is>
      </c>
      <c r="G3" s="67" t="inlineStr">
        <is>
          <t>انتظار</t>
        </is>
      </c>
      <c r="H3" s="67" t="inlineStr">
        <is>
          <t>واقعیت</t>
        </is>
      </c>
      <c r="I3" s="67" t="inlineStr">
        <is>
          <t>مدرک/مسیر عکس یا scope</t>
        </is>
      </c>
      <c r="J3" s="67" t="inlineStr">
        <is>
          <t>commit firmware</t>
        </is>
      </c>
      <c r="K3" s="67" t="inlineStr">
        <is>
          <t>محل احتمالی</t>
        </is>
      </c>
      <c r="L3" s="67" t="inlineStr">
        <is>
          <t>وضعیت ایراد</t>
        </is>
      </c>
      <c r="M3" s="67" t="inlineStr">
        <is>
          <t>تأیید رفع / توضیحات</t>
        </is>
      </c>
    </row>
  </sheetData>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C19"/>
  <sheetViews>
    <sheetView rightToLeft="1" workbookViewId="0">
      <selection activeCell="A1" sqref="A1"/>
    </sheetView>
  </sheetViews>
  <sheetFormatPr baseColWidth="8" defaultRowHeight="15"/>
  <cols>
    <col width="20" customWidth="1" min="1" max="1"/>
    <col width="26" customWidth="1" min="2" max="2"/>
    <col width="30" customWidth="1" min="3" max="3"/>
  </cols>
  <sheetData>
    <row r="1">
      <c r="A1" s="45" t="inlineStr">
        <is>
          <t>تأیید نهایی اعتبارسنجی — ماژول CalLut</t>
        </is>
      </c>
      <c r="B1" s="50" t="n"/>
      <c r="C1" s="50" t="n"/>
    </row>
    <row r="2">
      <c r="A2" s="46" t="inlineStr">
        <is>
          <t>این صفحه فقط پس از تکمیل تست‌ها و بسته‌شدن ایرادها پر می‌شود.</t>
        </is>
      </c>
      <c r="B2" s="50" t="n"/>
      <c r="C2" s="50" t="n"/>
    </row>
    <row r="3">
      <c r="A3" s="71" t="inlineStr">
        <is>
          <t>مشخصات تست</t>
        </is>
      </c>
      <c r="B3" s="50" t="n"/>
      <c r="C3" s="50" t="n"/>
    </row>
    <row r="4">
      <c r="A4" s="46" t="inlineStr">
        <is>
          <t>پروژه</t>
        </is>
      </c>
      <c r="B4" s="46" t="inlineStr">
        <is>
          <t>ChangeOver</t>
        </is>
      </c>
      <c r="C4" s="50" t="n"/>
    </row>
    <row r="5">
      <c r="A5" s="46" t="inlineStr">
        <is>
          <t>ماژول</t>
        </is>
      </c>
      <c r="B5" s="46" t="inlineStr">
        <is>
          <t>CalLut — جدول کالیبراسیون در فلش اختصاصی</t>
        </is>
      </c>
      <c r="C5" s="50" t="n"/>
    </row>
    <row r="6">
      <c r="A6" s="46" t="inlineStr">
        <is>
          <t>تاریخ ساخت فرم</t>
        </is>
      </c>
      <c r="B6" s="46" t="inlineStr">
        <is>
          <t>2026-10-05 (1.0 — ساخته‌شده در ممیزی کل برنامه)</t>
        </is>
      </c>
      <c r="C6" s="50" t="n"/>
    </row>
    <row r="7">
      <c r="A7" s="46" t="inlineStr">
        <is>
          <t>نسخه فرم</t>
        </is>
      </c>
      <c r="B7" s="46" t="inlineStr">
        <is>
          <t>1.0</t>
        </is>
      </c>
      <c r="C7" s="50" t="n"/>
    </row>
    <row r="8">
      <c r="A8" s="46" t="inlineStr">
        <is>
          <t>commit firmware</t>
        </is>
      </c>
      <c r="B8" s="46" t="inlineStr">
        <is>
          <t>TESTER: fill</t>
        </is>
      </c>
      <c r="C8" s="50" t="n"/>
    </row>
    <row r="9">
      <c r="A9" s="46" t="inlineStr">
        <is>
          <t>ابزار</t>
        </is>
      </c>
      <c r="B9" s="46" t="inlineStr">
        <is>
          <t>پنل ESP + مولتی‌متر + منبع تغذیه قابل قطع + اسیلوسکوپ</t>
        </is>
      </c>
      <c r="C9" s="50" t="n"/>
    </row>
    <row r="10">
      <c r="A10" s="50" t="n"/>
      <c r="B10" s="50" t="n"/>
      <c r="C10" s="50" t="n"/>
    </row>
    <row r="11">
      <c r="A11" s="71" t="inlineStr">
        <is>
          <t>خلاصهٔ خودکار وضعیت تست‌ها</t>
        </is>
      </c>
      <c r="B11" s="50" t="n"/>
      <c r="C11" s="50" t="n"/>
    </row>
    <row r="12">
      <c r="A12" s="71" t="inlineStr">
        <is>
          <t>شاخص</t>
        </is>
      </c>
      <c r="B12" s="71" t="inlineStr">
        <is>
          <t>مقدار</t>
        </is>
      </c>
      <c r="C12" s="71" t="inlineStr">
        <is>
          <t>توضیح</t>
        </is>
      </c>
    </row>
    <row r="13">
      <c r="A13" s="46" t="inlineStr">
        <is>
          <t>کل تست‌ها</t>
        </is>
      </c>
      <c r="B13" s="46" t="inlineStr">
        <is>
          <t>16</t>
        </is>
      </c>
      <c r="C13" s="46" t="inlineStr">
        <is>
          <t>همهٔ ردیف‌های برنامه تست</t>
        </is>
      </c>
    </row>
    <row r="14">
      <c r="A14" s="46" t="inlineStr">
        <is>
          <t>قبول</t>
        </is>
      </c>
      <c r="B14" s="46">
        <f>COUNTIF('برنامه تست'!L:L,"قبول")</f>
        <v/>
      </c>
      <c r="C14" s="46" t="inlineStr">
        <is>
          <t>COUNTIF برنامه تست</t>
        </is>
      </c>
    </row>
    <row r="15">
      <c r="A15" s="46" t="inlineStr">
        <is>
          <t>رد</t>
        </is>
      </c>
      <c r="B15" s="46">
        <f>COUNTIF('برنامه تست'!L:L,"رد")</f>
        <v/>
      </c>
      <c r="C15" s="46" t="inlineStr">
        <is>
          <t>COUNTIF رد</t>
        </is>
      </c>
    </row>
    <row r="16">
      <c r="A16" s="46" t="inlineStr">
        <is>
          <t>در انتظار</t>
        </is>
      </c>
      <c r="B16" s="46">
        <f>IF(16=0,0,COUNTIF('برنامه تست'!L:L,"قبول")/16)</f>
        <v/>
      </c>
      <c r="C16" s="46" t="inlineStr">
        <is>
          <t>پیش از تست برد</t>
        </is>
      </c>
    </row>
    <row r="17">
      <c r="A17" s="46" t="inlineStr">
        <is>
          <t>نرخ قبولی</t>
        </is>
      </c>
      <c r="B17" s="46">
        <f>IF(15=0,0,COUNTIF('برنامه تست'!L:L,"قبول")/15)</f>
        <v/>
      </c>
      <c r="C17" s="46" t="inlineStr">
        <is>
          <t>قبول/کل</t>
        </is>
      </c>
    </row>
    <row r="18">
      <c r="A18" s="50" t="n"/>
      <c r="B18" s="50" t="n"/>
      <c r="C18" s="50" t="n"/>
    </row>
    <row r="19">
      <c r="A19" s="46" t="inlineStr">
        <is>
          <t>امضا و تأیید: تست‌کننده ______  بازبین ______  تاریخ ______</t>
        </is>
      </c>
      <c r="B19" s="50" t="n"/>
      <c r="C19" s="50" t="n"/>
    </row>
  </sheetData>
  <pageMargins left="0.75" right="0.75" top="1" bottom="1" header="0.5" footer="0.5"/>
</worksheet>
</file>

<file path=xl/worksheets/sheet7.xml><?xml version="1.0" encoding="utf-8"?>
<worksheet xmlns="http://schemas.openxmlformats.org/spreadsheetml/2006/main">
  <sheetPr>
    <tabColor rgb="00808080"/>
    <outlinePr summaryBelow="1" summaryRight="1"/>
    <pageSetUpPr/>
  </sheetPr>
  <dimension ref="A1:B11"/>
  <sheetViews>
    <sheetView rightToLeft="1" workbookViewId="0">
      <selection activeCell="A1" sqref="A1"/>
    </sheetView>
  </sheetViews>
  <sheetFormatPr baseColWidth="8" defaultRowHeight="15"/>
  <cols>
    <col width="16" customWidth="1" min="1" max="1"/>
    <col width="16" customWidth="1" min="2" max="2"/>
  </cols>
  <sheetData>
    <row r="1">
      <c r="A1" s="72" t="inlineStr">
        <is>
          <t>وضعیت</t>
        </is>
      </c>
      <c r="B1" s="50" t="n"/>
    </row>
    <row r="2">
      <c r="A2" s="51" t="inlineStr">
        <is>
          <t>در انتظار</t>
        </is>
      </c>
      <c r="B2" s="50" t="n"/>
    </row>
    <row r="3">
      <c r="A3" s="51" t="inlineStr">
        <is>
          <t>انجام شد</t>
        </is>
      </c>
      <c r="B3" s="50" t="n"/>
    </row>
    <row r="4">
      <c r="A4" s="51" t="inlineStr">
        <is>
          <t>قبول</t>
        </is>
      </c>
      <c r="B4" s="50" t="n"/>
    </row>
    <row r="5">
      <c r="A5" s="51" t="inlineStr">
        <is>
          <t>رد</t>
        </is>
      </c>
      <c r="B5" s="50" t="n"/>
    </row>
    <row r="6">
      <c r="A6" s="51" t="inlineStr">
        <is>
          <t>مسدود</t>
        </is>
      </c>
      <c r="B6" s="50" t="n"/>
    </row>
    <row r="7">
      <c r="A7" s="50" t="inlineStr">
        <is>
          <t>نیاز به تکرار</t>
        </is>
      </c>
      <c r="B7" s="50" t="n"/>
    </row>
    <row r="8">
      <c r="A8" s="72" t="inlineStr">
        <is>
          <t>اولویت</t>
        </is>
      </c>
      <c r="B8" s="50" t="n"/>
    </row>
    <row r="9">
      <c r="A9" s="50" t="n"/>
      <c r="B9" s="51" t="inlineStr">
        <is>
          <t>بالا</t>
        </is>
      </c>
    </row>
    <row r="10">
      <c r="A10" s="50" t="n"/>
      <c r="B10" s="51" t="inlineStr">
        <is>
          <t>متوسط</t>
        </is>
      </c>
    </row>
    <row r="11">
      <c r="A11" s="50" t="n"/>
      <c r="B11" s="51" t="inlineStr">
        <is>
          <t>پایین</t>
        </is>
      </c>
    </row>
  </sheetData>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C6"/>
  <sheetViews>
    <sheetView rightToLeft="1" workbookViewId="0">
      <selection activeCell="A1" sqref="A1"/>
    </sheetView>
  </sheetViews>
  <sheetFormatPr baseColWidth="8" defaultRowHeight="15"/>
  <cols>
    <col width="34" customWidth="1" min="1" max="1"/>
    <col width="78" customWidth="1" min="2" max="2"/>
  </cols>
  <sheetData>
    <row r="1" ht="30" customHeight="1">
      <c r="A1" s="10" t="inlineStr">
        <is>
          <t>ماشین حالت ماژول جدول کالیبراسیون (CalLut)</t>
        </is>
      </c>
    </row>
    <row r="2">
      <c r="A2" s="50" t="n"/>
      <c r="B2" s="50" t="n"/>
      <c r="C2" s="50" t="n"/>
    </row>
    <row r="3" ht="24" customHeight="1">
      <c r="A3" s="11" t="inlineStr">
        <is>
          <t>حالت‌ها و گذارهای همین ماژول</t>
        </is>
      </c>
      <c r="B3" s="12" t="inlineStr">
        <is>
          <t>CalLut_State_Machine.xlsx</t>
        </is>
      </c>
      <c r="C3" s="50" t="n"/>
    </row>
    <row r="4" ht="24" customHeight="1">
      <c r="A4" s="11" t="inlineStr">
        <is>
          <t>ماشین حالت کل برنامه (نمای سیستمی)</t>
        </is>
      </c>
      <c r="B4" s="12" t="inlineStr">
        <is>
          <t>../../../Documentation/System_State_Machine.xlsx</t>
        </is>
      </c>
      <c r="C4" s="50" t="n"/>
    </row>
    <row r="5" ht="24" customHeight="1">
      <c r="A5" s="11" t="inlineStr">
        <is>
          <t>راهنمای رنگ‌ها</t>
        </is>
      </c>
      <c r="B5" s="13" t="inlineStr">
        <is>
          <t>سبز = عادی/سالم · زرد = هشدار یا انتظار · قرمز = خطا یا قفل · نارنجی = در حال کار · خاکستری = بی‌کار · آبی = اطلاعاتی</t>
        </is>
      </c>
      <c r="C5" s="50" t="n"/>
    </row>
    <row r="6" ht="24" customHeight="1">
      <c r="A6" s="11" t="inlineStr">
        <is>
          <t>بازتولید</t>
        </is>
      </c>
      <c r="B6" s="12" t="inlineStr">
        <is>
          <t>python3 tools/make_module_state_machines.py</t>
        </is>
      </c>
      <c r="C6" s="50" t="n"/>
    </row>
  </sheetData>
  <mergeCells count="1">
    <mergeCell ref="A1:C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6" r:id="rId3"/>
  </hyperlinks>
  <pageMargins left="0.75" right="0.75" top="1" bottom="1" header="0.5" footer="0.5"/>
</worksheet>
</file>

<file path=xl/worksheets/sheet9.xml><?xml version="1.0" encoding="utf-8"?>
<worksheet xmlns="http://schemas.openxmlformats.org/spreadsheetml/2006/main">
  <sheetPr>
    <tabColor rgb="001F4E79"/>
    <outlinePr summaryBelow="1" summaryRight="1"/>
    <pageSetUpPr fitToPage="1"/>
  </sheetPr>
  <dimension ref="A1:Q11"/>
  <sheetViews>
    <sheetView workbookViewId="0">
      <selection activeCell="A1" sqref="A1"/>
    </sheetView>
  </sheetViews>
  <sheetFormatPr baseColWidth="8" defaultRowHeight="15"/>
  <cols>
    <col width="10" customWidth="1" min="1" max="1"/>
    <col width="22" customWidth="1" min="2" max="2"/>
    <col width="9" customWidth="1" min="3" max="3"/>
    <col width="22" customWidth="1" min="4" max="4"/>
    <col width="62" customWidth="1" min="5" max="5"/>
    <col width="22" customWidth="1" min="6" max="6"/>
    <col width="10" customWidth="1" min="7" max="7"/>
    <col width="42" customWidth="1" min="8" max="8"/>
    <col width="12" customWidth="1" min="9" max="9"/>
    <col width="34" customWidth="1" min="10" max="10"/>
    <col width="34" customWidth="1" min="11" max="11"/>
    <col width="13" customWidth="1" min="12" max="12"/>
    <col width="24" customWidth="1" min="13" max="13"/>
    <col width="16" customWidth="1" min="14" max="14"/>
    <col width="12" customWidth="1" min="15" max="15"/>
    <col width="13" customWidth="1" min="16" max="16"/>
    <col width="12" customWidth="1" min="17" max="17"/>
  </cols>
  <sheetData>
    <row r="1">
      <c r="A1" s="49" t="inlineStr">
        <is>
          <t>برنامهٔ تست برنامه‌نویسی — ماژول CalLut</t>
        </is>
      </c>
      <c r="B1" s="50" t="n"/>
      <c r="C1" s="50" t="n"/>
      <c r="D1" s="50" t="n"/>
      <c r="E1" s="50" t="n"/>
      <c r="F1" s="50" t="n"/>
      <c r="G1" s="50" t="n"/>
      <c r="H1" s="50" t="n"/>
      <c r="I1" s="50" t="n"/>
      <c r="J1" s="50" t="n"/>
      <c r="K1" s="50" t="n"/>
      <c r="L1" s="50" t="n"/>
      <c r="M1" s="50" t="n"/>
      <c r="N1" s="50" t="n"/>
      <c r="O1" s="50" t="n"/>
      <c r="P1" s="50" t="n"/>
      <c r="Q1" s="50" t="n"/>
    </row>
    <row r="2">
      <c r="A2" s="51" t="inlineStr">
        <is>
          <t>وضعیت فقط یکی از: در انتظار / قبول / رد / مسدود / نیاز به تکرار. تست Host جایگزین تست برد نیست.</t>
        </is>
      </c>
      <c r="B2" s="50" t="n"/>
      <c r="C2" s="50" t="n"/>
      <c r="D2" s="50" t="n"/>
      <c r="E2" s="50" t="n"/>
      <c r="F2" s="50" t="n"/>
      <c r="G2" s="50" t="n"/>
      <c r="H2" s="50" t="n"/>
      <c r="I2" s="50" t="n"/>
      <c r="J2" s="50" t="n"/>
      <c r="K2" s="50" t="n"/>
      <c r="L2" s="50" t="n"/>
      <c r="M2" s="50" t="n"/>
      <c r="N2" s="50" t="n"/>
      <c r="O2" s="50" t="n"/>
      <c r="P2" s="50" t="n"/>
      <c r="Q2" s="50" t="n"/>
    </row>
    <row r="3">
      <c r="A3" s="51" t="inlineStr">
        <is>
          <t>برای هر ردیف پیش‌شرط، ورودی، انتظار و معیار قبولی صریح است؛ نتیجهٔ واقعی فقط با اندازه‌گیری روی برد پر می‌شود.</t>
        </is>
      </c>
      <c r="B3" s="50" t="n"/>
      <c r="C3" s="50" t="n"/>
      <c r="D3" s="50" t="n"/>
      <c r="E3" s="50" t="n"/>
      <c r="F3" s="50" t="n"/>
      <c r="G3" s="50" t="n"/>
      <c r="H3" s="50" t="n"/>
      <c r="I3" s="50" t="n"/>
      <c r="J3" s="50" t="n"/>
      <c r="K3" s="50" t="n"/>
      <c r="L3" s="50" t="n"/>
      <c r="M3" s="50" t="n"/>
      <c r="N3" s="50" t="n"/>
      <c r="O3" s="50" t="n"/>
      <c r="P3" s="50" t="n"/>
      <c r="Q3" s="50" t="n"/>
    </row>
    <row r="4" ht="30" customHeight="1">
      <c r="A4" s="47" t="inlineStr">
        <is>
          <t>شناسه</t>
        </is>
      </c>
      <c r="B4" s="47" t="inlineStr">
        <is>
          <t>دسته</t>
        </is>
      </c>
      <c r="C4" s="47" t="inlineStr">
        <is>
          <t>اولویت</t>
        </is>
      </c>
      <c r="D4" s="47" t="inlineStr">
        <is>
          <t>پیش‌شرط</t>
        </is>
      </c>
      <c r="E4" s="47" t="inlineStr">
        <is>
          <t>روش اجرای دقیق</t>
        </is>
      </c>
      <c r="F4" s="47" t="inlineStr">
        <is>
          <t>ورودی‌ها / شرایط</t>
        </is>
      </c>
      <c r="G4" s="47" t="inlineStr">
        <is>
          <t>مدت مشاهده</t>
        </is>
      </c>
      <c r="H4" s="47" t="inlineStr">
        <is>
          <t>رفتار مورد انتظار</t>
        </is>
      </c>
      <c r="I4" s="47" t="inlineStr">
        <is>
          <t>وضعیت حفظ / latch</t>
        </is>
      </c>
      <c r="J4" s="47" t="inlineStr">
        <is>
          <t>معیار قبولی</t>
        </is>
      </c>
      <c r="K4" s="47" t="inlineStr">
        <is>
          <t>نتیجهٔ واقعی / اندازه‌گیری</t>
        </is>
      </c>
      <c r="L4" s="47" t="inlineStr">
        <is>
          <t>وضعیت</t>
        </is>
      </c>
      <c r="M4" s="47" t="inlineStr">
        <is>
          <t>شرح ایراد / تفاوت</t>
        </is>
      </c>
      <c r="N4" s="47" t="inlineStr">
        <is>
          <t>مدرک تست / scope</t>
        </is>
      </c>
      <c r="O4" s="47" t="inlineStr">
        <is>
          <t>commit</t>
        </is>
      </c>
      <c r="P4" s="47" t="inlineStr">
        <is>
          <t>نام تست‌کننده</t>
        </is>
      </c>
      <c r="Q4" s="47" t="inlineStr">
        <is>
          <t>تاریخ</t>
        </is>
      </c>
    </row>
    <row r="5" ht="54" customHeight="1">
      <c r="A5" s="52" t="inlineStr">
        <is>
          <t>CL-004</t>
        </is>
      </c>
      <c r="B5" s="59" t="inlineStr">
        <is>
          <t>CRC ناهمخوان</t>
        </is>
      </c>
      <c r="C5" s="60" t="inlineStr">
        <is>
          <t>بالا</t>
        </is>
      </c>
      <c r="D5" s="59" t="inlineStr">
        <is>
          <t>لینک برقرار</t>
        </is>
      </c>
      <c r="E5" s="59" t="inlineStr">
        <is>
          <t>گام ۱: لینک ESP را وصل کن و CRC32 جدول فعال فعلی را یادداشت کن.
گام ۲: یک جدول بفرست ولی در مرحلهٔ COMMIT عمداً CRC32 اشتباه بده (با CRC واقعی جدول یکی نباشد).
گام ۳: پاسخ برد را بخوان: وضعیت باید 6 باشد (CAL_LUT_ST_CRC) و commit رد شود.
گام ۴: CRC32 جدول فعال را دوباره بخوان؛ باید با گام ۱ یکی باشد، یعنی فلش دست‌نخورده مانده است.</t>
        </is>
      </c>
      <c r="F5" s="61" t="inlineStr">
        <is>
          <t>CRC پنل ≠ CRC چیده‌شده</t>
        </is>
      </c>
      <c r="G5" s="61" t="inlineStr">
        <is>
          <t>یک تبادل</t>
        </is>
      </c>
      <c r="H5" s="59" t="inlineStr">
        <is>
          <t>رد شدن commit با CAL_LUT_ST_CRC؛ فلش دست‌نخورده</t>
        </is>
      </c>
      <c r="I5" s="59" t="inlineStr">
        <is>
          <t>رکورد قبلی حفظ</t>
        </is>
      </c>
      <c r="J5" s="59" t="inlineStr">
        <is>
          <t>status=6 و ActiveCrc32 تغییر نکرده</t>
        </is>
      </c>
      <c r="K5" s="59" t="inlineStr">
        <is>
          <t>در انتظار</t>
        </is>
      </c>
      <c r="L5" s="57" t="inlineStr">
        <is>
          <t>در انتظار</t>
        </is>
      </c>
      <c r="M5" s="59" t="n"/>
      <c r="N5" s="59" t="inlineStr">
        <is>
          <t>TESTER: fill</t>
        </is>
      </c>
      <c r="O5" s="61" t="inlineStr">
        <is>
          <t>TESTER: fill</t>
        </is>
      </c>
      <c r="P5" s="61" t="inlineStr">
        <is>
          <t>TESTER: fill</t>
        </is>
      </c>
      <c r="Q5" s="62">
        <f>IF(OR(L5="",L5="در انتظار"),"",IF(Q5="",TODAY(),Q5))</f>
        <v/>
      </c>
    </row>
    <row r="6" ht="67.5" customHeight="1">
      <c r="A6" s="52" t="inlineStr">
        <is>
          <t>CL-005</t>
        </is>
      </c>
      <c r="B6" s="53" t="inlineStr">
        <is>
          <t>محور صعودی نبودن</t>
        </is>
      </c>
      <c r="C6" s="54" t="inlineStr">
        <is>
          <t>بالا</t>
        </is>
      </c>
      <c r="D6" s="53" t="inlineStr">
        <is>
          <t>لینک برقرار</t>
        </is>
      </c>
      <c r="E6" s="53" t="inlineStr">
        <is>
          <t>گام ۱: لینک ESP را وصل کن.
گام ۲: جدولی بساز که محور زنجیره‌اش (ChainMa) صعودیِ اکید نباشد؛ مثلاً یک نقطهٔ تکراری یا یک نقطه کمتر از قبلی بگذار.
گام ۳: جدول را کامل بفرست و COMMIT کن.
گام ۴: پاسخ برد را بخوان: وضعیت باید 4 باشد (CAL_LUT_ST_CHAIN) و جدول نباید فعال شود.</t>
        </is>
      </c>
      <c r="F6" s="56" t="inlineStr">
        <is>
          <t>نقطهٔ تکراری یا نزولی در ChainMa</t>
        </is>
      </c>
      <c r="G6" s="56" t="inlineStr">
        <is>
          <t>یک تبادل</t>
        </is>
      </c>
      <c r="H6" s="53" t="inlineStr">
        <is>
          <t>رد با CAL_LUT_ST_CHAIN</t>
        </is>
      </c>
      <c r="I6" s="53" t="inlineStr">
        <is>
          <t>بدون تغییر فلش</t>
        </is>
      </c>
      <c r="J6" s="53" t="inlineStr">
        <is>
          <t>status=4</t>
        </is>
      </c>
      <c r="K6" s="53" t="inlineStr">
        <is>
          <t>در انتظار</t>
        </is>
      </c>
      <c r="L6" s="57" t="inlineStr">
        <is>
          <t>در انتظار</t>
        </is>
      </c>
      <c r="M6" s="53" t="n"/>
      <c r="N6" s="53" t="inlineStr">
        <is>
          <t>TESTER: fill</t>
        </is>
      </c>
      <c r="O6" s="56" t="inlineStr">
        <is>
          <t>TESTER: fill</t>
        </is>
      </c>
      <c r="P6" s="56" t="inlineStr">
        <is>
          <t>TESTER: fill</t>
        </is>
      </c>
      <c r="Q6" s="58">
        <f>IF(OR(L6="",L6="در انتظار"),"",IF(Q6="",TODAY(),Q6))</f>
        <v/>
      </c>
    </row>
    <row r="7" ht="54" customHeight="1">
      <c r="A7" s="52" t="inlineStr">
        <is>
          <t>CL-006</t>
        </is>
      </c>
      <c r="B7" s="59" t="inlineStr">
        <is>
          <t>افت محور جریان</t>
        </is>
      </c>
      <c r="C7" s="61" t="inlineStr">
        <is>
          <t>متوسط</t>
        </is>
      </c>
      <c r="D7" s="59" t="inlineStr">
        <is>
          <t>لینک برقرار</t>
        </is>
      </c>
      <c r="E7" s="59" t="inlineStr">
        <is>
          <t>گام ۱: لینک ESP را وصل کن.
گام ۲: جدولی بساز که جریان باتری در یکی از نقطه‌ها از نقطهٔ قبلی کمتر باشد (افت داشته باشد).
گام ۳: جدول را کامل بفرست و COMMIT کن.
گام ۴: پاسخ برد را بخوان: وضعیت باید 5 باشد (CAL_LUT_ST_DIP) و جدول نباید فعال شود.</t>
        </is>
      </c>
      <c r="F7" s="61" t="inlineStr">
        <is>
          <t>نقطه‌ای کمتر از نقطهٔ قبل</t>
        </is>
      </c>
      <c r="G7" s="61" t="inlineStr">
        <is>
          <t>یک تبادل</t>
        </is>
      </c>
      <c r="H7" s="59" t="inlineStr">
        <is>
          <t>رد با CAL_LUT_ST_DIP (جریان باتری افت دارد)</t>
        </is>
      </c>
      <c r="I7" s="59" t="inlineStr">
        <is>
          <t>بدون تغییر فلش</t>
        </is>
      </c>
      <c r="J7" s="59" t="inlineStr">
        <is>
          <t>status=5</t>
        </is>
      </c>
      <c r="K7" s="59" t="inlineStr">
        <is>
          <t>در انتظار</t>
        </is>
      </c>
      <c r="L7" s="57" t="inlineStr">
        <is>
          <t>در انتظار</t>
        </is>
      </c>
      <c r="M7" s="59" t="n"/>
      <c r="N7" s="59" t="inlineStr">
        <is>
          <t>TESTER: fill</t>
        </is>
      </c>
      <c r="O7" s="61" t="inlineStr">
        <is>
          <t>TESTER: fill</t>
        </is>
      </c>
      <c r="P7" s="61" t="inlineStr">
        <is>
          <t>TESTER: fill</t>
        </is>
      </c>
      <c r="Q7" s="62">
        <f>IF(OR(L7="",L7="در انتظار"),"",IF(Q7="",TODAY(),Q7))</f>
        <v/>
      </c>
    </row>
    <row r="8" ht="54" customHeight="1">
      <c r="A8" s="52" t="inlineStr">
        <is>
          <t>CL-007</t>
        </is>
      </c>
      <c r="B8" s="53" t="inlineStr">
        <is>
          <t>تعداد نقاط نامعتبر</t>
        </is>
      </c>
      <c r="C8" s="56" t="inlineStr">
        <is>
          <t>متوسط</t>
        </is>
      </c>
      <c r="D8" s="53" t="inlineStr">
        <is>
          <t>لینک برقرار</t>
        </is>
      </c>
      <c r="E8" s="53" t="inlineStr">
        <is>
          <t>گام ۱: لینک ESP را وصل کن.
گام ۲: یک جدول فقط با 1 نقطه بفرست و COMMIT کن؛ پاسخ را بخوان.
گام ۳: یک جدول با 25 نقطه بفرست و COMMIT کن؛ پاسخ را بخوان.
گام ۴: هر دو بار وضعیت باید 2 باشد (CAL_LUT_ST_COUNT)، چون تعداد نقطهٔ مجاز 2 تا 24 است.</t>
        </is>
      </c>
      <c r="F8" s="56" t="inlineStr">
        <is>
          <t>points &lt; 2 یا &gt; 24</t>
        </is>
      </c>
      <c r="G8" s="56" t="inlineStr">
        <is>
          <t>دو تبادل</t>
        </is>
      </c>
      <c r="H8" s="53" t="inlineStr">
        <is>
          <t>هر دو با CAL_LUT_ST_COUNT رد می‌شوند</t>
        </is>
      </c>
      <c r="I8" s="53" t="inlineStr">
        <is>
          <t>بدون تغییر فلش</t>
        </is>
      </c>
      <c r="J8" s="53" t="inlineStr">
        <is>
          <t>status=2 در هر دو</t>
        </is>
      </c>
      <c r="K8" s="53" t="inlineStr">
        <is>
          <t>در انتظار</t>
        </is>
      </c>
      <c r="L8" s="57" t="inlineStr">
        <is>
          <t>در انتظار</t>
        </is>
      </c>
      <c r="M8" s="53" t="n"/>
      <c r="N8" s="53" t="inlineStr">
        <is>
          <t>TESTER: fill</t>
        </is>
      </c>
      <c r="O8" s="56" t="inlineStr">
        <is>
          <t>TESTER: fill</t>
        </is>
      </c>
      <c r="P8" s="56" t="inlineStr">
        <is>
          <t>TESTER: fill</t>
        </is>
      </c>
      <c r="Q8" s="58">
        <f>IF(OR(L8="",L8="در انتظار"),"",IF(Q8="",TODAY(),Q8))</f>
        <v/>
      </c>
    </row>
    <row r="9" ht="54" customHeight="1">
      <c r="A9" s="52" t="inlineStr">
        <is>
          <t>CL-008</t>
        </is>
      </c>
      <c r="B9" s="59" t="inlineStr">
        <is>
          <t>تکهٔ گم‌شده</t>
        </is>
      </c>
      <c r="C9" s="61" t="inlineStr">
        <is>
          <t>متوسط</t>
        </is>
      </c>
      <c r="D9" s="59" t="inlineStr">
        <is>
          <t>لینک برقرار</t>
        </is>
      </c>
      <c r="E9" s="59" t="inlineStr">
        <is>
          <t>گام ۱: لینک ESP را وصل کن و یک جدول چندچانکه آماده کن.
گام ۲: همهٔ چانک‌ها را بفرست به‌جز یکی؛ عمداً یک چانک را نفرست.
گام ۳: COMMIT را بفرست.
گام ۴: پاسخ برد را بخوان: وضعیت باید 3 باشد (CAL_LUT_ST_MISSING) و هیچ جدولی فعال نشود.</t>
        </is>
      </c>
      <c r="F9" s="61" t="inlineStr">
        <is>
          <t>یک تکه نرسیده</t>
        </is>
      </c>
      <c r="G9" s="61" t="inlineStr">
        <is>
          <t>یک تبادل</t>
        </is>
      </c>
      <c r="H9" s="59" t="inlineStr">
        <is>
          <t>رد با CAL_LUT_ST_MISSING</t>
        </is>
      </c>
      <c r="I9" s="59" t="inlineStr">
        <is>
          <t>بدون تغییر فلش</t>
        </is>
      </c>
      <c r="J9" s="59" t="inlineStr">
        <is>
          <t>status=3</t>
        </is>
      </c>
      <c r="K9" s="59" t="inlineStr">
        <is>
          <t>در انتظار</t>
        </is>
      </c>
      <c r="L9" s="57" t="inlineStr">
        <is>
          <t>در انتظار</t>
        </is>
      </c>
      <c r="M9" s="59" t="n"/>
      <c r="N9" s="59" t="inlineStr">
        <is>
          <t>TESTER: fill</t>
        </is>
      </c>
      <c r="O9" s="61" t="inlineStr">
        <is>
          <t>TESTER: fill</t>
        </is>
      </c>
      <c r="P9" s="61" t="inlineStr">
        <is>
          <t>TESTER: fill</t>
        </is>
      </c>
      <c r="Q9" s="62">
        <f>IF(OR(L9="",L9="در انتظار"),"",IF(Q9="",TODAY(),Q9))</f>
        <v/>
      </c>
    </row>
    <row r="10" ht="54" customHeight="1">
      <c r="A10" s="52" t="inlineStr">
        <is>
          <t>CL-009</t>
        </is>
      </c>
      <c r="B10" s="53" t="inlineStr">
        <is>
          <t>commit بدون begin</t>
        </is>
      </c>
      <c r="C10" s="56" t="inlineStr">
        <is>
          <t>پایین</t>
        </is>
      </c>
      <c r="D10" s="53" t="inlineStr">
        <is>
          <t>لینک برقرار</t>
        </is>
      </c>
      <c r="E10" s="53" t="inlineStr">
        <is>
          <t>گام ۱: لینک ESP را وصل کن.
گام ۲: بدون اینکه LUT_BEGIN بفرستی، مستقیم COMMIT بفرست.
گام ۳: پاسخ برد را بخوان: وضعیت باید 1 باشد (CAL_LUT_ST_NO_STAGE) و هیچ اتفاقی برای جدول فعال نیفتد.</t>
        </is>
      </c>
      <c r="F10" s="56" t="inlineStr">
        <is>
          <t>بدون مرحلهٔ چیدن</t>
        </is>
      </c>
      <c r="G10" s="56" t="inlineStr">
        <is>
          <t>یک تبادل</t>
        </is>
      </c>
      <c r="H10" s="53" t="inlineStr">
        <is>
          <t>رد با CAL_LUT_ST_NO_STAGE</t>
        </is>
      </c>
      <c r="I10" s="53" t="inlineStr">
        <is>
          <t>بدون تغییر فلش</t>
        </is>
      </c>
      <c r="J10" s="53" t="inlineStr">
        <is>
          <t>status=1</t>
        </is>
      </c>
      <c r="K10" s="53" t="inlineStr">
        <is>
          <t>در انتظار</t>
        </is>
      </c>
      <c r="L10" s="57" t="inlineStr">
        <is>
          <t>در انتظار</t>
        </is>
      </c>
      <c r="M10" s="53" t="n"/>
      <c r="N10" s="53" t="inlineStr">
        <is>
          <t>TESTER: fill</t>
        </is>
      </c>
      <c r="O10" s="56" t="inlineStr">
        <is>
          <t>TESTER: fill</t>
        </is>
      </c>
      <c r="P10" s="56" t="inlineStr">
        <is>
          <t>TESTER: fill</t>
        </is>
      </c>
      <c r="Q10" s="58">
        <f>IF(OR(L10="",L10="در انتظار"),"",IF(Q10="",TODAY(),Q10))</f>
        <v/>
      </c>
    </row>
    <row r="11" ht="54" customHeight="1">
      <c r="A11" s="52" t="inlineStr">
        <is>
          <t>CL-013</t>
        </is>
      </c>
      <c r="B11" s="53" t="inlineStr">
        <is>
          <t>تغییر نسخهٔ قالب</t>
        </is>
      </c>
      <c r="C11" s="56" t="inlineStr">
        <is>
          <t>پایین</t>
        </is>
      </c>
      <c r="D11" s="53" t="inlineStr">
        <is>
          <t>رکورد معتبر نسخهٔ ۱</t>
        </is>
      </c>
      <c r="E11" s="53" t="inlineStr">
        <is>
          <t>گام ۱: روی برد یک رکورد LUT معتبر با نسخهٔ 1 داشته باش (قبلاً commit شده باشد).
گام ۲: ثابت CAL_LUT_VERSION را در کد بالا ببر و فرم‌ور جدید را روی همان برد فلش کن.
گام ۳: برد را بوت کن و وضعیت جدول فعال را بخوان.
گام ۴: باید جدول فعال نباشد (Active = false) و خوانش جریان به جدول کامپایل‌شده (خط گین و آفست) برگشته باشد.</t>
        </is>
      </c>
      <c r="F11" s="56" t="inlineStr">
        <is>
          <t>نسخهٔ رکورد قدیمی</t>
        </is>
      </c>
      <c r="G11" s="56" t="inlineStr">
        <is>
          <t>یک بوت</t>
        </is>
      </c>
      <c r="H11" s="53" t="inlineStr">
        <is>
          <t>رکورد قدیمی نامعتبر و بازگشت به جدول کامپایل‌شده</t>
        </is>
      </c>
      <c r="I11" s="53" t="inlineStr">
        <is>
          <t>بدون نیم‌ارتقای بی‌صدا</t>
        </is>
      </c>
      <c r="J11" s="53" t="inlineStr">
        <is>
          <t>Active=false و خوانش‌ها برابر خط گین و آفست</t>
        </is>
      </c>
      <c r="K11" s="53" t="inlineStr">
        <is>
          <t>در انتظار</t>
        </is>
      </c>
      <c r="L11" s="57" t="inlineStr">
        <is>
          <t>در انتظار</t>
        </is>
      </c>
      <c r="M11" s="53" t="n"/>
      <c r="N11" s="53" t="inlineStr">
        <is>
          <t>TESTER: fill</t>
        </is>
      </c>
      <c r="O11" s="56" t="inlineStr">
        <is>
          <t>TESTER: fill</t>
        </is>
      </c>
      <c r="P11" s="56" t="inlineStr">
        <is>
          <t>TESTER: fill</t>
        </is>
      </c>
      <c r="Q11" s="58">
        <f>IF(OR(L11="",L11="در انتظار"),"",IF(Q11="",TODAY(),Q11))</f>
        <v/>
      </c>
    </row>
    <row r="12" ht="54" customHeight="1"/>
    <row r="13" ht="40.5" customHeight="1"/>
    <row r="14" ht="54" customHeight="1"/>
    <row r="15" ht="54" customHeight="1"/>
    <row r="16" ht="54" customHeight="1"/>
    <row r="17" ht="54" customHeight="1"/>
    <row r="18" ht="54" customHeight="1"/>
    <row r="19" ht="67.5" customHeight="1"/>
    <row r="20" ht="67.5" customHeight="1"/>
    <row r="21" ht="54" customHeight="1"/>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2026-10-05T18:18:07Z</dcterms:created>
  <dcterms:modified xsi:type="dcterms:W3CDTF">2026-10-17T12:23:00Z</dcterms:modified>
</cp:coreProperties>
</file>