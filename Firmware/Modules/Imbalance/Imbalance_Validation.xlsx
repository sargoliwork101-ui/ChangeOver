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0">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b val="1"/>
      <color rgb="000563C1"/>
      <sz val="8"/>
      <u val="single"/>
    </font>
    <font>
      <name val="Tahoma"/>
      <color rgb="000563C1"/>
      <sz val="8"/>
      <u val="single"/>
    </font>
    <font>
      <name val="Tahoma"/>
      <b val="1"/>
      <color rgb="000563C1"/>
      <sz val="10"/>
      <u val="single"/>
    </font>
    <font>
      <name val="Vazirmatn"/>
      <b val="1"/>
      <color rgb="00FFFFFF"/>
      <sz val="11"/>
    </font>
    <font>
      <name val="Vazirmatn"/>
      <b val="1"/>
      <sz val="8"/>
    </font>
    <font>
      <name val="Vazirmatn"/>
      <sz val="8"/>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color rgb="000563C1"/>
      <sz val="8"/>
      <u val="single"/>
    </font>
    <font>
      <name val="Vazirmatn"/>
      <sz val="11"/>
    </font>
  </fonts>
  <fills count="8">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79">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0"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6" borderId="2" applyAlignment="1" pivotButton="0" quotePrefix="0" xfId="0">
      <alignment horizontal="right" vertical="center" wrapText="1"/>
    </xf>
    <xf numFmtId="0" fontId="13" fillId="0"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8" fillId="2" borderId="0" applyAlignment="1" pivotButton="0" quotePrefix="0" xfId="0">
      <alignment horizontal="center" vertical="center" wrapText="1"/>
    </xf>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9" fillId="0" borderId="0" applyAlignment="1" pivotButton="0" quotePrefix="0" xfId="0">
      <alignment horizontal="left" vertical="center" wrapText="1"/>
    </xf>
    <xf numFmtId="0" fontId="14" fillId="0" borderId="0" applyAlignment="1" pivotButton="0" quotePrefix="0" xfId="0">
      <alignment vertical="center" wrapText="1"/>
    </xf>
    <xf numFmtId="0" fontId="20" fillId="4" borderId="2" applyAlignment="1" pivotButton="0" quotePrefix="0" xfId="0">
      <alignment horizontal="center" vertical="center"/>
    </xf>
    <xf numFmtId="0" fontId="5"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0" borderId="0" pivotButton="0" quotePrefix="0" xfId="0"/>
    <xf numFmtId="0" fontId="26" fillId="0" borderId="0" pivotButton="0" quotePrefix="0" xfId="0"/>
    <xf numFmtId="0" fontId="23"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7"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7"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6" fillId="0" borderId="2" applyAlignment="1" pivotButton="0" quotePrefix="0" xfId="0">
      <alignment horizontal="right" vertical="center" wrapText="1"/>
    </xf>
    <xf numFmtId="164" fontId="26" fillId="0" borderId="0" pivotButton="0" quotePrefix="0" xfId="0"/>
    <xf numFmtId="0" fontId="7" fillId="0" borderId="0" applyAlignment="1" pivotButton="0" quotePrefix="0" xfId="0">
      <alignment vertical="center" wrapText="1"/>
    </xf>
    <xf numFmtId="0" fontId="5" fillId="7" borderId="2" applyAlignment="1" pivotButton="0" quotePrefix="0" xfId="0">
      <alignment horizontal="center" vertical="center" wrapText="1"/>
    </xf>
    <xf numFmtId="0" fontId="22" fillId="2" borderId="0" applyAlignment="1" pivotButton="0" quotePrefix="0" xfId="0">
      <alignment horizontal="center" vertical="center" wrapText="1"/>
    </xf>
    <xf numFmtId="0" fontId="23" fillId="0" borderId="0" applyAlignment="1" pivotButton="0" quotePrefix="0" xfId="0">
      <alignment horizontal="center" vertical="center" wrapText="1"/>
    </xf>
    <xf numFmtId="0" fontId="5" fillId="0" borderId="0" pivotButton="0" quotePrefix="0" xfId="0"/>
    <xf numFmtId="0" fontId="28" fillId="2" borderId="0" applyAlignment="1" pivotButton="0" quotePrefix="0" xfId="0">
      <alignment horizontal="center" vertical="center" wrapText="1"/>
    </xf>
    <xf numFmtId="0" fontId="22" fillId="2" borderId="0" applyAlignment="1" pivotButton="0" quotePrefix="0" xfId="0">
      <alignment horizontal="left" vertical="center" wrapText="1"/>
    </xf>
    <xf numFmtId="0" fontId="22" fillId="0" borderId="0" pivotButton="0" quotePrefix="0" xfId="0"/>
    <xf numFmtId="0" fontId="29" fillId="0" borderId="0" pivotButton="0" quotePrefix="0" xfId="0"/>
    <xf numFmtId="0" fontId="29" fillId="0" borderId="3" pivotButton="0" quotePrefix="0" xfId="0"/>
    <xf numFmtId="164" fontId="29"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tos/Src/task_control.c" TargetMode="External" Id="rId1" /></Relationships>
</file>

<file path=xl/worksheets/_rels/sheet6.xml.rels><Relationships xmlns="http://schemas.openxmlformats.org/package/2006/relationships"><Relationship Type="http://schemas.openxmlformats.org/officeDocument/2006/relationships/hyperlink" Target="Tester/host_test_imbalance.c" TargetMode="External" Id="rId1" /><Relationship Type="http://schemas.openxmlformats.org/officeDocument/2006/relationships/hyperlink" Target="imbalance.c" TargetMode="External" Id="rId2" /></Relationships>
</file>

<file path=xl/worksheets/_rels/sheet9.xml.rels><Relationships xmlns="http://schemas.openxmlformats.org/package/2006/relationships"><Relationship Type="http://schemas.openxmlformats.org/officeDocument/2006/relationships/hyperlink" Target="Imbalance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3"/>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47" t="inlineStr">
        <is>
          <t>برگه تست و اعتبارسنجی عملی ماژول Imbalance</t>
        </is>
      </c>
    </row>
    <row r="2" ht="30" customHeight="1">
      <c r="A2" s="48" t="inlineStr">
        <is>
          <t>Imbalance | سناریوی ۵: قضاوت عدم‌توازن دو نیم‌باتری با شمارش ماندگار رویداد و قفل</t>
        </is>
      </c>
    </row>
    <row r="3">
      <c r="A3" s="49" t="inlineStr">
        <is>
          <t>هدف فایل</t>
        </is>
      </c>
    </row>
    <row r="4">
      <c r="A4" s="50" t="n"/>
    </row>
    <row r="5">
      <c r="A5" s="50" t="inlineStr">
        <is>
          <t>سناریوی ۵: پایش قدرمطلق اختلاف دو نیم‌باتری ۱۲ ولتی |v_bat_high - v_bat_low| و قضاوت عدم‌توازن با شمارش ماندگار رویداد.</t>
        </is>
      </c>
    </row>
    <row r="6">
      <c r="A6" s="51" t="inlineStr">
        <is>
          <t>ماژول منطق خالص است: همهٔ ورودی‌ها و زمان جاری از بیرون می‌آیند و هیچ وابستگی به BSP یا RTOS ندارد؛ سیم‌بندی در task_control.c است.</t>
        </is>
      </c>
    </row>
    <row r="7">
      <c r="A7" s="50" t="inlineStr">
        <is>
          <t>گیت زمانی: حد استراحت (۱۰۸) فقط در استراحت و پس از ۱۱۰ از پایان شارژ، و حین شارژ پس از ۱۱۱؛ در دشارژ حد ۱۰۹ بلافاصله اعمال می‌شود.</t>
        </is>
      </c>
    </row>
    <row r="8">
      <c r="A8" s="50" t="inlineStr">
        <is>
          <t>رویداد = فراتر از حد به‌طور پیوسته برای ۱۱۲؛ پایان اپیزود با هیسترزیس ۱۱۳؛ هر اپیزود فقط یک‌بار شمرده می‌شود.</t>
        </is>
      </c>
    </row>
    <row r="9">
      <c r="A9" s="50" t="inlineStr">
        <is>
          <t>رویدادها ≥ ۱۱۴ → قفل: قرمز چشمک‌زن + بوق ساعتی + وتوی خروجی (در صورت تیک ۱۱۷)؛ ۱۱۸ سیکل شارژ در قفل → مسدودی شارژ.</t>
        </is>
      </c>
    </row>
    <row r="10">
      <c r="A10" s="50" t="inlineStr">
        <is>
          <t>نبود باتری برای ۳ ثانیهٔ پیوسته = تعویض واقعی → ریست خودکار همهٔ شمارنده‌ها و قفل.</t>
        </is>
      </c>
    </row>
    <row r="11">
      <c r="A11" s="50" t="inlineStr">
        <is>
          <t>شمارنده‌ها در اسلات‌های ۲۰۰..۲۰۲ ماندگارند و با قطع برق پاک نمی‌شوند. تست Host جایگزین تست برد نیست.</t>
        </is>
      </c>
    </row>
    <row r="12"/>
    <row r="13">
      <c r="A13" s="76"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6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برنامهٔ تست عملی — ماژول Imbalance</t>
        </is>
      </c>
      <c r="B1" s="53" t="n"/>
      <c r="C1" s="53" t="n"/>
      <c r="D1" s="53" t="n"/>
      <c r="E1" s="53" t="n"/>
      <c r="F1" s="53" t="n"/>
      <c r="G1" s="53" t="n"/>
      <c r="H1" s="53" t="n"/>
      <c r="I1" s="53" t="n"/>
      <c r="J1" s="53" t="n"/>
      <c r="K1" s="53" t="n"/>
      <c r="L1" s="53" t="n"/>
      <c r="M1" s="53" t="n"/>
      <c r="N1" s="53" t="n"/>
      <c r="O1" s="53" t="n"/>
      <c r="P1" s="53" t="n"/>
      <c r="Q1" s="53" t="n"/>
    </row>
    <row r="2">
      <c r="A2" s="54" t="inlineStr">
        <is>
          <t>وضعیت فقط یکی از: در انتظار / قبول / رد / مسدود / نیاز به تکرار. تست Host جایگزین تست برد نیست.</t>
        </is>
      </c>
      <c r="B2" s="53" t="n"/>
      <c r="C2" s="53" t="n"/>
      <c r="D2" s="53" t="n"/>
      <c r="E2" s="53" t="n"/>
      <c r="F2" s="53" t="n"/>
      <c r="G2" s="53" t="n"/>
      <c r="H2" s="53" t="n"/>
      <c r="I2" s="53" t="n"/>
      <c r="J2" s="53" t="n"/>
      <c r="K2" s="53" t="n"/>
      <c r="L2" s="53" t="n"/>
      <c r="M2" s="53" t="n"/>
      <c r="N2" s="53" t="n"/>
      <c r="O2" s="53" t="n"/>
      <c r="P2" s="53" t="n"/>
      <c r="Q2" s="53" t="n"/>
    </row>
    <row r="3">
      <c r="A3" s="54" t="inlineStr">
        <is>
          <t>برای هر ردیف پیش‌شرط، ورودی، انتظار و معیار قبولی صریح است؛ نتیجهٔ واقعی فقط با اندازه‌گیری روی برد پر می‌شود.</t>
        </is>
      </c>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چه چیزی باید ببینید تا بگویید درست است</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5" t="inlineStr">
        <is>
          <t>IM-001</t>
        </is>
      </c>
      <c r="B5" s="56" t="inlineStr">
        <is>
          <t>آستانهٔ استراحت</t>
        </is>
      </c>
      <c r="C5" s="57" t="inlineStr">
        <is>
          <t>متوسط</t>
        </is>
      </c>
      <c r="D5" s="56" t="inlineStr">
        <is>
          <t>دو باتری ۱۲ ولت وصل است؛ دستگاه خاموش و بیکار (نه شارژ، نه بار)</t>
        </is>
      </c>
      <c r="E5" s="56" t="inlineStr">
        <is>
          <t>گام ۱: یکی از باتری‌ها را با یک لامپ ۱۲ ولت کمی خالی کن تا از آن یکی ضعیف‌تر شود.
گام ۲: باتری‌ها را سر جا وصل کن و دستگاه را نیم ساعت بیکار بگذار.
گام ۳: در پنل ببین رویداد عدم‌توازن شمرده شده یا نه.</t>
        </is>
      </c>
      <c r="F5" s="58" t="inlineStr">
        <is>
          <t>یک نیم ضعیف‌تر در حالت استراحت</t>
        </is>
      </c>
      <c r="G5" s="58" t="inlineStr">
        <is>
          <t>نیم ساعت</t>
        </is>
      </c>
      <c r="H5" s="56" t="inlineStr">
        <is>
          <t>اختلاف دو باتری در استراحت دیده و یک رویداد شمرده می‌شود</t>
        </is>
      </c>
      <c r="I5" s="56" t="inlineStr">
        <is>
          <t>رویداد در شمارنده می‌ماند</t>
        </is>
      </c>
      <c r="J5" s="56" t="inlineStr">
        <is>
          <t>باید ببینید: اختلاف دو باتری در استراحت در پنل دیده می‌شود و یک رویداد شمرده می‌شود. اگر با اختلاف واضح نشمرد، قبول نیست.</t>
        </is>
      </c>
      <c r="K5" s="56" t="inlineStr">
        <is>
          <t>در انتظار</t>
        </is>
      </c>
      <c r="L5" s="59" t="inlineStr">
        <is>
          <t>در انتظار</t>
        </is>
      </c>
      <c r="M5" s="56" t="n"/>
      <c r="N5" s="56" t="inlineStr">
        <is>
          <t>TESTER: fill</t>
        </is>
      </c>
      <c r="O5" s="58" t="inlineStr">
        <is>
          <t>TESTER: fill</t>
        </is>
      </c>
      <c r="P5" s="58" t="inlineStr">
        <is>
          <t>TESTER: fill</t>
        </is>
      </c>
      <c r="Q5" s="60">
        <f>IF(OR(L5="",L5="در انتظار"),"",IF(Q5="",TODAY(),Q5))</f>
        <v/>
      </c>
    </row>
    <row r="6" ht="54" customHeight="1">
      <c r="A6" s="55" t="inlineStr">
        <is>
          <t>IM-003</t>
        </is>
      </c>
      <c r="B6" s="56" t="inlineStr">
        <is>
          <t>آستانهٔ دشارژ</t>
        </is>
      </c>
      <c r="C6" s="57" t="inlineStr">
        <is>
          <t>متوسط</t>
        </is>
      </c>
      <c r="D6" s="56" t="inlineStr">
        <is>
          <t>دستگاه روی باتری دارد به یک بار واقعی کار می‌کند</t>
        </is>
      </c>
      <c r="E6" s="56" t="inlineStr">
        <is>
          <t>گام ۱: حین کار، باتری‌ای که ضعیف‌تر است را زیر نظر بگیر (از اول یکی را کمی خالی‌تر وصل کن).
گام ۲: بگذار دستگاه مدتی با بار کار کند.
گام ۳: شمارندهٔ رویداد را در پنل چک کن.</t>
        </is>
      </c>
      <c r="F6" s="58" t="inlineStr">
        <is>
          <t>دو باتری نابرابر زیر بار واقعی</t>
        </is>
      </c>
      <c r="G6" s="58" t="inlineStr">
        <is>
          <t>نیم ساعت</t>
        </is>
      </c>
      <c r="H6" s="56" t="inlineStr">
        <is>
          <t>اختلاف زیر بار هم دیده و رویداد شمرده می‌شود</t>
        </is>
      </c>
      <c r="I6" s="56" t="inlineStr">
        <is>
          <t>رویداد در شمارنده می‌ماند</t>
        </is>
      </c>
      <c r="J6" s="56" t="inlineStr">
        <is>
          <t>باید ببینید: اختلاف زیر بار هم دیده و رویداد شمرده می‌شود. اگر فقط در استراحت شمرد، قبول نیست.</t>
        </is>
      </c>
      <c r="K6" s="56" t="inlineStr">
        <is>
          <t>در انتظار</t>
        </is>
      </c>
      <c r="L6" s="59" t="inlineStr">
        <is>
          <t>در انتظار</t>
        </is>
      </c>
      <c r="M6" s="56" t="n"/>
      <c r="N6" s="56" t="inlineStr">
        <is>
          <t>TESTER: fill</t>
        </is>
      </c>
      <c r="O6" s="58" t="inlineStr">
        <is>
          <t>TESTER: fill</t>
        </is>
      </c>
      <c r="P6" s="58" t="inlineStr">
        <is>
          <t>TESTER: fill</t>
        </is>
      </c>
      <c r="Q6" s="60">
        <f>IF(OR(L6="",L6="در انتظار"),"",IF(Q6="",TODAY(),Q6))</f>
        <v/>
      </c>
    </row>
    <row r="7" ht="54" customHeight="1">
      <c r="A7" s="55" t="inlineStr">
        <is>
          <t>IM-007</t>
        </is>
      </c>
      <c r="B7" s="56" t="inlineStr">
        <is>
          <t>قفل شدن</t>
        </is>
      </c>
      <c r="C7" s="57" t="inlineStr">
        <is>
          <t>متوسط</t>
        </is>
      </c>
      <c r="D7" s="56" t="inlineStr">
        <is>
          <t>دو باتری نابرابر داری؛ برای زود دیدن نتیجه از پنل حدّ رویدادهای مجاز را موقتاً روی یک بگذار</t>
        </is>
      </c>
      <c r="E7" s="66" t="inlineStr">
        <is>
          <t>گام ۱: یک رویداد عدم‌توازن بساز (مثل IM-001).
گام ۲: وقتی قفل شد چراغ‌ها را ببین: فقط قرمز چشمک می‌زند، سبز و زرد خاموش‌اند.
گام ۳: حدّ را از پنل به مقدار واقعی برگردان.</t>
        </is>
      </c>
      <c r="F7" s="58" t="inlineStr">
        <is>
          <t>رویداد عدم‌توازن با حدّ موقتِ یک</t>
        </is>
      </c>
      <c r="G7" s="58" t="inlineStr">
        <is>
          <t>نیم ساعت</t>
        </is>
      </c>
      <c r="H7" s="56" t="inlineStr">
        <is>
          <t>قفل عدم‌توازن می‌نشیند: قرمز چشمک‌زنِ تنها، بدون سبز و زرد</t>
        </is>
      </c>
      <c r="I7" s="56" t="inlineStr">
        <is>
          <t>قفل تا تعویض باتری</t>
        </is>
      </c>
      <c r="J7" s="56" t="inlineStr">
        <is>
          <t>باید ببینید: قفل می‌نشیند؛ فقط قرمز چشمک می‌زند و سبز و زرد خاموش‌اند. اگر قفل نشد یا چهره اشتباه بود، قبول نیست.</t>
        </is>
      </c>
      <c r="K7" s="56" t="inlineStr">
        <is>
          <t>در انتظار</t>
        </is>
      </c>
      <c r="L7" s="59" t="inlineStr">
        <is>
          <t>در انتظار</t>
        </is>
      </c>
      <c r="M7" s="56" t="n"/>
      <c r="N7" s="56" t="inlineStr">
        <is>
          <t>TESTER: fill</t>
        </is>
      </c>
      <c r="O7" s="58" t="inlineStr">
        <is>
          <t>TESTER: fill</t>
        </is>
      </c>
      <c r="P7" s="58" t="inlineStr">
        <is>
          <t>TESTER: fill</t>
        </is>
      </c>
      <c r="Q7" s="60">
        <f>IF(OR(L7="",L7="در انتظار"),"",IF(Q7="",TODAY(),Q7))</f>
        <v/>
      </c>
    </row>
    <row r="8" ht="54" customHeight="1">
      <c r="A8" s="55" t="inlineStr">
        <is>
          <t>IM-010</t>
        </is>
      </c>
      <c r="B8" s="61" t="inlineStr">
        <is>
          <t>وتوی خروجی</t>
        </is>
      </c>
      <c r="C8" s="62" t="inlineStr">
        <is>
          <t>متوسط</t>
        </is>
      </c>
      <c r="D8" s="61" t="inlineStr">
        <is>
          <t>قفل عدم‌توازن فعال است و از پنل گزینهٔ «قطع خروجی هنگام قفل» روشن است؛ یک بار روی خروجی داری</t>
        </is>
      </c>
      <c r="E8" s="61" t="inlineStr">
        <is>
          <t>گام ۱: برق شهر را بکش.
گام ۲: بار را نگاه کن؛ نباید از این باتری روشن شود.
گام ۳: برق شهر را برگردان.</t>
        </is>
      </c>
      <c r="F8" s="63" t="inlineStr">
        <is>
          <t>قطع برق شهر در قفل با وتوی خروجی</t>
        </is>
      </c>
      <c r="G8" s="63" t="inlineStr">
        <is>
          <t>پنج دقیقه</t>
        </is>
      </c>
      <c r="H8" s="61" t="inlineStr">
        <is>
          <t>باتریِ قفل‌شده روی خروجی نمی‌آید و بار روشن نمی‌شود؛ با برگشت برق شهر کار عادی می‌شود</t>
        </is>
      </c>
      <c r="I8" s="61" t="inlineStr">
        <is>
          <t>وتو تا پاک‌شدن قفل</t>
        </is>
      </c>
      <c r="J8" s="61" t="inlineStr">
        <is>
          <t>باید ببینید: باتریِ قفل‌شده روی خروجی نمی‌آید و بار روشن نمی‌شود؛ با برگشت برق شهر کار عادی می‌شود. اگر بار از باتری قفل‌شده روشن شد، قبول نیست.</t>
        </is>
      </c>
      <c r="K8" s="61" t="inlineStr">
        <is>
          <t>در انتظار</t>
        </is>
      </c>
      <c r="L8" s="59" t="inlineStr">
        <is>
          <t>در انتظار</t>
        </is>
      </c>
      <c r="M8" s="61" t="n"/>
      <c r="N8" s="61" t="inlineStr">
        <is>
          <t>TESTER: fill</t>
        </is>
      </c>
      <c r="O8" s="63" t="inlineStr">
        <is>
          <t>TESTER: fill</t>
        </is>
      </c>
      <c r="P8" s="63" t="inlineStr">
        <is>
          <t>TESTER: fill</t>
        </is>
      </c>
      <c r="Q8" s="64">
        <f>IF(OR(L8="",L8="در انتظار"),"",IF(Q8="",TODAY(),Q8))</f>
        <v/>
      </c>
    </row>
    <row r="9" ht="54" customHeight="1">
      <c r="A9" s="55" t="inlineStr">
        <is>
          <t>IM-013</t>
        </is>
      </c>
      <c r="B9" s="56" t="inlineStr">
        <is>
          <t>ریست با تعویض باتری</t>
        </is>
      </c>
      <c r="C9" s="57" t="inlineStr">
        <is>
          <t>متوسط</t>
        </is>
      </c>
      <c r="D9" s="56" t="inlineStr">
        <is>
          <t>قفل عدم‌توازن فعال است و چراغ قرمز چشمک می‌زند</t>
        </is>
      </c>
      <c r="E9" s="56" t="inlineStr">
        <is>
          <t>گام ۱: هر دو باتری را با دو باتری سالم و هم‌شارژ عوض کن.
گام ۲: چند دقیقه صبر کن و چراغ‌ها را ببین.</t>
        </is>
      </c>
      <c r="F9" s="58" t="inlineStr">
        <is>
          <t>تعویض واقعی هر دو باتری</t>
        </is>
      </c>
      <c r="G9" s="58" t="inlineStr">
        <is>
          <t>ربع ساعت</t>
        </is>
      </c>
      <c r="H9" s="56" t="inlineStr">
        <is>
          <t>قفل خودش پاک می‌شود، چشمک قرمز می‌رود و رفتار عادی برمی‌گردد</t>
        </is>
      </c>
      <c r="I9" s="56" t="inlineStr">
        <is>
          <t>پاک‌شدن خودکار با تعویض</t>
        </is>
      </c>
      <c r="J9" s="56" t="inlineStr">
        <is>
          <t>باید ببینید: با تعویض باتری قفل خودش پاک می‌شود، چشمک قرمز می‌رود و رفتار عادی برمی‌گردد. اگر با باتری سالم قفل ماند، قبول نیست.</t>
        </is>
      </c>
      <c r="K9" s="56" t="inlineStr">
        <is>
          <t>در انتظار</t>
        </is>
      </c>
      <c r="L9" s="59" t="inlineStr">
        <is>
          <t>در انتظار</t>
        </is>
      </c>
      <c r="M9" s="56" t="n"/>
      <c r="N9" s="56" t="inlineStr">
        <is>
          <t>TESTER: fill</t>
        </is>
      </c>
      <c r="O9" s="58" t="inlineStr">
        <is>
          <t>TESTER: fill</t>
        </is>
      </c>
      <c r="P9" s="58" t="inlineStr">
        <is>
          <t>TESTER: fill</t>
        </is>
      </c>
      <c r="Q9" s="60">
        <f>IF(OR(L9="",L9="در انتظار"),"",IF(Q9="",TODAY(),Q9))</f>
        <v/>
      </c>
    </row>
    <row r="10" ht="54" customHeight="1">
      <c r="A10" s="55" t="inlineStr">
        <is>
          <t>IM-002</t>
        </is>
      </c>
      <c r="B10" s="61" t="inlineStr">
        <is>
          <t>گیت زمانی پس از شارژ</t>
        </is>
      </c>
      <c r="C10" s="62" t="inlineStr">
        <is>
          <t>متوسط</t>
        </is>
      </c>
      <c r="D10" s="61" t="inlineStr">
        <is>
          <t>باتری‌ها تازه شارژشان تمام شده است</t>
        </is>
      </c>
      <c r="E10" s="61" t="inlineStr">
        <is>
          <t>گام ۱: درست بعد از تمام‌شدن شارژ، یک باتری را کمی ضعیف کن (لامپ ۱۲ ولت).
گام ۲: در همان دقایق اول پنل را چک کن.</t>
        </is>
      </c>
      <c r="F10" s="63" t="inlineStr">
        <is>
          <t>اختلاف بلافاصله بعد از شارژ</t>
        </is>
      </c>
      <c r="G10" s="63" t="inlineStr">
        <is>
          <t>ربع ساعت</t>
        </is>
      </c>
      <c r="H10" s="61" t="inlineStr">
        <is>
          <t>درست بعد از شارژ رویداد حساب نمی‌شود؛ دستگاه اول فرصت استراحت و جاافتادن می‌دهد</t>
        </is>
      </c>
      <c r="I10" s="61" t="inlineStr">
        <is>
          <t>بدون رویداد زودهنگام</t>
        </is>
      </c>
      <c r="J10" s="61" t="inlineStr">
        <is>
          <t>باید ببینید: درست بعد از شارژ رویدادی حساب نمی‌شود و دستگاه اول فرصت استراحت می‌دهد. اگر فوری بعد از شارژ رویداد شمرد، قبول نیست.</t>
        </is>
      </c>
      <c r="K10" s="61" t="inlineStr">
        <is>
          <t>در انتظار</t>
        </is>
      </c>
      <c r="L10" s="59" t="inlineStr">
        <is>
          <t>در انتظار</t>
        </is>
      </c>
      <c r="M10" s="61" t="n"/>
      <c r="N10" s="61" t="inlineStr">
        <is>
          <t>TESTER: fill</t>
        </is>
      </c>
      <c r="O10" s="63" t="inlineStr">
        <is>
          <t>TESTER: fill</t>
        </is>
      </c>
      <c r="P10" s="63" t="inlineStr">
        <is>
          <t>TESTER: fill</t>
        </is>
      </c>
      <c r="Q10" s="64">
        <f>IF(OR(L10="",L10="در انتظار"),"",IF(Q10="",TODAY(),Q10))</f>
        <v/>
      </c>
    </row>
    <row r="11" ht="54" customHeight="1">
      <c r="A11" s="55" t="inlineStr">
        <is>
          <t>IM-004</t>
        </is>
      </c>
      <c r="B11" s="61" t="inlineStr">
        <is>
          <t>هیسترزیس پایان اپیزود</t>
        </is>
      </c>
      <c r="C11" s="62" t="inlineStr">
        <is>
          <t>متوسط</t>
        </is>
      </c>
      <c r="D11" s="61" t="inlineStr">
        <is>
          <t>یک اپیزود عدم‌توازن در جریان است (اختلاف دو باتری نزدیک مرز تمام‌شدن)</t>
        </is>
      </c>
      <c r="E11" s="61" t="inlineStr">
        <is>
          <t>گام ۱: اختلاف دو باتری را آرام کم کن (باتری ضعیف را کمی شارژ یا با سالم‌تر عوض کن).
گام ۲: بعد کمی دوباره اختلاف بساز و کم کن.
گام ۳: شمارنده و وضعیت اپیزود را در پنل نگاه کن.</t>
        </is>
      </c>
      <c r="F11" s="63" t="inlineStr">
        <is>
          <t>کم و زیاد کردن آرام اختلاف دور مرز پایان</t>
        </is>
      </c>
      <c r="G11" s="63" t="inlineStr">
        <is>
          <t>ربع ساعت</t>
        </is>
      </c>
      <c r="H11" s="61" t="inlineStr">
        <is>
          <t>اپیزود با هر تغییر کوچک باز و بسته نمی‌شود؛ پایانش تمیز و یک‌باره است</t>
        </is>
      </c>
      <c r="I11" s="61" t="inlineStr">
        <is>
          <t>پایان پایدار</t>
        </is>
      </c>
      <c r="J11" s="61" t="inlineStr">
        <is>
          <t>باید ببینید: اپیزود با هر تغییر کوچک باز و بسته نمی‌شود و پایانش تمیز و یک‌باره است. اگر تندتند باز و بسته شد، قبول نیست.</t>
        </is>
      </c>
      <c r="K11" s="61" t="inlineStr">
        <is>
          <t>در انتظار</t>
        </is>
      </c>
      <c r="L11" s="59" t="inlineStr">
        <is>
          <t>در انتظار</t>
        </is>
      </c>
      <c r="M11" s="61" t="n"/>
      <c r="N11" s="61" t="inlineStr">
        <is>
          <t>TESTER: fill</t>
        </is>
      </c>
      <c r="O11" s="63" t="inlineStr">
        <is>
          <t>TESTER: fill</t>
        </is>
      </c>
      <c r="P11" s="63" t="inlineStr">
        <is>
          <t>TESTER: fill</t>
        </is>
      </c>
      <c r="Q11" s="64">
        <f>IF(OR(L11="",L11="در انتظار"),"",IF(Q11="",TODAY(),Q11))</f>
        <v/>
      </c>
    </row>
    <row r="12" ht="54" customHeight="1">
      <c r="A12" s="55" t="inlineStr">
        <is>
          <t>IM-006</t>
        </is>
      </c>
      <c r="B12" s="61" t="inlineStr">
        <is>
          <t>ماندگاری شمارنده</t>
        </is>
      </c>
      <c r="C12" s="62" t="inlineStr">
        <is>
          <t>متوسط</t>
        </is>
      </c>
      <c r="D12" s="65" t="inlineStr">
        <is>
          <t>چند رویداد عدم‌توازن را با IM-001 ساخته‌ای و شمرده شده‌اند</t>
        </is>
      </c>
      <c r="E12" s="61" t="inlineStr">
        <is>
          <t>گام ۱: برق دستگاه را کامل قطع کن و یک دقیقه صبر کن.
گام ۲: دوباره روشن کن و شمارنده را در پنل بخوان.</t>
        </is>
      </c>
      <c r="F12" s="63" t="inlineStr">
        <is>
          <t>قطع و وصل کامل برق</t>
        </is>
      </c>
      <c r="G12" s="63" t="inlineStr">
        <is>
          <t>پنج دقیقه</t>
        </is>
      </c>
      <c r="H12" s="61" t="inlineStr">
        <is>
          <t>شمارندهٔ رویدادها بعد از روشن‌شدن سر جایش هست و از صفر شروع نشده</t>
        </is>
      </c>
      <c r="I12" s="61" t="inlineStr">
        <is>
          <t>ماندگار در قطع برق</t>
        </is>
      </c>
      <c r="J12" s="61" t="inlineStr">
        <is>
          <t>باید ببینید: شمارندهٔ رویدادها بعد از خاموش و روشن‌کردن سر جایش است و از صفر شروع نشده. اگر صفر شده بود، قبول نیست.</t>
        </is>
      </c>
      <c r="K12" s="61" t="inlineStr">
        <is>
          <t>در انتظار</t>
        </is>
      </c>
      <c r="L12" s="59" t="inlineStr">
        <is>
          <t>در انتظار</t>
        </is>
      </c>
      <c r="M12" s="61" t="n"/>
      <c r="N12" s="61" t="inlineStr">
        <is>
          <t>TESTER: fill</t>
        </is>
      </c>
      <c r="O12" s="63" t="inlineStr">
        <is>
          <t>TESTER: fill</t>
        </is>
      </c>
      <c r="P12" s="63" t="inlineStr">
        <is>
          <t>TESTER: fill</t>
        </is>
      </c>
      <c r="Q12" s="64">
        <f>IF(OR(L12="",L12="در انتظار"),"",IF(Q12="",TODAY(),Q12))</f>
        <v/>
      </c>
    </row>
    <row r="13" ht="54" customHeight="1">
      <c r="A13" s="55" t="inlineStr">
        <is>
          <t>IM-009</t>
        </is>
      </c>
      <c r="B13" s="56" t="inlineStr">
        <is>
          <t>بوق ساعتی</t>
        </is>
      </c>
      <c r="C13" s="58" t="inlineStr">
        <is>
          <t>متوسط</t>
        </is>
      </c>
      <c r="D13" s="66" t="inlineStr">
        <is>
          <t>قفل عدم‌توازن فعال است (IM-007)؛ از پنل دورهٔ بوق قفل را موقتاً کوتاه کرده‌ای</t>
        </is>
      </c>
      <c r="E13" s="56" t="inlineStr">
        <is>
          <t>گام ۱: با کرنومتر صبر کن تا وقت بوق برسد.
گام ۲: به بوق و چراغ قرمز دقت کن.
گام ۳: دورهٔ بوق را به مقدار واقعی برگردان.</t>
        </is>
      </c>
      <c r="F13" s="58" t="inlineStr">
        <is>
          <t>قفل فعال با دورهٔ بوق کوتاه‌شده</t>
        </is>
      </c>
      <c r="G13" s="58" t="inlineStr">
        <is>
          <t>چند دقیقه</t>
        </is>
      </c>
      <c r="H13" s="56" t="inlineStr">
        <is>
          <t>سر وقت، یک بوق کوتاه می‌آید و قرمز همچنان چشمک می‌زند</t>
        </is>
      </c>
      <c r="I13" s="56" t="inlineStr">
        <is>
          <t>بوق دوره‌ای در قفل</t>
        </is>
      </c>
      <c r="J13" s="56" t="inlineStr">
        <is>
          <t>باید بشنوید و ببینید: سر وقت یک بوق کوتاه می‌آید و قرمز همچنان چشمک می‌زند. اگر بوق نیامد یا به‌هم‌ریخته بود، قبول نیست.</t>
        </is>
      </c>
      <c r="K13" s="56" t="inlineStr">
        <is>
          <t>در انتظار</t>
        </is>
      </c>
      <c r="L13" s="59" t="inlineStr">
        <is>
          <t>در انتظار</t>
        </is>
      </c>
      <c r="M13" s="56" t="n"/>
      <c r="N13" s="56" t="inlineStr">
        <is>
          <t>TESTER: fill</t>
        </is>
      </c>
      <c r="O13" s="58" t="inlineStr">
        <is>
          <t>TESTER: fill</t>
        </is>
      </c>
      <c r="P13" s="58" t="inlineStr">
        <is>
          <t>TESTER: fill</t>
        </is>
      </c>
      <c r="Q13" s="60">
        <f>IF(OR(L13="",L13="در انتظار"),"",IF(Q13="",TODAY(),Q13))</f>
        <v/>
      </c>
    </row>
    <row r="14" ht="54" customHeight="1">
      <c r="A14" s="55" t="inlineStr">
        <is>
          <t>IM-011</t>
        </is>
      </c>
      <c r="B14" s="56" t="inlineStr">
        <is>
          <t>برداشتن تیک ۱۱۷</t>
        </is>
      </c>
      <c r="C14" s="58" t="inlineStr">
        <is>
          <t>متوسط</t>
        </is>
      </c>
      <c r="D14" s="56" t="inlineStr">
        <is>
          <t>قفل عدم‌توازن فعال است؛ گزینهٔ قطع خروجی را از پنل خاموش می‌کنی</t>
        </is>
      </c>
      <c r="E14" s="56" t="inlineStr">
        <is>
          <t>گام ۱: تیک قطع خروجی را از پنل بردار.
گام ۲: برق شهر را بکش و بار را نگاه کن.</t>
        </is>
      </c>
      <c r="F14" s="58" t="inlineStr">
        <is>
          <t>برداشتن تیک قطع خروجی در قفل</t>
        </is>
      </c>
      <c r="G14" s="58" t="inlineStr">
        <is>
          <t>پنج دقیقه</t>
        </is>
      </c>
      <c r="H14" s="56" t="inlineStr">
        <is>
          <t>این بار باتری روی خروجی می‌آید و بار کار می‌کند، هرچند قفل هنوز هست</t>
        </is>
      </c>
      <c r="I14" s="56" t="inlineStr">
        <is>
          <t>وتو تابع تیک پنل</t>
        </is>
      </c>
      <c r="J14" s="56" t="inlineStr">
        <is>
          <t>باید ببینید: با برداشتن تیک، باتری روی خروجی می‌آید و بار کار می‌کند هرچند قفل هنوز هست. اگر وتو همیشگی ماند، قبول نیست.</t>
        </is>
      </c>
      <c r="K14" s="56" t="inlineStr">
        <is>
          <t>در انتظار</t>
        </is>
      </c>
      <c r="L14" s="59" t="inlineStr">
        <is>
          <t>در انتظار</t>
        </is>
      </c>
      <c r="M14" s="56" t="n"/>
      <c r="N14" s="56" t="inlineStr">
        <is>
          <t>TESTER: fill</t>
        </is>
      </c>
      <c r="O14" s="58" t="inlineStr">
        <is>
          <t>TESTER: fill</t>
        </is>
      </c>
      <c r="P14" s="58" t="inlineStr">
        <is>
          <t>TESTER: fill</t>
        </is>
      </c>
      <c r="Q14" s="60">
        <f>IF(OR(L14="",L14="در انتظار"),"",IF(Q14="",TODAY(),Q14))</f>
        <v/>
      </c>
    </row>
    <row r="15" ht="54" customHeight="1">
      <c r="A15" s="55" t="inlineStr">
        <is>
          <t>IM-012</t>
        </is>
      </c>
      <c r="B15" s="61" t="inlineStr">
        <is>
          <t>بودجهٔ سیکل شارژ</t>
        </is>
      </c>
      <c r="C15" s="62" t="inlineStr">
        <is>
          <t>متوسط</t>
        </is>
      </c>
      <c r="D15" s="61" t="inlineStr">
        <is>
          <t>قفل عدم‌توازن فعال است و شارژ باتری قفل‌شده هنوز اجازه دارد</t>
        </is>
      </c>
      <c r="E15" s="61" t="inlineStr">
        <is>
          <t>گام ۱: چند چرخهٔ شارژ کامل روی همان باتری انجام بده.
گام ۲: بعد از هر چرخه ببین شارژ هنوز شروع می‌شود یا نه.</t>
        </is>
      </c>
      <c r="F15" s="63" t="inlineStr">
        <is>
          <t>چند چرخهٔ شارژ پشت سر هم در قفل</t>
        </is>
      </c>
      <c r="G15" s="63" t="inlineStr">
        <is>
          <t>چند چرخهٔ شارژ</t>
        </is>
      </c>
      <c r="H15" s="61" t="inlineStr">
        <is>
          <t>بعد از تمام‌شدن بودجهٔ چرخه‌های مجاز، شارژ آن باتری هم دیگر شروع نمی‌شود</t>
        </is>
      </c>
      <c r="I15" s="61" t="inlineStr">
        <is>
          <t>توقف شارژ بعد از بودجه</t>
        </is>
      </c>
      <c r="J15" s="61" t="inlineStr">
        <is>
          <t>باید ببینید: بعد از تمام‌شدن چرخه‌های مجاز، شارژ آن باتری دیگر شروع نمی‌شود. اگر بی‌نهایت شارژ شد، قبول نیست.</t>
        </is>
      </c>
      <c r="K15" s="61" t="inlineStr">
        <is>
          <t>در انتظار</t>
        </is>
      </c>
      <c r="L15" s="59" t="inlineStr">
        <is>
          <t>در انتظار</t>
        </is>
      </c>
      <c r="M15" s="61" t="n"/>
      <c r="N15" s="61" t="inlineStr">
        <is>
          <t>TESTER: fill</t>
        </is>
      </c>
      <c r="O15" s="63" t="inlineStr">
        <is>
          <t>TESTER: fill</t>
        </is>
      </c>
      <c r="P15" s="63" t="inlineStr">
        <is>
          <t>TESTER: fill</t>
        </is>
      </c>
      <c r="Q15" s="64">
        <f>IF(OR(L15="",L15="در انتظار"),"",IF(Q15="",TODAY(),Q15))</f>
        <v/>
      </c>
    </row>
    <row r="16" ht="54" customHeight="1">
      <c r="A16" s="55" t="inlineStr">
        <is>
          <t>IM-014</t>
        </is>
      </c>
      <c r="B16" s="61" t="inlineStr">
        <is>
          <t>جدا شدن کوتاه</t>
        </is>
      </c>
      <c r="C16" s="63" t="inlineStr">
        <is>
          <t>متوسط</t>
        </is>
      </c>
      <c r="D16" s="61" t="inlineStr">
        <is>
          <t>قفل عدم‌توازن فعال است</t>
        </is>
      </c>
      <c r="E16" s="65" t="inlineStr">
        <is>
          <t>گام ۱: باتری‌ها را فقط چند ثانیه جدا کن و سریع وصل کن.
گام ۲: چراغ‌ها را ببین؛ قفل باید سر جایش باشد.
گام ۳: حالا تعویض واقعی (IM-013) انجام بده و تفاوت را ببین.</t>
        </is>
      </c>
      <c r="F16" s="63" t="inlineStr">
        <is>
          <t>جدا کردن کوتاه در برابر تعویض واقعی</t>
        </is>
      </c>
      <c r="G16" s="63" t="inlineStr">
        <is>
          <t>ربع ساعت</t>
        </is>
      </c>
      <c r="H16" s="61" t="inlineStr">
        <is>
          <t>قطع چندثانیه‌ای قفل را پاک نمی‌کند؛ فقط تعویض واقعی پاکش می‌کند</t>
        </is>
      </c>
      <c r="I16" s="61" t="inlineStr">
        <is>
          <t>قفل در برابر قطع کوتاه مقاوم</t>
        </is>
      </c>
      <c r="J16" s="61" t="inlineStr">
        <is>
          <t>باید ببینید: قطع چندثانیه‌ای قفل را پاک نمی‌کند؛ فقط تعویض واقعی پاکش می‌کند. اگر با قطع کوتاه پاک شد، قبول نیست.</t>
        </is>
      </c>
      <c r="K16" s="61" t="inlineStr">
        <is>
          <t>در انتظار</t>
        </is>
      </c>
      <c r="L16" s="59" t="inlineStr">
        <is>
          <t>در انتظار</t>
        </is>
      </c>
      <c r="M16" s="61" t="n"/>
      <c r="N16" s="61" t="inlineStr">
        <is>
          <t>TESTER: fill</t>
        </is>
      </c>
      <c r="O16" s="63" t="inlineStr">
        <is>
          <t>TESTER: fill</t>
        </is>
      </c>
      <c r="P16" s="63" t="inlineStr">
        <is>
          <t>TESTER: fill</t>
        </is>
      </c>
      <c r="Q16" s="64">
        <f>IF(OR(L16="",L16="در انتظار"),"",IF(Q16="",TODAY(),Q16))</f>
        <v/>
      </c>
    </row>
    <row r="17" ht="54" customHeight="1">
      <c r="A17" s="55" t="inlineStr">
        <is>
          <t>IM-016</t>
        </is>
      </c>
      <c r="B17" s="61" t="inlineStr">
        <is>
          <t>ماندگاری تنظیم‌ها پس از قطع برق</t>
        </is>
      </c>
      <c r="C17" s="62" t="inlineStr">
        <is>
          <t>متوسط</t>
        </is>
      </c>
      <c r="D17" s="61" t="inlineStr">
        <is>
          <t>پنل باز است</t>
        </is>
      </c>
      <c r="E17" s="61" t="inlineStr">
        <is>
          <t>گام ۱: یک تنظیم عدم‌توازن را از پنل عوض کن (مثلاً اختلاف مجاز).
گام ۲: برق دستگاه را کامل قطع و دوباره وصل کن.
گام ۳: تنظیم را از پنل دوباره بخوان.</t>
        </is>
      </c>
      <c r="F17" s="63" t="inlineStr">
        <is>
          <t>تغییر تنظیم و قطع‌ووصل برق</t>
        </is>
      </c>
      <c r="G17" s="63" t="inlineStr">
        <is>
          <t>پنج دقیقه</t>
        </is>
      </c>
      <c r="H17" s="61" t="inlineStr">
        <is>
          <t>همان تنظیم تازه بعد از روشن‌شدن سر جاست</t>
        </is>
      </c>
      <c r="I17" s="61" t="inlineStr">
        <is>
          <t>ماندگار در قطع برق</t>
        </is>
      </c>
      <c r="J17" s="61" t="inlineStr">
        <is>
          <t>باید ببینید: همان تنظیم تازه بعد از خاموش و روشن‌کردن سر جاست. اگر به مقدار قبلی برگشت، قبول نیست.</t>
        </is>
      </c>
      <c r="K17" s="61" t="inlineStr">
        <is>
          <t>در انتظار</t>
        </is>
      </c>
      <c r="L17" s="59" t="inlineStr">
        <is>
          <t>در انتظار</t>
        </is>
      </c>
      <c r="M17" s="65" t="inlineStr">
        <is>
          <t>ایراد ممیزی ۲۰۲۶-۱۰-۰۶ (DEF-IM-001) — رگرسیون هاست در host_test_imbalance.c پوشش داده شد</t>
        </is>
      </c>
      <c r="N17" s="61" t="inlineStr">
        <is>
          <t>TESTER: fill</t>
        </is>
      </c>
      <c r="O17" s="63" t="inlineStr">
        <is>
          <t>TESTER: fill</t>
        </is>
      </c>
      <c r="P17" s="63" t="inlineStr">
        <is>
          <t>TESTER: fill</t>
        </is>
      </c>
      <c r="Q17" s="64">
        <f>IF(OR(L17="",L17="در انتظار"),"",IF(Q17="",TODAY(),Q17))</f>
        <v/>
      </c>
    </row>
    <row r="18" ht="54" customHeight="1">
      <c r="A18" s="55" t="inlineStr">
        <is>
          <t>IM-017</t>
        </is>
      </c>
      <c r="B18" s="56" t="inlineStr">
        <is>
          <t>ماندگاری شمارنده و قفل پس از قطع برق</t>
        </is>
      </c>
      <c r="C18" s="57" t="inlineStr">
        <is>
          <t>متوسط</t>
        </is>
      </c>
      <c r="D18" s="56" t="inlineStr">
        <is>
          <t>قفل عدم‌توازن فعال و شمارنده چند رویداد دارد</t>
        </is>
      </c>
      <c r="E18" s="56" t="inlineStr">
        <is>
          <t>گام ۱: برق دستگاه را کامل قطع کن و یک دقیقه صبر کن.
گام ۲: روشن کن و چراغ‌ها و شمارنده را چک کن.</t>
        </is>
      </c>
      <c r="F18" s="58" t="inlineStr">
        <is>
          <t>قطع و وصل برق در قفل</t>
        </is>
      </c>
      <c r="G18" s="58" t="inlineStr">
        <is>
          <t>پنج دقیقه</t>
        </is>
      </c>
      <c r="H18" s="56" t="inlineStr">
        <is>
          <t>قفل و شمارنده بعد از روشن‌شدن دقیقاً سر جایشان‌اند</t>
        </is>
      </c>
      <c r="I18" s="56" t="inlineStr">
        <is>
          <t>ماندگار در قطع برق</t>
        </is>
      </c>
      <c r="J18" s="56" t="inlineStr">
        <is>
          <t>باید ببینید: قفل و شمارنده بعد از خاموش و روشن‌کردن دقیقاً سر جایشان‌اند. اگر با قطع برق پاک شدند، قبول نیست.</t>
        </is>
      </c>
      <c r="K18" s="56" t="inlineStr">
        <is>
          <t>در انتظار</t>
        </is>
      </c>
      <c r="L18" s="59" t="inlineStr">
        <is>
          <t>در انتظار</t>
        </is>
      </c>
      <c r="M18" s="56" t="inlineStr">
        <is>
          <t>'برنامه تست'!A5</t>
        </is>
      </c>
      <c r="N18" s="56" t="inlineStr">
        <is>
          <t>TESTER: fill</t>
        </is>
      </c>
      <c r="O18" s="58" t="inlineStr">
        <is>
          <t>TESTER: fill</t>
        </is>
      </c>
      <c r="P18" s="58" t="inlineStr">
        <is>
          <t>TESTER: fill</t>
        </is>
      </c>
      <c r="Q18" s="60">
        <f>IF(OR(L18="",L18="در انتظار"),"",IF(Q18="",TODAY(),Q18))</f>
        <v/>
      </c>
    </row>
    <row r="19" ht="40.5" customHeight="1">
      <c r="A19" s="55" t="inlineStr">
        <is>
          <t>IM-005</t>
        </is>
      </c>
      <c r="B19" s="56" t="inlineStr">
        <is>
          <t>نوسان دور حد</t>
        </is>
      </c>
      <c r="C19" s="58" t="inlineStr">
        <is>
          <t>پایین</t>
        </is>
      </c>
      <c r="D19" s="56" t="inlineStr">
        <is>
          <t>به‌جای یک باتری منبع آزمایشگاهی گذاشته‌ای تا ولتاژش را بازی بدهی</t>
        </is>
      </c>
      <c r="E19" s="56" t="inlineStr">
        <is>
          <t>گام ۱: ولتاژ منبع را دور مرز اختلاف مجاز، کم‌کم بالا و پایین کن.
گام ۲: شمارندهٔ رویداد را در پنل زیر نظر بگیر.</t>
        </is>
      </c>
      <c r="F19" s="58" t="inlineStr">
        <is>
          <t>نوسان ولتاژ یک نیم دور مرز</t>
        </is>
      </c>
      <c r="G19" s="58" t="inlineStr">
        <is>
          <t>ربع ساعت</t>
        </is>
      </c>
      <c r="H19" s="56" t="inlineStr">
        <is>
          <t>با نوسان‌های کوچک شمارنده بالا نمی‌رود؛ فقط اختلاف واقعی و ماندگار شمرده می‌شود</t>
        </is>
      </c>
      <c r="I19" s="56" t="inlineStr">
        <is>
          <t>بدون رویداد کاذب</t>
        </is>
      </c>
      <c r="J19" s="56" t="inlineStr">
        <is>
          <t>باید ببینید: با نوسان‌های کوچک شمارنده بالا نمی‌رود و فقط اختلاف واقعی و ماندگار شمرده می‌شود. اگر با هر نوسان شمرد، قبول نیست.</t>
        </is>
      </c>
      <c r="K19" s="56" t="inlineStr">
        <is>
          <t>در انتظار</t>
        </is>
      </c>
      <c r="L19" s="59" t="inlineStr">
        <is>
          <t>در انتظار</t>
        </is>
      </c>
      <c r="M19" s="56" t="n"/>
      <c r="N19" s="56" t="inlineStr">
        <is>
          <t>TESTER: fill</t>
        </is>
      </c>
      <c r="O19" s="58" t="inlineStr">
        <is>
          <t>TESTER: fill</t>
        </is>
      </c>
      <c r="P19" s="58" t="inlineStr">
        <is>
          <t>TESTER: fill</t>
        </is>
      </c>
      <c r="Q19" s="60">
        <f>IF(OR(L19="",L19="در انتظار"),"",IF(Q19="",TODAY(),Q19))</f>
        <v/>
      </c>
    </row>
    <row r="20" ht="54" customHeight="1">
      <c r="A20" s="55" t="inlineStr">
        <is>
          <t>IM-015</t>
        </is>
      </c>
      <c r="B20" s="56" t="inlineStr">
        <is>
          <t>بازهٔ پارامترها</t>
        </is>
      </c>
      <c r="C20" s="58" t="inlineStr">
        <is>
          <t>پایین</t>
        </is>
      </c>
      <c r="D20" s="56" t="inlineStr">
        <is>
          <t>پنل باز است و تنظیم‌های عدم‌توازن را می‌بینی</t>
        </is>
      </c>
      <c r="E20" s="56" t="inlineStr">
        <is>
          <t>گام ۱: از پنل یک حدّ ناممکن بفرست (مثلاً اختلاف مجاز خیلی بزرگ یا منفیِ معادل).
گام ۲: مقدار ذخیره‌شده را دوباره از پنل بخوان.</t>
        </is>
      </c>
      <c r="F20" s="58" t="inlineStr">
        <is>
          <t>فرستادن مقدار بیرون بازه از پنل</t>
        </is>
      </c>
      <c r="G20" s="58" t="inlineStr">
        <is>
          <t>پنج دقیقه</t>
        </is>
      </c>
      <c r="H20" s="56" t="inlineStr">
        <is>
          <t>دستگاه مقدار خراب را قبول نمی‌کند و مقدار درست قبلی سر جایش می‌ماند</t>
        </is>
      </c>
      <c r="I20" s="56" t="inlineStr">
        <is>
          <t>حفظ مقدار قبلی</t>
        </is>
      </c>
      <c r="J20" s="56" t="inlineStr">
        <is>
          <t>باید ببینید: دستگاه مقدار خراب را قبول نمی‌کند و مقدار درست قبلی سر جایش می‌ماند. اگر مقدار ناممکن ذخیره شد، قبول نیست.</t>
        </is>
      </c>
      <c r="K20" s="56" t="inlineStr">
        <is>
          <t>در انتظار</t>
        </is>
      </c>
      <c r="L20" s="59" t="inlineStr">
        <is>
          <t>در انتظار</t>
        </is>
      </c>
      <c r="M20" s="56" t="n"/>
      <c r="N20" s="56" t="inlineStr">
        <is>
          <t>TESTER: fill</t>
        </is>
      </c>
      <c r="O20" s="58" t="inlineStr">
        <is>
          <t>TESTER: fill</t>
        </is>
      </c>
      <c r="P20" s="58" t="inlineStr">
        <is>
          <t>TESTER: fill</t>
        </is>
      </c>
      <c r="Q20" s="60">
        <f>IF(OR(L20="",L20="در انتظار"),"",IF(Q20="",TODAY(),Q20))</f>
        <v/>
      </c>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s="77" t="n"/>
      <c r="B53" s="77" t="n"/>
      <c r="C53" s="77" t="n"/>
      <c r="D53" s="77" t="n"/>
      <c r="E53" s="77" t="n"/>
      <c r="F53" s="77" t="n"/>
      <c r="G53" s="77" t="n"/>
      <c r="H53" s="77" t="n"/>
      <c r="I53" s="77" t="n"/>
      <c r="J53" s="77" t="n"/>
      <c r="K53" s="77" t="n"/>
      <c r="L53" s="77" t="n"/>
      <c r="M53" s="77" t="n"/>
      <c r="N53" s="77" t="n"/>
      <c r="O53" s="77" t="n"/>
      <c r="P53" s="77" t="n"/>
      <c r="Q53" s="78" t="n"/>
    </row>
    <row r="54">
      <c r="A54" s="77" t="n"/>
      <c r="B54" s="77" t="n"/>
      <c r="C54" s="77" t="n"/>
      <c r="D54" s="77" t="n"/>
      <c r="E54" s="77" t="n"/>
      <c r="F54" s="77" t="n"/>
      <c r="G54" s="77" t="n"/>
      <c r="H54" s="77" t="n"/>
      <c r="I54" s="77" t="n"/>
      <c r="J54" s="77" t="n"/>
      <c r="K54" s="77" t="n"/>
      <c r="L54" s="77" t="n"/>
      <c r="M54" s="77" t="n"/>
      <c r="N54" s="77" t="n"/>
      <c r="O54" s="77" t="n"/>
      <c r="P54" s="77" t="n"/>
      <c r="Q54" s="78" t="n"/>
    </row>
    <row r="55">
      <c r="A55" s="77" t="n"/>
      <c r="B55" s="77" t="n"/>
      <c r="C55" s="77" t="n"/>
      <c r="D55" s="77" t="n"/>
      <c r="E55" s="77" t="n"/>
      <c r="F55" s="77" t="n"/>
      <c r="G55" s="77" t="n"/>
      <c r="H55" s="77" t="n"/>
      <c r="I55" s="77" t="n"/>
      <c r="J55" s="77" t="n"/>
      <c r="K55" s="77" t="n"/>
      <c r="L55" s="77" t="n"/>
      <c r="M55" s="77" t="n"/>
      <c r="N55" s="77" t="n"/>
      <c r="O55" s="77" t="n"/>
      <c r="P55" s="77" t="n"/>
      <c r="Q55" s="78" t="n"/>
    </row>
    <row r="56">
      <c r="A56" s="77" t="n"/>
      <c r="B56" s="77" t="n"/>
      <c r="C56" s="77" t="n"/>
      <c r="D56" s="77" t="n"/>
      <c r="E56" s="77" t="n"/>
      <c r="F56" s="77" t="n"/>
      <c r="G56" s="77" t="n"/>
      <c r="H56" s="77" t="n"/>
      <c r="I56" s="77" t="n"/>
      <c r="J56" s="77" t="n"/>
      <c r="K56" s="77" t="n"/>
      <c r="L56" s="77" t="n"/>
      <c r="M56" s="77" t="n"/>
      <c r="N56" s="77" t="n"/>
      <c r="O56" s="77" t="n"/>
      <c r="P56" s="77" t="n"/>
      <c r="Q56" s="78" t="n"/>
    </row>
    <row r="57">
      <c r="A57" s="77" t="n"/>
      <c r="B57" s="77" t="n"/>
      <c r="C57" s="77" t="n"/>
      <c r="D57" s="77" t="n"/>
      <c r="E57" s="77" t="n"/>
      <c r="F57" s="77" t="n"/>
      <c r="G57" s="77" t="n"/>
      <c r="H57" s="77" t="n"/>
      <c r="I57" s="77" t="n"/>
      <c r="J57" s="77" t="n"/>
      <c r="K57" s="77" t="n"/>
      <c r="L57" s="77" t="n"/>
      <c r="M57" s="77" t="n"/>
      <c r="N57" s="77" t="n"/>
      <c r="O57" s="77" t="n"/>
      <c r="P57" s="77" t="n"/>
      <c r="Q57" s="78" t="n"/>
    </row>
    <row r="58">
      <c r="A58" s="77" t="n"/>
      <c r="B58" s="77" t="n"/>
      <c r="C58" s="77" t="n"/>
      <c r="D58" s="77" t="n"/>
      <c r="E58" s="77" t="n"/>
      <c r="F58" s="77" t="n"/>
      <c r="G58" s="77" t="n"/>
      <c r="H58" s="77" t="n"/>
      <c r="I58" s="77" t="n"/>
      <c r="J58" s="77" t="n"/>
      <c r="K58" s="77" t="n"/>
      <c r="L58" s="77" t="n"/>
      <c r="M58" s="77" t="n"/>
      <c r="N58" s="77" t="n"/>
      <c r="O58" s="77" t="n"/>
      <c r="P58" s="77" t="n"/>
      <c r="Q58" s="78" t="n"/>
    </row>
    <row r="59">
      <c r="A59" s="77" t="n"/>
      <c r="B59" s="77" t="n"/>
      <c r="C59" s="77" t="n"/>
      <c r="D59" s="77" t="n"/>
      <c r="E59" s="77" t="n"/>
      <c r="F59" s="77" t="n"/>
      <c r="G59" s="77" t="n"/>
      <c r="H59" s="77" t="n"/>
      <c r="I59" s="77" t="n"/>
      <c r="J59" s="77" t="n"/>
      <c r="K59" s="77" t="n"/>
      <c r="L59" s="77" t="n"/>
      <c r="M59" s="77" t="n"/>
      <c r="N59" s="77" t="n"/>
      <c r="O59" s="77" t="n"/>
      <c r="P59" s="77" t="n"/>
      <c r="Q59" s="78" t="n"/>
    </row>
    <row r="60">
      <c r="A60" s="77" t="n"/>
      <c r="B60" s="77" t="n"/>
      <c r="C60" s="77" t="n"/>
      <c r="D60" s="77" t="n"/>
      <c r="E60" s="77" t="n"/>
      <c r="F60" s="77" t="n"/>
      <c r="G60" s="77" t="n"/>
      <c r="H60" s="77" t="n"/>
      <c r="I60" s="77" t="n"/>
      <c r="J60" s="77" t="n"/>
      <c r="K60" s="77" t="n"/>
      <c r="L60" s="77" t="n"/>
      <c r="M60" s="77" t="n"/>
      <c r="N60" s="77" t="n"/>
      <c r="O60" s="77" t="n"/>
      <c r="P60" s="77" t="n"/>
      <c r="Q60" s="78" t="n"/>
    </row>
  </sheetData>
  <autoFilter ref="A4:Q60"/>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hyperlinks>
    <hyperlink ref="E7" location="'برنامه تست'!A5"/>
    <hyperlink ref="D12" location="'برنامه تست'!A5"/>
    <hyperlink ref="D13" location="'برنامه تست'!A7"/>
    <hyperlink ref="E16" location="'برنامه تست'!A9"/>
    <hyperlink ref="M17" location="'برنامه تست'!A5"/>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تست‌های آزمایشگاهی (پایه، اسیلوسکوپ و زمان‌بندی دقیق — جدا از تست عملی)</t>
        </is>
      </c>
      <c r="B1" s="53" t="n"/>
      <c r="C1" s="53" t="n"/>
      <c r="D1" s="53" t="n"/>
      <c r="E1" s="53" t="n"/>
      <c r="F1" s="53" t="n"/>
      <c r="G1" s="53" t="n"/>
      <c r="H1" s="53" t="n"/>
      <c r="I1" s="53" t="n"/>
      <c r="J1" s="53" t="n"/>
      <c r="K1" s="53" t="n"/>
      <c r="L1" s="53" t="n"/>
      <c r="M1" s="53" t="n"/>
      <c r="N1" s="53" t="n"/>
      <c r="O1" s="53" t="n"/>
      <c r="P1" s="53" t="n"/>
      <c r="Q1" s="53"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3" t="n"/>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54" customHeight="1">
      <c r="A5" s="55" t="inlineStr">
        <is>
          <t>IM-008</t>
        </is>
      </c>
      <c r="B5" s="61" t="inlineStr">
        <is>
          <t>چشمک قفل</t>
        </is>
      </c>
      <c r="C5" s="63" t="inlineStr">
        <is>
          <t>متوسط</t>
        </is>
      </c>
      <c r="D5" s="61" t="inlineStr">
        <is>
          <t>قفل فعال</t>
        </is>
      </c>
      <c r="E5" s="65" t="inlineStr">
        <is>
          <t>گام ۱: قفل را فعال نگه دار (IM-007).
گام ۲: پارامتر 123 (دورهٔ چشمک) را 1000 میلی‌ثانیه و پارامتر 124 (سهم روشنی) را 50 درصد بگذار.
گام ۳: با کرنومتر یا اسیلوسکوپ یک دورهٔ کامل چشمک قرمز را اندازه بگیر و مدت روشنی را هم بخوان.
گام ۴: در 60 ثانیه چند دوره را چک کن: دوره باید 1000 میلی‌ثانیه و روشنی 50 درصد باشد، با خطای حداکثر ±5 درصد.</t>
        </is>
      </c>
      <c r="F5" s="63" t="inlineStr">
        <is>
          <t>۱۰۰۰ms و ۵۰٪</t>
        </is>
      </c>
      <c r="G5" s="63" t="inlineStr">
        <is>
          <t>۶۰ ثانیه</t>
        </is>
      </c>
      <c r="H5" s="61" t="inlineStr">
        <is>
          <t>چشمک قرمز با همان دوره و duty</t>
        </is>
      </c>
      <c r="I5" s="61" t="inlineStr">
        <is>
          <t>پایدار</t>
        </is>
      </c>
      <c r="J5" s="61" t="inlineStr">
        <is>
          <t>اندازه‌گیری با کرنومتر یا اسیلوسکوپ در ±۵٪</t>
        </is>
      </c>
      <c r="K5" s="61" t="inlineStr">
        <is>
          <t>در انتظار</t>
        </is>
      </c>
      <c r="L5" s="59" t="inlineStr">
        <is>
          <t>در انتظار</t>
        </is>
      </c>
      <c r="M5" s="61" t="n"/>
      <c r="N5" s="61" t="inlineStr">
        <is>
          <t>TESTER: fill</t>
        </is>
      </c>
      <c r="O5" s="63" t="inlineStr">
        <is>
          <t>TESTER: fill</t>
        </is>
      </c>
      <c r="P5" s="63" t="inlineStr">
        <is>
          <t>TESTER: fill</t>
        </is>
      </c>
      <c r="Q5" s="64" t="inlineStr">
        <is>
          <t>2026-10-05</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hyperlinks>
    <hyperlink ref="E5" location="'برنامه تست'!A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2" t="inlineStr">
        <is>
          <t>تست‌های برنامه‌نویسی و هاست (جدا از ولیدیشن عملی برد)</t>
        </is>
      </c>
      <c r="B1" s="53" t="n"/>
      <c r="C1" s="53" t="n"/>
      <c r="D1" s="53" t="n"/>
      <c r="E1" s="53" t="n"/>
      <c r="F1" s="53" t="n"/>
      <c r="G1" s="53" t="n"/>
      <c r="H1" s="53" t="n"/>
      <c r="I1" s="53" t="n"/>
      <c r="J1" s="53" t="n"/>
      <c r="K1" s="53" t="n"/>
      <c r="L1" s="53" t="n"/>
      <c r="M1" s="53" t="n"/>
      <c r="N1" s="53" t="n"/>
      <c r="O1" s="53" t="n"/>
      <c r="P1" s="53" t="n"/>
      <c r="Q1" s="53" t="n"/>
    </row>
    <row r="2" ht="42" customHeight="1">
      <c r="A2" s="53"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48" t="inlineStr">
        <is>
          <t>شناسه</t>
        </is>
      </c>
      <c r="B4" s="48" t="inlineStr">
        <is>
          <t>دسته</t>
        </is>
      </c>
      <c r="C4" s="48" t="inlineStr">
        <is>
          <t>اولویت</t>
        </is>
      </c>
      <c r="D4" s="48" t="inlineStr">
        <is>
          <t>پیش‌شرط</t>
        </is>
      </c>
      <c r="E4" s="48" t="inlineStr">
        <is>
          <t>روش اجرای دقیق</t>
        </is>
      </c>
      <c r="F4" s="48" t="inlineStr">
        <is>
          <t>ورودی‌ها / شرایط</t>
        </is>
      </c>
      <c r="G4" s="48" t="inlineStr">
        <is>
          <t>مدت مشاهده</t>
        </is>
      </c>
      <c r="H4" s="48" t="inlineStr">
        <is>
          <t>رفتار مورد انتظار</t>
        </is>
      </c>
      <c r="I4" s="48" t="inlineStr">
        <is>
          <t>وضعیت حفظ / latch</t>
        </is>
      </c>
      <c r="J4" s="48" t="inlineStr">
        <is>
          <t>معیار قبولی</t>
        </is>
      </c>
      <c r="K4" s="48" t="inlineStr">
        <is>
          <t>نتیجهٔ واقعی / اندازه‌گیری</t>
        </is>
      </c>
      <c r="L4" s="48" t="inlineStr">
        <is>
          <t>وضعیت</t>
        </is>
      </c>
      <c r="M4" s="48" t="inlineStr">
        <is>
          <t>شرح ایراد / تفاوت</t>
        </is>
      </c>
      <c r="N4" s="48" t="inlineStr">
        <is>
          <t>مدرک تست / scope</t>
        </is>
      </c>
      <c r="O4" s="48" t="inlineStr">
        <is>
          <t>commit</t>
        </is>
      </c>
      <c r="P4" s="48" t="inlineStr">
        <is>
          <t>نام تست‌کننده</t>
        </is>
      </c>
      <c r="Q4" s="48" t="inlineStr">
        <is>
          <t>تاریخ</t>
        </is>
      </c>
    </row>
    <row r="5" ht="40.5" customHeight="1">
      <c r="A5" s="55" t="inlineStr">
        <is>
          <t>IM-020</t>
        </is>
      </c>
      <c r="B5" s="61" t="inlineStr">
        <is>
          <t>snapshot zeroing</t>
        </is>
      </c>
      <c r="C5" s="62" t="inlineStr">
        <is>
          <t>بالا</t>
        </is>
      </c>
      <c r="D5" s="61" t="inlineStr">
        <is>
          <t>valid=false</t>
        </is>
      </c>
      <c r="E5" s="61" t="inlineStr">
        <is>
          <t>گام ۱: یک snapshot نامعتبر بساز: valid=false و ولتاژهای بالا/پایین (vHigh/vLow) را عمداً زباله بگذار.
گام ۲: آن را 3 ثانیه به Imbalance_Evaluate بده (ورودی‌ها را task_control از قبل صفر می‌کند).
گام ۳: شمارنده و وضعیت اپیزود را نگاه کن: ماژول باید روی valid گیت بزند و هیچ اپیزود کاذبی نباید ساخته شود.</t>
        </is>
      </c>
      <c r="F5" s="63" t="inlineStr">
        <is>
          <t>valid=false</t>
        </is>
      </c>
      <c r="G5" s="63" t="inlineStr">
        <is>
          <t>3s</t>
        </is>
      </c>
      <c r="H5" s="61" t="inlineStr">
        <is>
          <t>ماژول باید روی valid گیت بزند و بدون episode کاذب بماند؛ ورودی‌ها از task_control صفر شده</t>
        </is>
      </c>
      <c r="I5" s="61" t="inlineStr">
        <is>
          <t>—</t>
        </is>
      </c>
      <c r="J5" s="61" t="inlineStr">
        <is>
          <t>بدون episode کاذب</t>
        </is>
      </c>
      <c r="K5" s="61" t="n"/>
      <c r="L5" s="69" t="inlineStr">
        <is>
          <t>نیاز به تکرار</t>
        </is>
      </c>
      <c r="M5" s="61" t="n"/>
      <c r="N5" s="61" t="n"/>
      <c r="O5" s="63" t="inlineStr">
        <is>
          <t>62f3782</t>
        </is>
      </c>
      <c r="P5" s="63" t="n"/>
      <c r="Q5" s="64" t="inlineStr">
        <is>
          <t>2026-10-12</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48" t="inlineStr">
        <is>
          <t>مرجع سریع سناریوها و ثابت‌های ماژول Imbalance</t>
        </is>
      </c>
      <c r="B1" s="48" t="n"/>
      <c r="C1" s="48" t="n"/>
      <c r="D1" s="48" t="n"/>
      <c r="E1" s="48" t="n"/>
    </row>
    <row r="2">
      <c r="A2" s="53" t="n"/>
      <c r="B2" s="53" t="n"/>
      <c r="C2" s="53" t="n"/>
      <c r="D2" s="53" t="n"/>
      <c r="E2" s="53" t="n"/>
    </row>
    <row r="3">
      <c r="A3" s="70" t="inlineStr">
        <is>
          <t>موضوع</t>
        </is>
      </c>
      <c r="B3" s="70" t="inlineStr">
        <is>
          <t>شرط / مقدار</t>
        </is>
      </c>
      <c r="C3" s="70" t="inlineStr">
        <is>
          <t>رفتار مورد انتظار</t>
        </is>
      </c>
      <c r="D3" s="70" t="inlineStr">
        <is>
          <t>ثابت / محل کد</t>
        </is>
      </c>
      <c r="E3" s="70" t="inlineStr">
        <is>
          <t>توضیح</t>
        </is>
      </c>
    </row>
    <row r="4">
      <c r="A4" s="71" t="inlineStr">
        <is>
          <t>حد استراحت</t>
        </is>
      </c>
      <c r="B4" s="71" t="inlineStr">
        <is>
          <t>۳۰۰mV (پیش‌فرض)</t>
        </is>
      </c>
      <c r="C4" s="71" t="inlineStr">
        <is>
          <t>شمارش رویداد پس از پایداری</t>
        </is>
      </c>
      <c r="D4" s="71" t="inlineStr">
        <is>
          <t>IMBAL_PARAM_REST_LIMIT_MV (۱۰۸) / IMBAL_DEF_REST_LIMIT_MV</t>
        </is>
      </c>
      <c r="E4" s="71" t="inlineStr">
        <is>
          <t>فقط با گیت زمانی</t>
        </is>
      </c>
    </row>
    <row r="5">
      <c r="A5" s="71" t="inlineStr">
        <is>
          <t>حد دشارژ</t>
        </is>
      </c>
      <c r="B5" s="71" t="inlineStr">
        <is>
          <t>۵۰۰mV (پیش‌فرض)</t>
        </is>
      </c>
      <c r="C5" s="71" t="inlineStr">
        <is>
          <t>اعمال بلافاصله روی باتری</t>
        </is>
      </c>
      <c r="D5" s="71" t="inlineStr">
        <is>
          <t>IMBAL_PARAM_DISCHARGE_LIMIT_MV (۱۰۹)</t>
        </is>
      </c>
      <c r="E5" s="71" t="inlineStr">
        <is>
          <t>بدون گیت زمانی</t>
        </is>
      </c>
    </row>
    <row r="6">
      <c r="A6" s="71" t="inlineStr">
        <is>
          <t>گیت پس از شارژ</t>
        </is>
      </c>
      <c r="B6" s="71" t="inlineStr">
        <is>
          <t>۱۰ دقیقه</t>
        </is>
      </c>
      <c r="C6" s="71" t="inlineStr">
        <is>
          <t>پیش از آن بدون قضاوت</t>
        </is>
      </c>
      <c r="D6" s="71" t="inlineStr">
        <is>
          <t>IMBAL_PARAM_POST_CHARGE_WAIT_MS (۱۱۰)</t>
        </is>
      </c>
      <c r="E6" s="71" t="inlineStr">
        <is>
          <t>لنگر بوت اگر شارژی تمام نشده</t>
        </is>
      </c>
    </row>
    <row r="7">
      <c r="A7" s="71" t="inlineStr">
        <is>
          <t>گیت حین شارژ</t>
        </is>
      </c>
      <c r="B7" s="71" t="inlineStr">
        <is>
          <t>۱۰ دقیقه</t>
        </is>
      </c>
      <c r="C7" s="71" t="inlineStr">
        <is>
          <t>صفر یعنی خاموش</t>
        </is>
      </c>
      <c r="D7" s="71" t="inlineStr">
        <is>
          <t>IMBAL_PARAM_IN_CHARGE_WAIT_MS (۱۱۱)</t>
        </is>
      </c>
      <c r="E7" s="71" t="inlineStr">
        <is>
          <t>با همان حد استراحت</t>
        </is>
      </c>
    </row>
    <row r="8">
      <c r="A8" s="71" t="inlineStr">
        <is>
          <t>پایداری</t>
        </is>
      </c>
      <c r="B8" s="71" t="inlineStr">
        <is>
          <t>۳۰ ثانیه پیوسته</t>
        </is>
      </c>
      <c r="C8" s="71" t="inlineStr">
        <is>
          <t>یک رویداد</t>
        </is>
      </c>
      <c r="D8" s="71" t="inlineStr">
        <is>
          <t>IMBAL_PARAM_STABILITY_MS (۱۱۲)</t>
        </is>
      </c>
      <c r="E8" s="71" t="inlineStr">
        <is>
          <t>هر اپیزود یک‌بار</t>
        </is>
      </c>
    </row>
    <row r="9">
      <c r="A9" s="71" t="inlineStr">
        <is>
          <t>هیسترزیس</t>
        </is>
      </c>
      <c r="B9" s="71" t="inlineStr">
        <is>
          <t>۱۰۰mV</t>
        </is>
      </c>
      <c r="C9" s="71" t="inlineStr">
        <is>
          <t>پایان اپیزود</t>
        </is>
      </c>
      <c r="D9" s="71" t="inlineStr">
        <is>
          <t>IMBAL_PARAM_HYSTERESIS_MV (۱۱۳)</t>
        </is>
      </c>
      <c r="E9" s="71" t="inlineStr">
        <is>
          <t>ضد نوسان</t>
        </is>
      </c>
    </row>
    <row r="10">
      <c r="A10" s="71" t="inlineStr">
        <is>
          <t>آستانهٔ قفل</t>
        </is>
      </c>
      <c r="B10" s="71" t="inlineStr">
        <is>
          <t>۱۰ رویداد</t>
        </is>
      </c>
      <c r="C10" s="71" t="inlineStr">
        <is>
          <t>قرمز چشمک‌زن + بوق + وتو</t>
        </is>
      </c>
      <c r="D10" s="71" t="inlineStr">
        <is>
          <t>IMBAL_PARAM_MAX_EVENTS (۱۱۴)</t>
        </is>
      </c>
      <c r="E10" s="71" t="inlineStr">
        <is>
          <t>شمارش ماندگار</t>
        </is>
      </c>
    </row>
    <row r="11">
      <c r="A11" s="71" t="inlineStr">
        <is>
          <t>بودجهٔ سیکل</t>
        </is>
      </c>
      <c r="B11" s="71" t="inlineStr">
        <is>
          <t>۲۰ سیکل در قفل</t>
        </is>
      </c>
      <c r="C11" s="71" t="inlineStr">
        <is>
          <t>مسدودی شارژ همان پک</t>
        </is>
      </c>
      <c r="D11" s="71" t="inlineStr">
        <is>
          <t>IMBAL_PARAM_MAX_LATCHED_CYCLES (۱۱۸)</t>
        </is>
      </c>
      <c r="E11" s="71" t="inlineStr">
        <is>
          <t>شارژ در قفل آزاد است</t>
        </is>
      </c>
    </row>
    <row r="12">
      <c r="A12" s="71" t="inlineStr">
        <is>
          <t>ریست تعویض</t>
        </is>
      </c>
      <c r="B12" s="71" t="inlineStr">
        <is>
          <t>نبود باتری ۳ ثانیه</t>
        </is>
      </c>
      <c r="C12" s="71" t="inlineStr">
        <is>
          <t>ریست شمارنده‌ها و قفل</t>
        </is>
      </c>
      <c r="D12" s="71" t="inlineStr">
        <is>
          <t>IMBAL_ABSENT_RESET_MS</t>
        </is>
      </c>
      <c r="E12" s="71" t="inlineStr">
        <is>
          <t>تعویض واقعی باتری</t>
        </is>
      </c>
    </row>
    <row r="13">
      <c r="A13" s="71" t="inlineStr">
        <is>
          <t>اسلات‌های ماندگار</t>
        </is>
      </c>
      <c r="B13" s="71" t="inlineStr">
        <is>
          <t>۲۰۰ رویداد، ۲۰۱ سیکل، ۲۰۲ قفل</t>
        </is>
      </c>
      <c r="C13" s="71" t="inlineStr">
        <is>
          <t>بقا پس از قطع برق</t>
        </is>
      </c>
      <c r="D13" s="71" t="inlineStr">
        <is>
          <t>IMBAL_SLOT_*_ID</t>
        </is>
      </c>
      <c r="E13" s="71" t="inlineStr">
        <is>
          <t>فقط پخش NVM</t>
        </is>
      </c>
    </row>
  </sheetData>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4"/>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2" t="inlineStr">
        <is>
          <t>ثبت ایرادهای مشاهده‌شده — ماژول Imbalance</t>
        </is>
      </c>
      <c r="B1" s="53" t="n"/>
      <c r="C1" s="53" t="n"/>
      <c r="D1" s="53" t="n"/>
      <c r="E1" s="53" t="n"/>
      <c r="F1" s="53" t="n"/>
      <c r="G1" s="53" t="n"/>
      <c r="H1" s="53" t="n"/>
      <c r="I1" s="53" t="n"/>
      <c r="J1" s="53" t="n"/>
      <c r="K1" s="53" t="n"/>
      <c r="L1" s="53" t="n"/>
      <c r="M1" s="53" t="n"/>
    </row>
    <row r="2" ht="30" customHeight="1">
      <c r="A2" s="48" t="inlineStr">
        <is>
          <t>برای هر وضعیت «رد» یا تفاوت مهم، یک ردیف با شناسهٔ یکتا ثبت و پس از اصلاح دوباره تست شود.</t>
        </is>
      </c>
      <c r="B2" s="48" t="n"/>
      <c r="C2" s="48" t="n"/>
      <c r="D2" s="48" t="n"/>
      <c r="E2" s="48" t="n"/>
      <c r="F2" s="48" t="n"/>
      <c r="G2" s="48" t="n"/>
      <c r="H2" s="48" t="n"/>
      <c r="I2" s="48" t="n"/>
      <c r="J2" s="48" t="n"/>
      <c r="K2" s="48" t="n"/>
      <c r="L2" s="48" t="n"/>
      <c r="M2" s="48" t="n"/>
    </row>
    <row r="3">
      <c r="A3" s="70" t="inlineStr">
        <is>
          <t>شماره ایراد</t>
        </is>
      </c>
      <c r="B3" s="70" t="inlineStr">
        <is>
          <t>شناسه تست</t>
        </is>
      </c>
      <c r="C3" s="70" t="inlineStr">
        <is>
          <t>تاریخ کشف</t>
        </is>
      </c>
      <c r="D3" s="70" t="inlineStr">
        <is>
          <t>شدت</t>
        </is>
      </c>
      <c r="E3" s="70" t="inlineStr">
        <is>
          <t>شرح کوتاه ایراد</t>
        </is>
      </c>
      <c r="F3" s="70" t="inlineStr">
        <is>
          <t>مراحل بازتولید</t>
        </is>
      </c>
      <c r="G3" s="70" t="inlineStr">
        <is>
          <t>انتظار</t>
        </is>
      </c>
      <c r="H3" s="70" t="inlineStr">
        <is>
          <t>واقعیت</t>
        </is>
      </c>
      <c r="I3" s="70" t="inlineStr">
        <is>
          <t>مدرک/مسیر عکس یا scope</t>
        </is>
      </c>
      <c r="J3" s="70" t="inlineStr">
        <is>
          <t>commit firmware</t>
        </is>
      </c>
      <c r="K3" s="70" t="inlineStr">
        <is>
          <t>محل احتمالی</t>
        </is>
      </c>
      <c r="L3" s="70" t="inlineStr">
        <is>
          <t>وضعیت ایراد</t>
        </is>
      </c>
      <c r="M3" s="70" t="inlineStr">
        <is>
          <t>تأیید رفع / توضیحات</t>
        </is>
      </c>
    </row>
    <row r="4">
      <c r="A4" s="73" t="inlineStr">
        <is>
          <t>DEF-IM-001</t>
        </is>
      </c>
      <c r="B4" s="73" t="inlineStr">
        <is>
          <t>IM-016</t>
        </is>
      </c>
      <c r="C4" s="70" t="inlineStr">
        <is>
          <t>2026-10-06</t>
        </is>
      </c>
      <c r="D4" s="70" t="inlineStr">
        <is>
          <t>بالا</t>
        </is>
      </c>
      <c r="E4" s="70" t="inlineStr">
        <is>
          <t>تنظیم‌های ذخیره‌شدهٔ سناریو ۵ با هر بار روشن‌شدن به پیش‌فرض کامپایل برمی‌گشت</t>
        </is>
      </c>
      <c r="F4" s="70" t="inlineStr">
        <is>
          <t>یک پارامتر ۱۰۸..۱۱۸ را از پنل تغییر و ذخیره کن؛ تغذیه را قطع و وصل کن؛ همان پارامتر را بخوان</t>
        </is>
      </c>
      <c r="G4" s="70" t="inlineStr">
        <is>
          <t>مقدار ذخیره‌شده باقی بماند</t>
        </is>
      </c>
      <c r="H4" s="70" t="inlineStr">
        <is>
          <t>مقدار پیش‌فرض کامپایل خوانده می‌شد</t>
        </is>
      </c>
      <c r="I4" s="73" t="inlineStr">
        <is>
          <t>تست هاست host_test_imbalance.c (بلوک رگرسیون v1.81)</t>
        </is>
      </c>
      <c r="J4" s="70" t="inlineStr">
        <is>
          <t>ممیزی ۲۰۲۶-۱۰-۰۶</t>
        </is>
      </c>
      <c r="K4" s="73" t="inlineStr">
        <is>
          <t>func__Imbalance_Init() در imbalance.c کل جدول پارامتر را بی‌قید به پیش‌فرض برمی‌گرداند، در حالی که بازپخش NVM پیش از آن اجرا می‌شود</t>
        </is>
      </c>
      <c r="L4" s="70" t="inlineStr">
        <is>
          <t>اصلاح شد</t>
        </is>
      </c>
      <c r="M4" s="70" t="inlineStr">
        <is>
          <t>با func__Imbalance_SeedDefaultsOnce() پیش‌فرض‌ها فقط یک‌بار نوشته می‌شوند؛ تست هاست با ۵۰۴۱ بررسی و ۰ خطا قبول شد — تأیید نهایی منوط به تست روی برد</t>
        </is>
      </c>
    </row>
  </sheetData>
  <hyperlinks>
    <hyperlink ref="A4" location="'برنامه تست'!A5"/>
    <hyperlink ref="B4" location="'برنامه تست'!A17"/>
    <hyperlink xmlns:r="http://schemas.openxmlformats.org/officeDocument/2006/relationships" ref="I4" r:id="rId1"/>
    <hyperlink xmlns:r="http://schemas.openxmlformats.org/officeDocument/2006/relationships" ref="K4" r:id="rId2"/>
  </hyperlink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Imbalance</t>
        </is>
      </c>
      <c r="B1" s="53" t="n"/>
      <c r="C1" s="53" t="n"/>
    </row>
    <row r="2">
      <c r="A2" s="50" t="inlineStr">
        <is>
          <t>این صفحه فقط پس از تکمیل تست‌ها و بسته‌شدن ایرادها پر می‌شود.</t>
        </is>
      </c>
      <c r="B2" s="53" t="n"/>
      <c r="C2" s="53" t="n"/>
    </row>
    <row r="3">
      <c r="A3" s="74" t="inlineStr">
        <is>
          <t>مشخصات تست</t>
        </is>
      </c>
      <c r="B3" s="53" t="n"/>
      <c r="C3" s="53" t="n"/>
    </row>
    <row r="4">
      <c r="A4" s="50" t="inlineStr">
        <is>
          <t>پروژه</t>
        </is>
      </c>
      <c r="B4" s="50" t="inlineStr">
        <is>
          <t>ChangeOver</t>
        </is>
      </c>
      <c r="C4" s="53" t="n"/>
    </row>
    <row r="5">
      <c r="A5" s="50" t="inlineStr">
        <is>
          <t>ماژول</t>
        </is>
      </c>
      <c r="B5" s="50" t="inlineStr">
        <is>
          <t>Imbalance — سناریوی ۵ عدم‌توازن دو نیم‌باتری</t>
        </is>
      </c>
      <c r="C5" s="53" t="n"/>
    </row>
    <row r="6">
      <c r="A6" s="50" t="inlineStr">
        <is>
          <t>تاریخ ساخت فرم</t>
        </is>
      </c>
      <c r="B6" s="50" t="inlineStr">
        <is>
          <t>2026-10-05 (1.0 — ساخته‌شده در ممیزی کل برنامه)</t>
        </is>
      </c>
      <c r="C6" s="53" t="n"/>
    </row>
    <row r="7">
      <c r="A7" s="50" t="inlineStr">
        <is>
          <t>نسخه فرم</t>
        </is>
      </c>
      <c r="B7" s="50" t="inlineStr">
        <is>
          <t>1.0</t>
        </is>
      </c>
      <c r="C7" s="53" t="n"/>
    </row>
    <row r="8">
      <c r="A8" s="50" t="inlineStr">
        <is>
          <t>commit firmware</t>
        </is>
      </c>
      <c r="B8" s="50" t="inlineStr">
        <is>
          <t>TESTER: fill</t>
        </is>
      </c>
      <c r="C8" s="53" t="n"/>
    </row>
    <row r="9">
      <c r="A9" s="50" t="inlineStr">
        <is>
          <t>ابزار</t>
        </is>
      </c>
      <c r="B9" s="50" t="inlineStr">
        <is>
          <t>پنل ESP + مولتی‌متر + بار نامتقارن قابل تنظیم + کرنومتر</t>
        </is>
      </c>
      <c r="C9" s="53" t="n"/>
    </row>
    <row r="10">
      <c r="A10" s="53" t="n"/>
      <c r="B10" s="53" t="n"/>
      <c r="C10" s="53" t="n"/>
    </row>
    <row r="11">
      <c r="A11" s="74" t="inlineStr">
        <is>
          <t>خلاصهٔ خودکار وضعیت تست‌ها</t>
        </is>
      </c>
      <c r="B11" s="53" t="n"/>
      <c r="C11" s="53" t="n"/>
    </row>
    <row r="12">
      <c r="A12" s="74" t="inlineStr">
        <is>
          <t>شاخص</t>
        </is>
      </c>
      <c r="B12" s="74" t="inlineStr">
        <is>
          <t>مقدار</t>
        </is>
      </c>
      <c r="C12" s="74" t="inlineStr">
        <is>
          <t>توضیح</t>
        </is>
      </c>
    </row>
    <row r="13">
      <c r="A13" s="50" t="inlineStr">
        <is>
          <t>کل تست‌ها</t>
        </is>
      </c>
      <c r="B13" s="50" t="n">
        <v>15</v>
      </c>
      <c r="C13" s="50" t="inlineStr">
        <is>
          <t>همهٔ ردیف‌های برنامه تست</t>
        </is>
      </c>
    </row>
    <row r="14">
      <c r="A14" s="50" t="inlineStr">
        <is>
          <t>قبول</t>
        </is>
      </c>
      <c r="B14" s="50">
        <f>COUNTIF('برنامه تست'!L:L,"قبول")</f>
        <v/>
      </c>
      <c r="C14" s="50" t="inlineStr">
        <is>
          <t>COUNTIF برنامه تست</t>
        </is>
      </c>
    </row>
    <row r="15">
      <c r="A15" s="50" t="inlineStr">
        <is>
          <t>رد</t>
        </is>
      </c>
      <c r="B15" s="50">
        <f>COUNTIF('برنامه تست'!L:L,"رد")</f>
        <v/>
      </c>
      <c r="C15" s="50" t="inlineStr">
        <is>
          <t>COUNTIF رد</t>
        </is>
      </c>
    </row>
    <row r="16">
      <c r="A16" s="50" t="inlineStr">
        <is>
          <t>در انتظار</t>
        </is>
      </c>
      <c r="B16" s="50">
        <f>COUNTIF('برنامه تست'!L:L,"در انتظار")</f>
        <v/>
      </c>
      <c r="C16" s="50" t="inlineStr">
        <is>
          <t>پیش از تست برد</t>
        </is>
      </c>
    </row>
    <row r="17">
      <c r="A17" s="50" t="inlineStr">
        <is>
          <t>نرخ قبولی</t>
        </is>
      </c>
      <c r="B17" s="50">
        <f>IF(15=0,0,COUNTIF('برنامه تست'!L:L,"قبول")/15)</f>
        <v/>
      </c>
      <c r="C17" s="50" t="inlineStr">
        <is>
          <t>قبول/کل</t>
        </is>
      </c>
    </row>
    <row r="18">
      <c r="A18" s="53" t="n"/>
      <c r="B18" s="53" t="n"/>
      <c r="C18" s="53" t="n"/>
    </row>
    <row r="19">
      <c r="A19" s="50" t="inlineStr">
        <is>
          <t>امضا و تأیید: تست‌کننده ______  بازبین ______  تاریخ ______</t>
        </is>
      </c>
      <c r="B19" s="53" t="n"/>
      <c r="C19" s="53" t="n"/>
    </row>
  </sheetData>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5" t="inlineStr">
        <is>
          <t>وضعیت</t>
        </is>
      </c>
      <c r="B1" s="53" t="n"/>
    </row>
    <row r="2">
      <c r="A2" s="54" t="inlineStr">
        <is>
          <t>در انتظار</t>
        </is>
      </c>
      <c r="B2" s="53" t="n"/>
    </row>
    <row r="3">
      <c r="A3" s="54" t="inlineStr">
        <is>
          <t>انجام شد</t>
        </is>
      </c>
      <c r="B3" s="53" t="n"/>
    </row>
    <row r="4">
      <c r="A4" s="54" t="inlineStr">
        <is>
          <t>قبول</t>
        </is>
      </c>
      <c r="B4" s="53" t="n"/>
    </row>
    <row r="5">
      <c r="A5" s="54" t="inlineStr">
        <is>
          <t>رد</t>
        </is>
      </c>
      <c r="B5" s="53" t="n"/>
    </row>
    <row r="6">
      <c r="A6" s="54" t="inlineStr">
        <is>
          <t>مسدود</t>
        </is>
      </c>
      <c r="B6" s="53" t="n"/>
    </row>
    <row r="7">
      <c r="A7" s="53" t="inlineStr">
        <is>
          <t>نیاز به تکرار</t>
        </is>
      </c>
      <c r="B7" s="53" t="n"/>
    </row>
    <row r="8">
      <c r="A8" s="75" t="inlineStr">
        <is>
          <t>اولویت</t>
        </is>
      </c>
      <c r="B8" s="53" t="n"/>
    </row>
    <row r="9">
      <c r="A9" s="53" t="n"/>
      <c r="B9" s="54" t="inlineStr">
        <is>
          <t>بالا</t>
        </is>
      </c>
    </row>
    <row r="10">
      <c r="A10" s="53" t="n"/>
      <c r="B10" s="54" t="inlineStr">
        <is>
          <t>متوسط</t>
        </is>
      </c>
    </row>
    <row r="11">
      <c r="A11" s="53" t="n"/>
      <c r="B11" s="54"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عدم‌توازن (سناریوی ۵)</t>
        </is>
      </c>
    </row>
    <row r="2">
      <c r="A2" s="53" t="n"/>
      <c r="B2" s="53" t="n"/>
      <c r="C2" s="53" t="n"/>
    </row>
    <row r="3" ht="24" customHeight="1">
      <c r="A3" s="11" t="inlineStr">
        <is>
          <t>حالت‌ها و گذارهای همین ماژول</t>
        </is>
      </c>
      <c r="B3" s="12" t="inlineStr">
        <is>
          <t>Imbalance_State_Machine.xlsx</t>
        </is>
      </c>
      <c r="C3" s="53" t="n"/>
    </row>
    <row r="4" ht="24" customHeight="1">
      <c r="A4" s="11" t="inlineStr">
        <is>
          <t>ماشین حالت کل برنامه (نمای سیستمی)</t>
        </is>
      </c>
      <c r="B4" s="12" t="inlineStr">
        <is>
          <t>../../../Documentation/System_State_Machine.xlsx</t>
        </is>
      </c>
      <c r="C4" s="53" t="n"/>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c r="C5" s="53" t="n"/>
    </row>
    <row r="6" ht="24" customHeight="1">
      <c r="A6" s="11" t="inlineStr">
        <is>
          <t>بازتولید</t>
        </is>
      </c>
      <c r="B6" s="12" t="inlineStr">
        <is>
          <t>python3 tools/make_module_state_machines.py</t>
        </is>
      </c>
      <c r="C6" s="53"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2026-10-05T18:18:55Z</dcterms:created>
  <dcterms:modified xsi:type="dcterms:W3CDTF">2026-10-17T12:23:01Z</dcterms:modified>
</cp:coreProperties>
</file>