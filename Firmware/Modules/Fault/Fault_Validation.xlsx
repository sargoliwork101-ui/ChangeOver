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برنامه‌نویسی" sheetId="3" state="visible" r:id="rId3"/>
    <sheet name="مراجع سناریو" sheetId="4" state="visible" r:id="rId4"/>
    <sheet name="ثبت ایراد" sheetId="5" state="visible" r:id="rId5"/>
    <sheet name="تأیید نهایی" sheetId="6" state="visible" r:id="rId6"/>
    <sheet name="فهرست‌ها" sheetId="7" state="visible" r:id="rId7"/>
    <sheet name="تست‌های آزمایشگاهی" sheetId="8" state="visible" r:id="rId8"/>
    <sheet name="ماشین حالت" sheetId="9" state="visible" r:id="rId9"/>
  </sheets>
  <definedNames>
    <definedName name="_xlnm._FilterDatabase" localSheetId="1" hidden="1">'برنامه تست'!$A$4:$Q$54</definedName>
    <definedName name="_xlnm.Print_Titles" localSheetId="1">'برنامه تست'!$4:$4</definedName>
    <definedName name="_xlnm._FilterDatabase" localSheetId="2" hidden="1">'تست‌های برنامه‌نویسی'!$A$4:$Q$5</definedName>
    <definedName name="_xlnm.Print_Titles" localSheetId="2">'تست‌های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29">
    <font>
      <name val="Calibri"/>
      <family val="2"/>
      <color theme="1"/>
      <sz val="11"/>
      <scheme val="minor"/>
    </font>
    <font>
      <name val="Calibri"/>
      <b val="1"/>
      <sz val="10"/>
    </font>
    <font>
      <name val="Calibri"/>
      <sz val="8"/>
    </font>
    <font>
      <name val="Calibri"/>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Vazirmatn"/>
      <sz val="8"/>
    </font>
    <font>
      <name val="Vazirmatn"/>
      <b val="1"/>
      <color rgb="00FFFFFF"/>
      <sz val="11"/>
    </font>
    <font>
      <name val="Vazirmatn"/>
      <b val="1"/>
      <color rgb="001F3864"/>
      <sz val="13"/>
    </font>
    <font>
      <name val="Vazirmatn"/>
      <family val="2"/>
      <color theme="1"/>
      <sz val="11"/>
      <scheme val="minor"/>
    </font>
    <font>
      <name val="Vazirmatn"/>
      <b val="1"/>
      <color rgb="00C00000"/>
      <sz val="10"/>
    </font>
    <font>
      <name val="Vazirmatn"/>
      <b val="1"/>
      <sz val="8"/>
    </font>
    <font>
      <name val="Vazirmatn"/>
      <color rgb="000563C1"/>
      <sz val="8"/>
      <u val="single"/>
    </font>
    <font>
      <name val="Vazirmatn"/>
      <color theme="1"/>
      <sz val="11"/>
    </font>
    <font>
      <name val="Vazirmatn"/>
      <sz val="11"/>
    </font>
  </fonts>
  <fills count="11">
    <fill>
      <patternFill/>
    </fill>
    <fill>
      <patternFill patternType="gray125"/>
    </fill>
    <fill>
      <patternFill patternType="solid">
        <fgColor rgb="00DDEBF7"/>
      </patternFill>
    </fill>
    <fill>
      <patternFill patternType="solid">
        <fgColor rgb="00FFEB9C"/>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
      <patternFill patternType="solid">
        <fgColor rgb="001F4E79"/>
      </patternFill>
    </fill>
    <fill>
      <patternFill patternType="solid">
        <fgColor rgb="00FFFFFF"/>
      </patternFill>
    </fill>
  </fills>
  <borders count="8">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89">
    <xf numFmtId="0" fontId="0" fillId="0" borderId="0" pivotButton="0" quotePrefix="0" xfId="0"/>
    <xf numFmtId="0" fontId="1" fillId="0" borderId="0" applyAlignment="1" pivotButton="0" quotePrefix="0" xfId="0">
      <alignment horizontal="right" vertical="center" wrapText="1"/>
    </xf>
    <xf numFmtId="0" fontId="2" fillId="0" borderId="0" applyAlignment="1" pivotButton="0" quotePrefix="0" xfId="0">
      <alignment horizontal="right" vertical="center" wrapText="1"/>
    </xf>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1" fillId="0" borderId="0" pivotButton="0" quotePrefix="0" xfId="0"/>
    <xf numFmtId="0" fontId="2" fillId="0" borderId="0" pivotButton="0" quotePrefix="0" xfId="0"/>
    <xf numFmtId="0" fontId="1" fillId="3" borderId="0" pivotButton="0" quotePrefix="0" xfId="0"/>
    <xf numFmtId="0" fontId="4" fillId="4"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right" vertical="center" wrapText="1"/>
    </xf>
    <xf numFmtId="0" fontId="9" fillId="0" borderId="0" applyAlignment="1" pivotButton="0" quotePrefix="0" xfId="0">
      <alignment horizontal="right" vertical="center" wrapText="1"/>
    </xf>
    <xf numFmtId="0" fontId="15" fillId="4" borderId="2" applyAlignment="1" pivotButton="0" quotePrefix="0" xfId="0">
      <alignment horizontal="center" vertical="center" wrapText="1"/>
    </xf>
    <xf numFmtId="0" fontId="16" fillId="0" borderId="0" applyAlignment="1" pivotButton="0" quotePrefix="0" xfId="0">
      <alignment horizontal="right" vertical="center" wrapText="1"/>
    </xf>
    <xf numFmtId="0" fontId="8" fillId="5"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6"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7" borderId="2" applyAlignment="1" pivotButton="0" quotePrefix="0" xfId="0">
      <alignment horizontal="right" vertical="center" wrapText="1"/>
    </xf>
    <xf numFmtId="0" fontId="17" fillId="7" borderId="2" applyAlignment="1" pivotButton="0" quotePrefix="0" xfId="0">
      <alignment horizontal="center" vertical="center" wrapText="1"/>
    </xf>
    <xf numFmtId="0" fontId="14" fillId="7" borderId="2" applyAlignment="1" pivotButton="0" quotePrefix="0" xfId="0">
      <alignment horizontal="center" vertical="center" wrapText="1"/>
    </xf>
    <xf numFmtId="164" fontId="14" fillId="7" borderId="2" applyAlignment="1" pivotButton="0" quotePrefix="0" xfId="0">
      <alignment horizontal="center" vertical="center" wrapText="1"/>
    </xf>
    <xf numFmtId="0" fontId="13" fillId="0" borderId="2" applyAlignment="1" pivotButton="0" quotePrefix="0" xfId="0">
      <alignment horizontal="right" vertical="center" wrapText="1"/>
    </xf>
    <xf numFmtId="0" fontId="13" fillId="7" borderId="2" applyAlignment="1" pivotButton="0" quotePrefix="0" xfId="0">
      <alignment horizontal="right" vertical="center" wrapText="1"/>
    </xf>
    <xf numFmtId="0" fontId="8" fillId="8"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9" fillId="0" borderId="0" pivotButton="0" quotePrefix="0" xfId="0"/>
    <xf numFmtId="0" fontId="8" fillId="3" borderId="0" pivotButton="0" quotePrefix="0" xfId="0"/>
    <xf numFmtId="0" fontId="11" fillId="0" borderId="0" pivotButton="0" quotePrefix="0" xfId="0"/>
    <xf numFmtId="0" fontId="12" fillId="4"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0" fillId="0" borderId="5" pivotButton="0" quotePrefix="0" xfId="0"/>
    <xf numFmtId="0" fontId="0" fillId="0" borderId="6" pivotButton="0" quotePrefix="0" xfId="0"/>
    <xf numFmtId="0" fontId="18" fillId="0" borderId="0" applyAlignment="1" pivotButton="0" quotePrefix="0" xfId="0">
      <alignment horizontal="center" vertical="center" wrapText="1"/>
    </xf>
    <xf numFmtId="0" fontId="16" fillId="0" borderId="0" pivotButton="0" quotePrefix="0" xfId="0"/>
    <xf numFmtId="0" fontId="14" fillId="0" borderId="0" applyAlignment="1" pivotButton="0" quotePrefix="0" xfId="0">
      <alignment vertical="center" wrapText="1"/>
    </xf>
    <xf numFmtId="0" fontId="19" fillId="5" borderId="2" applyAlignment="1" pivotButton="0" quotePrefix="0" xfId="0">
      <alignment horizontal="center" vertical="center"/>
    </xf>
    <xf numFmtId="0" fontId="5" fillId="0" borderId="0" applyAlignment="1" pivotButton="0" quotePrefix="0" xfId="0">
      <alignment horizontal="right" vertical="center" wrapText="1"/>
    </xf>
    <xf numFmtId="0" fontId="20" fillId="0" borderId="0" applyAlignment="1" pivotButton="0" quotePrefix="0" xfId="0">
      <alignment horizontal="right" vertical="center" wrapText="1"/>
    </xf>
    <xf numFmtId="0" fontId="21" fillId="4" borderId="2" applyAlignment="1" pivotButton="0" quotePrefix="0" xfId="0">
      <alignment horizontal="center" vertical="center" wrapText="1"/>
    </xf>
    <xf numFmtId="0" fontId="22" fillId="0" borderId="0" applyAlignment="1" pivotButton="0" quotePrefix="0" xfId="0">
      <alignment horizontal="right" vertical="center" wrapText="1"/>
    </xf>
    <xf numFmtId="0" fontId="23" fillId="0" borderId="0" pivotButton="0" quotePrefix="0" xfId="0"/>
    <xf numFmtId="0" fontId="5" fillId="5" borderId="2" applyAlignment="1" pivotButton="0" quotePrefix="0" xfId="0">
      <alignment horizontal="center" vertical="center"/>
    </xf>
    <xf numFmtId="0" fontId="7" fillId="0" borderId="2" applyAlignment="1" pivotButton="0" quotePrefix="0" xfId="0">
      <alignment horizontal="right" vertical="center" wrapText="1"/>
    </xf>
    <xf numFmtId="0" fontId="24" fillId="0" borderId="2" applyAlignment="1" pivotButton="0" quotePrefix="0" xfId="0">
      <alignment horizontal="center" vertical="center" wrapText="1"/>
    </xf>
    <xf numFmtId="0" fontId="7" fillId="0" borderId="2" applyAlignment="1" pivotButton="0" quotePrefix="0" xfId="0">
      <alignment horizontal="center" vertical="center" wrapText="1"/>
    </xf>
    <xf numFmtId="0" fontId="5" fillId="6" borderId="2" applyAlignment="1" pivotButton="0" quotePrefix="0" xfId="0">
      <alignment horizontal="center" vertical="center" wrapText="1"/>
    </xf>
    <xf numFmtId="164" fontId="7" fillId="0" borderId="2" applyAlignment="1" pivotButton="0" quotePrefix="0" xfId="0">
      <alignment horizontal="center" vertical="center" wrapText="1"/>
    </xf>
    <xf numFmtId="0" fontId="7" fillId="7" borderId="2" applyAlignment="1" pivotButton="0" quotePrefix="0" xfId="0">
      <alignment horizontal="right" vertical="center" wrapText="1"/>
    </xf>
    <xf numFmtId="0" fontId="24" fillId="7" borderId="2" applyAlignment="1" pivotButton="0" quotePrefix="0" xfId="0">
      <alignment horizontal="center" vertical="center" wrapText="1"/>
    </xf>
    <xf numFmtId="0" fontId="7" fillId="7" borderId="2" applyAlignment="1" pivotButton="0" quotePrefix="0" xfId="0">
      <alignment horizontal="center" vertical="center" wrapText="1"/>
    </xf>
    <xf numFmtId="164" fontId="7" fillId="7" borderId="2" applyAlignment="1" pivotButton="0" quotePrefix="0" xfId="0">
      <alignment horizontal="center" vertical="center" wrapText="1"/>
    </xf>
    <xf numFmtId="0" fontId="6" fillId="0" borderId="2" applyAlignment="1" pivotButton="0" quotePrefix="0" xfId="0">
      <alignment horizontal="right" vertical="center" wrapText="1"/>
    </xf>
    <xf numFmtId="0" fontId="6" fillId="7" borderId="2" applyAlignment="1" pivotButton="0" quotePrefix="0" xfId="0">
      <alignment horizontal="right" vertical="center" wrapText="1"/>
    </xf>
    <xf numFmtId="164" fontId="23" fillId="0" borderId="0" pivotButton="0" quotePrefix="0" xfId="0"/>
    <xf numFmtId="0" fontId="22" fillId="0" borderId="0" pivotButton="0" quotePrefix="0" xfId="0"/>
    <xf numFmtId="0" fontId="7" fillId="0" borderId="0" applyAlignment="1" pivotButton="0" quotePrefix="0" xfId="0">
      <alignment vertical="center" wrapText="1"/>
    </xf>
    <xf numFmtId="0" fontId="5" fillId="8" borderId="2" applyAlignment="1" pivotButton="0" quotePrefix="0" xfId="0">
      <alignment horizontal="center" vertical="center" wrapText="1"/>
    </xf>
    <xf numFmtId="0" fontId="23" fillId="0" borderId="5" pivotButton="0" quotePrefix="0" xfId="0"/>
    <xf numFmtId="0" fontId="23" fillId="0" borderId="6" pivotButton="0" quotePrefix="0" xfId="0"/>
    <xf numFmtId="0" fontId="25" fillId="2" borderId="0" applyAlignment="1" pivotButton="0" quotePrefix="0" xfId="0">
      <alignment horizontal="center" vertical="center" wrapText="1"/>
    </xf>
    <xf numFmtId="0" fontId="20" fillId="0" borderId="0" applyAlignment="1" pivotButton="0" quotePrefix="0" xfId="0">
      <alignment horizontal="center" vertical="center" wrapText="1"/>
    </xf>
    <xf numFmtId="0" fontId="26" fillId="0" borderId="0" applyAlignment="1" pivotButton="0" quotePrefix="0" xfId="0">
      <alignment horizontal="center" vertical="center" wrapText="1"/>
    </xf>
    <xf numFmtId="0" fontId="5" fillId="0" borderId="0" pivotButton="0" quotePrefix="0" xfId="0"/>
    <xf numFmtId="0" fontId="20" fillId="0" borderId="0" pivotButton="0" quotePrefix="0" xfId="0"/>
    <xf numFmtId="0" fontId="5" fillId="3" borderId="0" pivotButton="0" quotePrefix="0" xfId="0"/>
    <xf numFmtId="0" fontId="27" fillId="0" borderId="0" pivotButton="0" quotePrefix="0" xfId="0"/>
    <xf numFmtId="0" fontId="28" fillId="0" borderId="0" pivotButton="0" quotePrefix="0" xfId="0"/>
    <xf numFmtId="0" fontId="28" fillId="0" borderId="7" pivotButton="0" quotePrefix="0" xfId="0"/>
    <xf numFmtId="164" fontId="28" fillId="0" borderId="7" pivotButton="0" quotePrefix="0" xfId="0"/>
    <xf numFmtId="0" fontId="4" fillId="4" borderId="0" applyAlignment="1" pivotButton="0" quotePrefix="0" xfId="0">
      <alignment horizontal="right" vertical="center" wrapText="1"/>
    </xf>
    <xf numFmtId="0" fontId="21" fillId="9" borderId="2" applyAlignment="1" pivotButton="0" quotePrefix="0" xfId="0">
      <alignment horizontal="center" vertical="center" wrapText="1"/>
    </xf>
    <xf numFmtId="0" fontId="7" fillId="10" borderId="2" applyAlignment="1" pivotButton="0" quotePrefix="0" xfId="0">
      <alignment horizontal="right" vertical="center" wrapText="1"/>
    </xf>
    <xf numFmtId="0" fontId="24" fillId="10" borderId="2" applyAlignment="1" pivotButton="0" quotePrefix="0" xfId="0">
      <alignment horizontal="center" vertical="center" wrapText="1"/>
    </xf>
    <xf numFmtId="0" fontId="7" fillId="10" borderId="2" applyAlignment="1" pivotButton="0" quotePrefix="0" xfId="0">
      <alignment horizontal="center" vertical="center" wrapText="1"/>
    </xf>
    <xf numFmtId="164" fontId="7" fillId="10" borderId="2" applyAlignment="1" pivotButton="0" quotePrefix="0" xfId="0">
      <alignment horizontal="center" vertical="center" wrapText="1"/>
    </xf>
    <xf numFmtId="0" fontId="6" fillId="10" borderId="2" applyAlignment="1" pivotButton="0" quotePrefix="0" xfId="0">
      <alignment horizontal="right" vertical="center" wrapText="1"/>
    </xf>
    <xf numFmtId="0" fontId="4" fillId="4" borderId="0" pivotButton="0" quotePrefix="0" xfId="0"/>
    <xf numFmtId="0" fontId="4" fillId="4" borderId="2" applyAlignment="1" pivotButton="0" quotePrefix="0" xfId="0">
      <alignment horizontal="center" vertical="center" wrapText="1"/>
    </xf>
    <xf numFmtId="0" fontId="5"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fault.c" TargetMode="External" Id="rId1" /><Relationship Type="http://schemas.openxmlformats.org/officeDocument/2006/relationships/hyperlink" Target="../../Config/Inc/app_types.h" TargetMode="External" Id="rId2" /></Relationships>
</file>

<file path=xl/worksheets/_rels/sheet9.xml.rels><Relationships xmlns="http://schemas.openxmlformats.org/package/2006/relationships"><Relationship Type="http://schemas.openxmlformats.org/officeDocument/2006/relationships/hyperlink" Target="Fault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sheetPr>
  <dimension ref="A1:A11"/>
  <sheetViews>
    <sheetView rightToLeft="1" workbookViewId="0">
      <pane ySplit="1" topLeftCell="A2" activePane="bottomLeft" state="frozen"/>
      <selection pane="bottomLeft" activeCell="A1" sqref="A1"/>
    </sheetView>
  </sheetViews>
  <sheetFormatPr baseColWidth="8" defaultRowHeight="15"/>
  <cols>
    <col width="110" customWidth="1" min="1" max="1"/>
  </cols>
  <sheetData>
    <row r="1">
      <c r="A1" s="79" t="inlineStr">
        <is>
          <t>برگه تست و اعتبارسنجی عملی ماژول Fault</t>
        </is>
      </c>
    </row>
    <row r="2">
      <c r="A2" s="47" t="inlineStr">
        <is>
          <t>Fault | این ماژول قطع باتری را در یک جا تشخیص می‌دهد: خطای شمارهٔ ۶ (بیت ۶، FAULT_CHARGER_BAT_LOST).
ماسک خطا اینجا نگه داشته می‌شود و قفل می‌ماند تا پاک شود.</t>
        </is>
      </c>
    </row>
    <row r="3" ht="30" customHeight="1">
      <c r="A3" s="80" t="inlineStr">
        <is>
          <t>هدف فایل</t>
        </is>
      </c>
    </row>
    <row r="4">
      <c r="A4" s="47" t="inlineStr"/>
    </row>
    <row r="5">
      <c r="A5" s="47" t="inlineStr">
        <is>
          <t>دو قاعده برای تشخیص قطع باتری:
قاعدهٔ اول: هنگام شارژ فعال، ولتاژ پمپ از 14.8 ولت بالاتر برود و 150 میلی‌ثانیه بماند.
قاعدهٔ دوم: ولتاژ یکی از نیم‌باتری‌ها زیر 6 ولت باشد، ورودی سالم باشد و این وضع 1 ثانیه بماند.
بازیابی: هر دو نیم‌باتری دست‌کم 7 ولت باشند، پمپی در کار نباشد و این وضع 1 ثانیه بماند.</t>
        </is>
      </c>
    </row>
    <row r="6">
      <c r="A6" s="47" t="inlineStr">
        <is>
          <t>شارژر و UI فقط این پرچم را می‌خوانند؛ خودشان تشخیص نمی‌دهند.
در مود تست دستی شارژر، این تشخیص کاملاً متوقف است و شمارنده‌های صبر (دبانس) صفر می‌مانند.</t>
        </is>
      </c>
    </row>
    <row r="7">
      <c r="A7" s="47" t="inlineStr">
        <is>
          <t>بدون دادهٔ معتبر، هیچ خطایی نه ثبت می‌شود و نه پاک می‌شود.</t>
        </is>
      </c>
    </row>
    <row r="8">
      <c r="A8" s="47" t="inlineStr"/>
    </row>
    <row r="9">
      <c r="A9" s="47" t="inlineStr">
        <is>
          <t>هشدار: تست قطع باتری هنگام شارژ را با جریان محدود و زیر نظر انجام بده.
ولتاژ گره پمپ‌شده می‌تواند از 15 ولت بالاتر برود.</t>
        </is>
      </c>
    </row>
    <row r="10"/>
    <row r="11">
      <c r="A11" s="76"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sheetData>
  <mergeCells count="9">
    <mergeCell ref="A8"/>
    <mergeCell ref="A6"/>
    <mergeCell ref="A9"/>
    <mergeCell ref="A4"/>
    <mergeCell ref="A3"/>
    <mergeCell ref="A7"/>
    <mergeCell ref="A2"/>
    <mergeCell ref="A5"/>
    <mergeCell ref="A1"/>
  </mergeCell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Q52"/>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79" t="inlineStr">
        <is>
          <t>برنامهٔ تست عملی — ماژول Fault</t>
        </is>
      </c>
    </row>
    <row r="2">
      <c r="A2" s="47" t="inlineStr">
        <is>
          <t>وضعیت فقط یکی از: در انتظار / قبول / رد / مسدود / نیاز به تکرار. تست Host جایگزین تست برد نیست.</t>
        </is>
      </c>
    </row>
    <row r="3">
      <c r="A3" s="47" t="inlineStr">
        <is>
          <t>برای هر ردیف پیش‌شرط، ورودی، انتظار و معیار قبولی صریح است؛ نتیجهٔ واقعی فقط با اندازه‌گیری روی برد پر می‌شود.</t>
        </is>
      </c>
    </row>
    <row r="4" ht="30" customHeight="1">
      <c r="A4" s="80" t="inlineStr">
        <is>
          <t>شناسه</t>
        </is>
      </c>
      <c r="B4" s="80" t="inlineStr">
        <is>
          <t>دسته</t>
        </is>
      </c>
      <c r="C4" s="80" t="inlineStr">
        <is>
          <t>اولویت</t>
        </is>
      </c>
      <c r="D4" s="80" t="inlineStr">
        <is>
          <t>پیش‌شرط</t>
        </is>
      </c>
      <c r="E4" s="80" t="inlineStr">
        <is>
          <t>روش اجرای دقیق</t>
        </is>
      </c>
      <c r="F4" s="80" t="inlineStr">
        <is>
          <t>ورودی‌ها / شرایط</t>
        </is>
      </c>
      <c r="G4" s="80" t="inlineStr">
        <is>
          <t>مدت مشاهده</t>
        </is>
      </c>
      <c r="H4" s="80" t="inlineStr">
        <is>
          <t>رفتار مورد انتظار</t>
        </is>
      </c>
      <c r="I4" s="80" t="inlineStr">
        <is>
          <t>می‌ماند یا پاک می‌شود</t>
        </is>
      </c>
      <c r="J4" s="80" t="inlineStr">
        <is>
          <t>چه چیزی باید ببینید تا بگویید درست است</t>
        </is>
      </c>
      <c r="K4" s="80" t="inlineStr">
        <is>
          <t>نتیجهٔ واقعی / اندازه‌گیری</t>
        </is>
      </c>
      <c r="L4" s="80" t="inlineStr">
        <is>
          <t>وضعیت</t>
        </is>
      </c>
      <c r="M4" s="80" t="inlineStr">
        <is>
          <t>شرح ایراد / تفاوت</t>
        </is>
      </c>
      <c r="N4" s="80" t="inlineStr">
        <is>
          <t>مدرک تست</t>
        </is>
      </c>
      <c r="O4" s="80" t="inlineStr">
        <is>
          <t>نسخهٔ برنامه</t>
        </is>
      </c>
      <c r="P4" s="80" t="inlineStr">
        <is>
          <t>نام تست‌کننده</t>
        </is>
      </c>
      <c r="Q4" s="80" t="inlineStr">
        <is>
          <t>تاریخ</t>
        </is>
      </c>
    </row>
    <row r="5" ht="54" customHeight="1">
      <c r="A5" s="51" t="inlineStr">
        <is>
          <t>FL-001</t>
        </is>
      </c>
      <c r="B5" s="57" t="inlineStr">
        <is>
          <t>قاعدهٔ پمپ</t>
        </is>
      </c>
      <c r="C5" s="58" t="inlineStr">
        <is>
          <t>بالا</t>
        </is>
      </c>
      <c r="D5" s="57" t="inlineStr">
        <is>
          <t>دستگاه با برق شهر روشن است و باتری واقعی در حال شارژ است (چراغ زرد چشمک می‌زند)</t>
        </is>
      </c>
      <c r="E5" s="57" t="inlineStr">
        <is>
          <t>گام ۱: هنگام شارژ، سیم یکی از باتری‌ها را از ترمینال جدا کن.
گام ۲: چند ثانیه صبر کن و چراغ‌ها را ببین. قرمز باید تندتند چشمک بزند و سبز ثابت بماند. هر چند ثانیه سه بوق بیاید.
گام ۳: در پنل نگاه کن که خطای شمارهٔ ۶ ثبت شده و جریان شارژ صفر شده است.</t>
        </is>
      </c>
      <c r="F5" s="59" t="inlineStr">
        <is>
          <t>کشیدن سیم باتری حین شارژ</t>
        </is>
      </c>
      <c r="G5" s="59" t="inlineStr">
        <is>
          <t>کمتر از یک دقیقه</t>
        </is>
      </c>
      <c r="H5" s="57" t="inlineStr">
        <is>
          <t>خطای ۶ (قطع باتری) می‌آید: قرمز چشمک‌تند، سبز ثابت، سه بوق دوره‌ای و شارژ کاملاً متوقف</t>
        </is>
      </c>
      <c r="I5" s="57" t="inlineStr">
        <is>
          <t>می‌ماند تا باتری برگردد</t>
        </is>
      </c>
      <c r="J5" s="57" t="inlineStr">
        <is>
          <t>باید ببینید: ظرف چند ثانیه خطای قطع باتری می‌آید؛ قرمز تند چشمک می‌زند، سبز ثابت است، سه بوق دوره‌ای می‌آید و شارژ کاملاً می‌ایستد. اگر خطا نیامد یا شارژ ادامه داشت، قبول نیست.</t>
        </is>
      </c>
      <c r="K5" s="52" t="n"/>
      <c r="L5" s="55" t="inlineStr">
        <is>
          <t>در انتظار</t>
        </is>
      </c>
      <c r="M5" s="52" t="n"/>
      <c r="N5" s="52" t="n"/>
      <c r="O5" s="59" t="inlineStr">
        <is>
          <t>(بعد از تست پر شود)</t>
        </is>
      </c>
      <c r="P5" s="54" t="n"/>
      <c r="Q5" s="60">
        <f>IF(OR(L5="",L5="در انتظار"),"",IF(Q5="",TODAY(),Q5))</f>
        <v/>
      </c>
    </row>
    <row r="6" ht="54" customHeight="1">
      <c r="A6" s="51" t="inlineStr">
        <is>
          <t>FL-002</t>
        </is>
      </c>
      <c r="B6" s="81" t="inlineStr">
        <is>
          <t>قاعدهٔ غیبت</t>
        </is>
      </c>
      <c r="C6" s="82" t="inlineStr">
        <is>
          <t>بالا</t>
        </is>
      </c>
      <c r="D6" s="81" t="inlineStr">
        <is>
          <t>باتری را اصلاً وصل نکرده‌ای؛ فقط برق شهر آماده است</t>
        </is>
      </c>
      <c r="E6" s="81" t="inlineStr">
        <is>
          <t>گام ۱: بدون باتری، برق شهر را به دستگاه وصل کن.
گام ۲: چند ثانیه صبر کن.
گام ۳: چراغ‌ها و پنل را چک کن.</t>
        </is>
      </c>
      <c r="F6" s="83" t="inlineStr">
        <is>
          <t>روشن‌کردن دستگاه بدون باتری با برق شهر</t>
        </is>
      </c>
      <c r="G6" s="83" t="inlineStr">
        <is>
          <t>کمتر از یک دقیقه</t>
        </is>
      </c>
      <c r="H6" s="81" t="inlineStr">
        <is>
          <t>خطای ۶ می‌آید (قرمز چشمک‌تند و سه بوق) و شارژ هیچ‌وقت شروع نمی‌شود</t>
        </is>
      </c>
      <c r="I6" s="81" t="inlineStr">
        <is>
          <t>می‌ماند تا باتری وصل شود</t>
        </is>
      </c>
      <c r="J6" s="81" t="inlineStr">
        <is>
          <t>باید ببینید: بدون باتری خطای قطع باتری می‌آید و شارژ هیچ‌وقت شروع نمی‌شود. اگر شارژ بی‌باتری شروع شد، قبول نیست.</t>
        </is>
      </c>
      <c r="K6" s="57" t="n"/>
      <c r="L6" s="55" t="inlineStr">
        <is>
          <t>در انتظار</t>
        </is>
      </c>
      <c r="M6" s="57" t="n"/>
      <c r="N6" s="57" t="n"/>
      <c r="O6" s="83" t="inlineStr">
        <is>
          <t>(بعد از تست پر شود)</t>
        </is>
      </c>
      <c r="P6" s="59" t="n"/>
      <c r="Q6" s="84">
        <f>IF(OR(L6="",L6="در انتظار"),"",IF(Q6="",TODAY(),Q6))</f>
        <v/>
      </c>
    </row>
    <row r="7" ht="54" customHeight="1">
      <c r="A7" s="51" t="inlineStr">
        <is>
          <t>FL-003</t>
        </is>
      </c>
      <c r="B7" s="57" t="inlineStr">
        <is>
          <t>بازیابی</t>
        </is>
      </c>
      <c r="C7" s="58" t="inlineStr">
        <is>
          <t>متوسط</t>
        </is>
      </c>
      <c r="D7" s="62" t="inlineStr">
        <is>
          <t>از FL-001 ادامه بده؛ خطای ۶ فعال است و سیم باتری جداست</t>
        </is>
      </c>
      <c r="E7" s="57" t="inlineStr">
        <is>
          <t>گام ۱: سیم باتری را سر جایش وصل کن.
گام ۲: چند ثانیه صبر کن: چشمک قرمز و بوق باید قطع شود.
گام ۳: کمی بیشتر صبر کن؛ شارژ باید بعد از یک مکث کوتاه آرام از سر گرفته شود.</t>
        </is>
      </c>
      <c r="F7" s="59" t="inlineStr">
        <is>
          <t>وصل دوبارهٔ باتری</t>
        </is>
      </c>
      <c r="G7" s="59" t="inlineStr">
        <is>
          <t>یک دقیقه</t>
        </is>
      </c>
      <c r="H7" s="57" t="inlineStr">
        <is>
          <t>خطای ۶ خودش پاک می‌شود و شارژ بدون پرش و ناگهانی برگشتن، عادی شروع می‌شود</t>
        </is>
      </c>
      <c r="I7" s="57" t="inlineStr">
        <is>
          <t>پاک‌شدن خودکار با برگشت باتری</t>
        </is>
      </c>
      <c r="J7" s="57" t="inlineStr">
        <is>
          <t>باید ببینید: با برگشت باتری خطا خودش پاک می‌شود و شارژ آرام و عادی شروع می‌شود. اگر خطا ماند یا شارژ خشن شروع شد، قبول نیست.</t>
        </is>
      </c>
      <c r="K7" s="52" t="n"/>
      <c r="L7" s="55" t="inlineStr">
        <is>
          <t>در انتظار</t>
        </is>
      </c>
      <c r="M7" s="52" t="n"/>
      <c r="N7" s="52" t="n"/>
      <c r="O7" s="59" t="inlineStr">
        <is>
          <t>(بعد از تست پر شود)</t>
        </is>
      </c>
      <c r="P7" s="54" t="n"/>
      <c r="Q7" s="60">
        <f>IF(OR(L7="",L7="در انتظار"),"",IF(Q7="",TODAY(),Q7))</f>
        <v/>
      </c>
    </row>
    <row r="8" ht="40.5" customHeight="1">
      <c r="A8" s="51" t="inlineStr">
        <is>
          <t>FL-005</t>
        </is>
      </c>
      <c r="B8" s="81" t="inlineStr">
        <is>
          <t>آینه در شارژر</t>
        </is>
      </c>
      <c r="C8" s="82" t="inlineStr">
        <is>
          <t>متوسط</t>
        </is>
      </c>
      <c r="D8" s="85" t="inlineStr">
        <is>
          <t>خطای ۶ را مثل FL-001 ساخته‌ای و فعال است</t>
        </is>
      </c>
      <c r="E8" s="81" t="inlineStr">
        <is>
          <t>گام ۱: یک آمپرمتر دستی سریِ مسیر شارژ بگذار یا جریان شارژ پنل را نگاه کن.
گام ۲: تا وقتی خطا هست جریان را زیر نظر بگیر.
گام ۳: باتری را وصل کن و ببین شارژ کی برمی‌گردد.</t>
        </is>
      </c>
      <c r="F8" s="83" t="inlineStr">
        <is>
          <t>نگه‌داشتن خطای ۶ و بعد وصل باتری</t>
        </is>
      </c>
      <c r="G8" s="83" t="inlineStr">
        <is>
          <t>دو دقیقه</t>
        </is>
      </c>
      <c r="H8" s="81" t="inlineStr">
        <is>
          <t>تا وقتی خطای ۶ هست جریان شارژ صفر می‌ماند؛ شارژر بیکار است و فقط با برگشت باتری دوباره راه می‌افتد</t>
        </is>
      </c>
      <c r="I8" s="81" t="inlineStr">
        <is>
          <t>توقف کامل تا بازیابی</t>
        </is>
      </c>
      <c r="J8" s="81" t="inlineStr">
        <is>
          <t>باید ببینید: تا وقتی خطا هست جریان شارژ در پنل صفر می‌ماند و فقط با برگشت باتری شارژ راه می‌افتد. اگر حین خطا جریان شارژ دیدید، قبول نیست.</t>
        </is>
      </c>
      <c r="K8" s="52" t="n"/>
      <c r="L8" s="55" t="inlineStr">
        <is>
          <t>در انتظار</t>
        </is>
      </c>
      <c r="M8" s="52" t="n"/>
      <c r="N8" s="52" t="n"/>
      <c r="O8" s="83" t="inlineStr">
        <is>
          <t>(بعد از تست پر شود)</t>
        </is>
      </c>
      <c r="P8" s="54" t="n"/>
      <c r="Q8" s="84">
        <f>IF(OR(L8="",L8="در انتظار"),"",IF(Q8="",TODAY(),Q8))</f>
        <v/>
      </c>
    </row>
    <row r="9" ht="40.5" customHeight="1">
      <c r="A9" s="51" t="inlineStr">
        <is>
          <t>FL-007</t>
        </is>
      </c>
      <c r="B9" s="57" t="inlineStr">
        <is>
          <t>فریز در مود دستی</t>
        </is>
      </c>
      <c r="C9" s="58" t="inlineStr">
        <is>
          <t>متوسط</t>
        </is>
      </c>
      <c r="D9" s="57" t="inlineStr">
        <is>
          <t>دستگاه روشن و از پنل، مود تست دستی شارژر را می‌توانی روشن کنی</t>
        </is>
      </c>
      <c r="E9" s="57" t="inlineStr">
        <is>
          <t>گام ۱: از پنل مود تست دستی شارژر را فعال کن.
گام ۲: در همین مود سیم باتری را بکش و چند ثانیه صبر کن.
گام ۳: باتری را وصل کن.</t>
        </is>
      </c>
      <c r="F9" s="59" t="inlineStr">
        <is>
          <t>قطع و وصل باتری داخل مود دستی</t>
        </is>
      </c>
      <c r="G9" s="59" t="inlineStr">
        <is>
          <t>یک دقیقه</t>
        </is>
      </c>
      <c r="H9" s="57" t="inlineStr">
        <is>
          <t>در مود دستی خطای ۶ ساخته نمی‌شود و چراغ قرمز قطع باتری نمی‌آید</t>
        </is>
      </c>
      <c r="I9" s="57" t="inlineStr">
        <is>
          <t>بدون قفل در مود دستی</t>
        </is>
      </c>
      <c r="J9" s="57" t="inlineStr">
        <is>
          <t>باید ببینید: در مود دستی خطای قطع باتری ساخته نمی‌شود و چراغ قرمز آن نمی‌آید. اگر خطا آمد، قبول نیست.</t>
        </is>
      </c>
      <c r="K9" s="52" t="n"/>
      <c r="L9" s="55" t="inlineStr">
        <is>
          <t>در انتظار</t>
        </is>
      </c>
      <c r="M9" s="52" t="n"/>
      <c r="N9" s="52" t="n"/>
      <c r="O9" s="59" t="inlineStr">
        <is>
          <t>(بعد از تست پر شود)</t>
        </is>
      </c>
      <c r="P9" s="54" t="n"/>
      <c r="Q9" s="60">
        <f>IF(OR(L9="",L9="در انتظار"),"",IF(Q9="",TODAY(),Q9))</f>
        <v/>
      </c>
    </row>
    <row r="10" ht="54" customHeight="1">
      <c r="A10" s="51" t="inlineStr">
        <is>
          <t>FL-008</t>
        </is>
      </c>
      <c r="B10" s="81" t="inlineStr">
        <is>
          <t>خروج از مود دستی</t>
        </is>
      </c>
      <c r="C10" s="83" t="inlineStr">
        <is>
          <t>متوسط</t>
        </is>
      </c>
      <c r="D10" s="85" t="inlineStr">
        <is>
          <t>از FL-007 ادامه بده؛ مود دستی فعال است</t>
        </is>
      </c>
      <c r="E10" s="85" t="inlineStr">
        <is>
          <t>گام ۱: از پنل از مود تست دستی خارج شو.
گام ۲: حالا سیم باتری را حین شارژ بکش.
گام ۳: چراغ‌ها را ببین.</t>
        </is>
      </c>
      <c r="F10" s="83" t="inlineStr">
        <is>
          <t>خروج از مود دستی و قطع باتری</t>
        </is>
      </c>
      <c r="G10" s="83" t="inlineStr">
        <is>
          <t>یک دقیقه</t>
        </is>
      </c>
      <c r="H10" s="81" t="inlineStr">
        <is>
          <t>بعد از خروج از مود دستی، قطع باتری دوباره مثل حالت عادی خطای ۶ می‌سازد</t>
        </is>
      </c>
      <c r="I10" s="81" t="inlineStr">
        <is>
          <t>برگشت رفتار عادی</t>
        </is>
      </c>
      <c r="J10" s="85" t="inlineStr">
        <is>
          <t>باید ببینید: بعد از خروج از مود دستی، قطع باتری دوباره خطای همیشگی را می‌سازد. اگر نساخت، قبول نیست.</t>
        </is>
      </c>
      <c r="K10" s="57" t="n"/>
      <c r="L10" s="55" t="inlineStr">
        <is>
          <t>در انتظار</t>
        </is>
      </c>
      <c r="M10" s="57" t="n"/>
      <c r="N10" s="57" t="n"/>
      <c r="O10" s="83" t="inlineStr">
        <is>
          <t>(بعد از تست پر شود)</t>
        </is>
      </c>
      <c r="P10" s="59" t="n"/>
      <c r="Q10" s="84">
        <f>IF(OR(L10="",L10="در انتظار"),"",IF(Q10="",TODAY(),Q10))</f>
        <v/>
      </c>
    </row>
    <row r="11" ht="54" customHeight="1">
      <c r="A11" s="51" t="inlineStr">
        <is>
          <t>FL-010</t>
        </is>
      </c>
      <c r="B11" s="57" t="inlineStr">
        <is>
          <t>تله‌متری</t>
        </is>
      </c>
      <c r="C11" s="59" t="inlineStr">
        <is>
          <t>متوسط</t>
        </is>
      </c>
      <c r="D11" s="57" t="inlineStr">
        <is>
          <t>پنل باز است و تله‌متری زنده را می‌بینی</t>
        </is>
      </c>
      <c r="E11" s="57" t="inlineStr">
        <is>
          <t>گام ۱: حین شارژ سیم باتری را بکش تا خطای ۶ بیاید.
گام ۲: در پنل نگاه کن خطای ۶ و توقف شارژ دیده می‌شود.
گام ۳: باتری را وصل کن و پاک‌شدن خطا را در پنل ببین.</t>
        </is>
      </c>
      <c r="F11" s="59" t="inlineStr">
        <is>
          <t>ساختن و پاک‌کردن خطای ۶ جلوی پنل</t>
        </is>
      </c>
      <c r="G11" s="59" t="inlineStr">
        <is>
          <t>دو دقیقه</t>
        </is>
      </c>
      <c r="H11" s="57" t="inlineStr">
        <is>
          <t>پنل همان چیزی را نشان می‌دهد که روی دستگاه می‌بینی: خطای ۶ می‌آید و با برگشت باتری پاک می‌شود</t>
        </is>
      </c>
      <c r="I11" s="57" t="inlineStr">
        <is>
          <t>هم‌گام با چراغ‌های دستگاه</t>
        </is>
      </c>
      <c r="J11" s="57" t="inlineStr">
        <is>
          <t>باید ببینید: پنل همان چیزی را نشان می‌دهد که روی دستگاه می‌بینید؛ خطا می‌آید و با برگشت باتری پاک می‌شود. اگر پنل با چراغ‌ها اختلاف داشت، قبول نیست.</t>
        </is>
      </c>
      <c r="K11" s="57" t="n"/>
      <c r="L11" s="55" t="inlineStr">
        <is>
          <t>در انتظار</t>
        </is>
      </c>
      <c r="M11" s="57" t="n"/>
      <c r="N11" s="57" t="n"/>
      <c r="O11" s="59" t="inlineStr">
        <is>
          <t>(بعد از تست پر شود)</t>
        </is>
      </c>
      <c r="P11" s="59" t="n"/>
      <c r="Q11" s="60">
        <f>IF(OR(L11="",L11="در انتظار"),"",IF(Q11="",TODAY(),Q11))</f>
        <v/>
      </c>
    </row>
    <row r="12" ht="54" customHeight="1">
      <c r="A12" s="51" t="inlineStr">
        <is>
          <t>FL-004</t>
        </is>
      </c>
      <c r="B12" s="81" t="inlineStr">
        <is>
          <t>هیسترزیس 6/7V</t>
        </is>
      </c>
      <c r="C12" s="83" t="inlineStr">
        <is>
          <t>پایین</t>
        </is>
      </c>
      <c r="D12" s="81" t="inlineStr">
        <is>
          <t>به‌جای یکی از باتری‌ها منبع آزمایشگاهی گذاشته‌ای؛ دستگاه با برق شهر روشن است</t>
        </is>
      </c>
      <c r="E12" s="81" t="inlineStr">
        <is>
          <t>گام ۱: ولتاژ منبع را حدود ۶٫۵ ولت نگه دار (نه وصلِ سالم، نه قطعِ کامل).
گام ۲: دو دقیقه نگاه کن؛ خطا نباید پرپر بزند.
گام ۳: ولتاژ را بالای ۷ ببر (سالم) و بعد زیر ۶ ببر (قطع) و هر بار رفتار را چک کن.</t>
        </is>
      </c>
      <c r="F12" s="83" t="inlineStr">
        <is>
          <t>ولتاژ یک نیم باتری: ۶٫۵ بعد بالای ۷ بعد زیر ۶ ولت</t>
        </is>
      </c>
      <c r="G12" s="83" t="inlineStr">
        <is>
          <t>سه دقیقه</t>
        </is>
      </c>
      <c r="H12" s="81" t="inlineStr">
        <is>
          <t>روی ۶٫۵ نه خطای تازه می‌آید نه پاک و ست می‌شود؛ بالای ۷ سالم است و زیر ۶ خطای ۶ می‌آید</t>
        </is>
      </c>
      <c r="I12" s="81" t="inlineStr">
        <is>
          <t>بدون پرپر دور مرز</t>
        </is>
      </c>
      <c r="J12" s="81" t="inlineStr">
        <is>
          <t>باید ببینید: روی ولتاژ وسط (حدود ۶٫۵ ولت) نه خطای تازه می‌آید نه پرپر می‌زند؛ بالای حد سالم و زیر حد خطا می‌آید. اگر روی وسط پرپر زد، قبول نیست.</t>
        </is>
      </c>
      <c r="K12" s="57" t="n"/>
      <c r="L12" s="55" t="inlineStr">
        <is>
          <t>در انتظار</t>
        </is>
      </c>
      <c r="M12" s="57" t="n"/>
      <c r="N12" s="57" t="n"/>
      <c r="O12" s="83" t="inlineStr">
        <is>
          <t>(بعد از تست پر شود)</t>
        </is>
      </c>
      <c r="P12" s="59" t="n"/>
      <c r="Q12" s="84">
        <f>IF(OR(L12="",L12="در انتظار"),"",IF(Q12="",TODAY(),Q12))</f>
        <v/>
      </c>
    </row>
    <row r="13">
      <c r="A13" s="77" t="n"/>
      <c r="B13" s="77" t="n"/>
      <c r="C13" s="77" t="n"/>
      <c r="D13" s="77" t="n"/>
      <c r="E13" s="77" t="n"/>
      <c r="F13" s="77" t="n"/>
      <c r="G13" s="77" t="n"/>
      <c r="H13" s="77" t="n"/>
      <c r="I13" s="77" t="n"/>
      <c r="J13" s="77" t="n"/>
      <c r="K13" s="77" t="n"/>
      <c r="L13" s="77" t="n"/>
      <c r="M13" s="77" t="n"/>
      <c r="N13" s="77" t="n"/>
      <c r="O13" s="77" t="n"/>
      <c r="P13" s="77" t="n"/>
      <c r="Q13" s="78" t="n"/>
    </row>
    <row r="14">
      <c r="A14" s="77" t="n"/>
      <c r="B14" s="77" t="n"/>
      <c r="C14" s="77" t="n"/>
      <c r="D14" s="77" t="n"/>
      <c r="E14" s="77" t="n"/>
      <c r="F14" s="77" t="n"/>
      <c r="G14" s="77" t="n"/>
      <c r="H14" s="77" t="n"/>
      <c r="I14" s="77" t="n"/>
      <c r="J14" s="77" t="n"/>
      <c r="K14" s="77" t="n"/>
      <c r="L14" s="77" t="n"/>
      <c r="M14" s="77" t="n"/>
      <c r="N14" s="77" t="n"/>
      <c r="O14" s="77" t="n"/>
      <c r="P14" s="77" t="n"/>
      <c r="Q14" s="78" t="n"/>
    </row>
    <row r="15">
      <c r="A15" s="77" t="n"/>
      <c r="B15" s="77" t="n"/>
      <c r="C15" s="77" t="n"/>
      <c r="D15" s="77" t="n"/>
      <c r="E15" s="77" t="n"/>
      <c r="F15" s="77" t="n"/>
      <c r="G15" s="77" t="n"/>
      <c r="H15" s="77" t="n"/>
      <c r="I15" s="77" t="n"/>
      <c r="J15" s="77" t="n"/>
      <c r="K15" s="77" t="n"/>
      <c r="L15" s="77" t="n"/>
      <c r="M15" s="77" t="n"/>
      <c r="N15" s="77" t="n"/>
      <c r="O15" s="77" t="n"/>
      <c r="P15" s="77" t="n"/>
      <c r="Q15" s="78" t="n"/>
    </row>
    <row r="16">
      <c r="A16" s="77" t="n"/>
      <c r="B16" s="77" t="n"/>
      <c r="C16" s="77" t="n"/>
      <c r="D16" s="77" t="n"/>
      <c r="E16" s="77" t="n"/>
      <c r="F16" s="77" t="n"/>
      <c r="G16" s="77" t="n"/>
      <c r="H16" s="77" t="n"/>
      <c r="I16" s="77" t="n"/>
      <c r="J16" s="77" t="n"/>
      <c r="K16" s="77" t="n"/>
      <c r="L16" s="77" t="n"/>
      <c r="M16" s="77" t="n"/>
      <c r="N16" s="77" t="n"/>
      <c r="O16" s="77" t="n"/>
      <c r="P16" s="77" t="n"/>
      <c r="Q16" s="78" t="n"/>
    </row>
    <row r="17">
      <c r="A17" s="77" t="n"/>
      <c r="B17" s="77" t="n"/>
      <c r="C17" s="77" t="n"/>
      <c r="D17" s="77" t="n"/>
      <c r="E17" s="77" t="n"/>
      <c r="F17" s="77" t="n"/>
      <c r="G17" s="77" t="n"/>
      <c r="H17" s="77" t="n"/>
      <c r="I17" s="77" t="n"/>
      <c r="J17" s="77" t="n"/>
      <c r="K17" s="77" t="n"/>
      <c r="L17" s="77" t="n"/>
      <c r="M17" s="77" t="n"/>
      <c r="N17" s="77" t="n"/>
      <c r="O17" s="77" t="n"/>
      <c r="P17" s="77" t="n"/>
      <c r="Q17" s="78" t="n"/>
    </row>
    <row r="18">
      <c r="A18" s="77" t="n"/>
      <c r="B18" s="77" t="n"/>
      <c r="C18" s="77" t="n"/>
      <c r="D18" s="77" t="n"/>
      <c r="E18" s="77" t="n"/>
      <c r="F18" s="77" t="n"/>
      <c r="G18" s="77" t="n"/>
      <c r="H18" s="77" t="n"/>
      <c r="I18" s="77" t="n"/>
      <c r="J18" s="77" t="n"/>
      <c r="K18" s="77" t="n"/>
      <c r="L18" s="77" t="n"/>
      <c r="M18" s="77" t="n"/>
      <c r="N18" s="77" t="n"/>
      <c r="O18" s="77" t="n"/>
      <c r="P18" s="77" t="n"/>
      <c r="Q18" s="78" t="n"/>
    </row>
    <row r="19">
      <c r="A19" s="77" t="n"/>
      <c r="B19" s="77" t="n"/>
      <c r="C19" s="77" t="n"/>
      <c r="D19" s="77" t="n"/>
      <c r="E19" s="77" t="n"/>
      <c r="F19" s="77" t="n"/>
      <c r="G19" s="77" t="n"/>
      <c r="H19" s="77" t="n"/>
      <c r="I19" s="77" t="n"/>
      <c r="J19" s="77" t="n"/>
      <c r="K19" s="77" t="n"/>
      <c r="L19" s="77" t="n"/>
      <c r="M19" s="77" t="n"/>
      <c r="N19" s="77" t="n"/>
      <c r="O19" s="77" t="n"/>
      <c r="P19" s="77" t="n"/>
      <c r="Q19" s="78" t="n"/>
    </row>
    <row r="20">
      <c r="A20" s="77" t="n"/>
      <c r="B20" s="77" t="n"/>
      <c r="C20" s="77" t="n"/>
      <c r="D20" s="77" t="n"/>
      <c r="E20" s="77" t="n"/>
      <c r="F20" s="77" t="n"/>
      <c r="G20" s="77" t="n"/>
      <c r="H20" s="77" t="n"/>
      <c r="I20" s="77" t="n"/>
      <c r="J20" s="77" t="n"/>
      <c r="K20" s="77" t="n"/>
      <c r="L20" s="77" t="n"/>
      <c r="M20" s="77" t="n"/>
      <c r="N20" s="77" t="n"/>
      <c r="O20" s="77" t="n"/>
      <c r="P20" s="77" t="n"/>
      <c r="Q20" s="78" t="n"/>
    </row>
    <row r="21">
      <c r="A21" s="77" t="n"/>
      <c r="B21" s="77" t="n"/>
      <c r="C21" s="77" t="n"/>
      <c r="D21" s="77" t="n"/>
      <c r="E21" s="77" t="n"/>
      <c r="F21" s="77" t="n"/>
      <c r="G21" s="77" t="n"/>
      <c r="H21" s="77" t="n"/>
      <c r="I21" s="77" t="n"/>
      <c r="J21" s="77" t="n"/>
      <c r="K21" s="77" t="n"/>
      <c r="L21" s="77" t="n"/>
      <c r="M21" s="77" t="n"/>
      <c r="N21" s="77" t="n"/>
      <c r="O21" s="77" t="n"/>
      <c r="P21" s="77" t="n"/>
      <c r="Q21" s="78" t="n"/>
    </row>
    <row r="22">
      <c r="A22" s="77" t="n"/>
      <c r="B22" s="77" t="n"/>
      <c r="C22" s="77" t="n"/>
      <c r="D22" s="77" t="n"/>
      <c r="E22" s="77" t="n"/>
      <c r="F22" s="77" t="n"/>
      <c r="G22" s="77" t="n"/>
      <c r="H22" s="77" t="n"/>
      <c r="I22" s="77" t="n"/>
      <c r="J22" s="77" t="n"/>
      <c r="K22" s="77" t="n"/>
      <c r="L22" s="77" t="n"/>
      <c r="M22" s="77" t="n"/>
      <c r="N22" s="77" t="n"/>
      <c r="O22" s="77" t="n"/>
      <c r="P22" s="77" t="n"/>
      <c r="Q22" s="78" t="n"/>
    </row>
    <row r="23">
      <c r="A23" s="77" t="n"/>
      <c r="B23" s="77" t="n"/>
      <c r="C23" s="77" t="n"/>
      <c r="D23" s="77" t="n"/>
      <c r="E23" s="77" t="n"/>
      <c r="F23" s="77" t="n"/>
      <c r="G23" s="77" t="n"/>
      <c r="H23" s="77" t="n"/>
      <c r="I23" s="77" t="n"/>
      <c r="J23" s="77" t="n"/>
      <c r="K23" s="77" t="n"/>
      <c r="L23" s="77" t="n"/>
      <c r="M23" s="77" t="n"/>
      <c r="N23" s="77" t="n"/>
      <c r="O23" s="77" t="n"/>
      <c r="P23" s="77" t="n"/>
      <c r="Q23" s="78" t="n"/>
    </row>
    <row r="24">
      <c r="A24" s="77" t="n"/>
      <c r="B24" s="77" t="n"/>
      <c r="C24" s="77" t="n"/>
      <c r="D24" s="77" t="n"/>
      <c r="E24" s="77" t="n"/>
      <c r="F24" s="77" t="n"/>
      <c r="G24" s="77" t="n"/>
      <c r="H24" s="77" t="n"/>
      <c r="I24" s="77" t="n"/>
      <c r="J24" s="77" t="n"/>
      <c r="K24" s="77" t="n"/>
      <c r="L24" s="77" t="n"/>
      <c r="M24" s="77" t="n"/>
      <c r="N24" s="77" t="n"/>
      <c r="O24" s="77" t="n"/>
      <c r="P24" s="77" t="n"/>
      <c r="Q24" s="78" t="n"/>
    </row>
    <row r="25">
      <c r="A25" s="77" t="n"/>
      <c r="B25" s="77" t="n"/>
      <c r="C25" s="77" t="n"/>
      <c r="D25" s="77" t="n"/>
      <c r="E25" s="77" t="n"/>
      <c r="F25" s="77" t="n"/>
      <c r="G25" s="77" t="n"/>
      <c r="H25" s="77" t="n"/>
      <c r="I25" s="77" t="n"/>
      <c r="J25" s="77" t="n"/>
      <c r="K25" s="77" t="n"/>
      <c r="L25" s="77" t="n"/>
      <c r="M25" s="77" t="n"/>
      <c r="N25" s="77" t="n"/>
      <c r="O25" s="77" t="n"/>
      <c r="P25" s="77" t="n"/>
      <c r="Q25" s="78" t="n"/>
    </row>
    <row r="26">
      <c r="A26" s="77" t="n"/>
      <c r="B26" s="77" t="n"/>
      <c r="C26" s="77" t="n"/>
      <c r="D26" s="77" t="n"/>
      <c r="E26" s="77" t="n"/>
      <c r="F26" s="77" t="n"/>
      <c r="G26" s="77" t="n"/>
      <c r="H26" s="77" t="n"/>
      <c r="I26" s="77" t="n"/>
      <c r="J26" s="77" t="n"/>
      <c r="K26" s="77" t="n"/>
      <c r="L26" s="77" t="n"/>
      <c r="M26" s="77" t="n"/>
      <c r="N26" s="77" t="n"/>
      <c r="O26" s="77" t="n"/>
      <c r="P26" s="77" t="n"/>
      <c r="Q26" s="78" t="n"/>
    </row>
    <row r="27">
      <c r="A27" s="77" t="n"/>
      <c r="B27" s="77" t="n"/>
      <c r="C27" s="77" t="n"/>
      <c r="D27" s="77" t="n"/>
      <c r="E27" s="77" t="n"/>
      <c r="F27" s="77" t="n"/>
      <c r="G27" s="77" t="n"/>
      <c r="H27" s="77" t="n"/>
      <c r="I27" s="77" t="n"/>
      <c r="J27" s="77" t="n"/>
      <c r="K27" s="77" t="n"/>
      <c r="L27" s="77" t="n"/>
      <c r="M27" s="77" t="n"/>
      <c r="N27" s="77" t="n"/>
      <c r="O27" s="77" t="n"/>
      <c r="P27" s="77" t="n"/>
      <c r="Q27" s="78" t="n"/>
    </row>
    <row r="28">
      <c r="A28" s="77" t="n"/>
      <c r="B28" s="77" t="n"/>
      <c r="C28" s="77" t="n"/>
      <c r="D28" s="77" t="n"/>
      <c r="E28" s="77" t="n"/>
      <c r="F28" s="77" t="n"/>
      <c r="G28" s="77" t="n"/>
      <c r="H28" s="77" t="n"/>
      <c r="I28" s="77" t="n"/>
      <c r="J28" s="77" t="n"/>
      <c r="K28" s="77" t="n"/>
      <c r="L28" s="77" t="n"/>
      <c r="M28" s="77" t="n"/>
      <c r="N28" s="77" t="n"/>
      <c r="O28" s="77" t="n"/>
      <c r="P28" s="77" t="n"/>
      <c r="Q28" s="78" t="n"/>
    </row>
    <row r="29">
      <c r="A29" s="77" t="n"/>
      <c r="B29" s="77" t="n"/>
      <c r="C29" s="77" t="n"/>
      <c r="D29" s="77" t="n"/>
      <c r="E29" s="77" t="n"/>
      <c r="F29" s="77" t="n"/>
      <c r="G29" s="77" t="n"/>
      <c r="H29" s="77" t="n"/>
      <c r="I29" s="77" t="n"/>
      <c r="J29" s="77" t="n"/>
      <c r="K29" s="77" t="n"/>
      <c r="L29" s="77" t="n"/>
      <c r="M29" s="77" t="n"/>
      <c r="N29" s="77" t="n"/>
      <c r="O29" s="77" t="n"/>
      <c r="P29" s="77" t="n"/>
      <c r="Q29" s="78" t="n"/>
    </row>
    <row r="30">
      <c r="A30" s="77" t="n"/>
      <c r="B30" s="77" t="n"/>
      <c r="C30" s="77" t="n"/>
      <c r="D30" s="77" t="n"/>
      <c r="E30" s="77" t="n"/>
      <c r="F30" s="77" t="n"/>
      <c r="G30" s="77" t="n"/>
      <c r="H30" s="77" t="n"/>
      <c r="I30" s="77" t="n"/>
      <c r="J30" s="77" t="n"/>
      <c r="K30" s="77" t="n"/>
      <c r="L30" s="77" t="n"/>
      <c r="M30" s="77" t="n"/>
      <c r="N30" s="77" t="n"/>
      <c r="O30" s="77" t="n"/>
      <c r="P30" s="77" t="n"/>
      <c r="Q30" s="78" t="n"/>
    </row>
    <row r="31">
      <c r="A31" s="77" t="n"/>
      <c r="B31" s="77" t="n"/>
      <c r="C31" s="77" t="n"/>
      <c r="D31" s="77" t="n"/>
      <c r="E31" s="77" t="n"/>
      <c r="F31" s="77" t="n"/>
      <c r="G31" s="77" t="n"/>
      <c r="H31" s="77" t="n"/>
      <c r="I31" s="77" t="n"/>
      <c r="J31" s="77" t="n"/>
      <c r="K31" s="77" t="n"/>
      <c r="L31" s="77" t="n"/>
      <c r="M31" s="77" t="n"/>
      <c r="N31" s="77" t="n"/>
      <c r="O31" s="77" t="n"/>
      <c r="P31" s="77" t="n"/>
      <c r="Q31" s="78" t="n"/>
    </row>
    <row r="32">
      <c r="A32" s="77" t="n"/>
      <c r="B32" s="77" t="n"/>
      <c r="C32" s="77" t="n"/>
      <c r="D32" s="77" t="n"/>
      <c r="E32" s="77" t="n"/>
      <c r="F32" s="77" t="n"/>
      <c r="G32" s="77" t="n"/>
      <c r="H32" s="77" t="n"/>
      <c r="I32" s="77" t="n"/>
      <c r="J32" s="77" t="n"/>
      <c r="K32" s="77" t="n"/>
      <c r="L32" s="77" t="n"/>
      <c r="M32" s="77" t="n"/>
      <c r="N32" s="77" t="n"/>
      <c r="O32" s="77" t="n"/>
      <c r="P32" s="77" t="n"/>
      <c r="Q32" s="78" t="n"/>
    </row>
    <row r="33">
      <c r="A33" s="77" t="n"/>
      <c r="B33" s="77" t="n"/>
      <c r="C33" s="77" t="n"/>
      <c r="D33" s="77" t="n"/>
      <c r="E33" s="77" t="n"/>
      <c r="F33" s="77" t="n"/>
      <c r="G33" s="77" t="n"/>
      <c r="H33" s="77" t="n"/>
      <c r="I33" s="77" t="n"/>
      <c r="J33" s="77" t="n"/>
      <c r="K33" s="77" t="n"/>
      <c r="L33" s="77" t="n"/>
      <c r="M33" s="77" t="n"/>
      <c r="N33" s="77" t="n"/>
      <c r="O33" s="77" t="n"/>
      <c r="P33" s="77" t="n"/>
      <c r="Q33" s="78" t="n"/>
    </row>
    <row r="34">
      <c r="A34" s="77" t="n"/>
      <c r="B34" s="77" t="n"/>
      <c r="C34" s="77" t="n"/>
      <c r="D34" s="77" t="n"/>
      <c r="E34" s="77" t="n"/>
      <c r="F34" s="77" t="n"/>
      <c r="G34" s="77" t="n"/>
      <c r="H34" s="77" t="n"/>
      <c r="I34" s="77" t="n"/>
      <c r="J34" s="77" t="n"/>
      <c r="K34" s="77" t="n"/>
      <c r="L34" s="77" t="n"/>
      <c r="M34" s="77" t="n"/>
      <c r="N34" s="77" t="n"/>
      <c r="O34" s="77" t="n"/>
      <c r="P34" s="77" t="n"/>
      <c r="Q34" s="78" t="n"/>
    </row>
    <row r="35">
      <c r="A35" s="77" t="n"/>
      <c r="B35" s="77" t="n"/>
      <c r="C35" s="77" t="n"/>
      <c r="D35" s="77" t="n"/>
      <c r="E35" s="77" t="n"/>
      <c r="F35" s="77" t="n"/>
      <c r="G35" s="77" t="n"/>
      <c r="H35" s="77" t="n"/>
      <c r="I35" s="77" t="n"/>
      <c r="J35" s="77" t="n"/>
      <c r="K35" s="77" t="n"/>
      <c r="L35" s="77" t="n"/>
      <c r="M35" s="77" t="n"/>
      <c r="N35" s="77" t="n"/>
      <c r="O35" s="77" t="n"/>
      <c r="P35" s="77" t="n"/>
      <c r="Q35" s="78" t="n"/>
    </row>
    <row r="36">
      <c r="A36" s="77" t="n"/>
      <c r="B36" s="77" t="n"/>
      <c r="C36" s="77" t="n"/>
      <c r="D36" s="77" t="n"/>
      <c r="E36" s="77" t="n"/>
      <c r="F36" s="77" t="n"/>
      <c r="G36" s="77" t="n"/>
      <c r="H36" s="77" t="n"/>
      <c r="I36" s="77" t="n"/>
      <c r="J36" s="77" t="n"/>
      <c r="K36" s="77" t="n"/>
      <c r="L36" s="77" t="n"/>
      <c r="M36" s="77" t="n"/>
      <c r="N36" s="77" t="n"/>
      <c r="O36" s="77" t="n"/>
      <c r="P36" s="77" t="n"/>
      <c r="Q36" s="78" t="n"/>
    </row>
    <row r="37">
      <c r="A37" s="77" t="n"/>
      <c r="B37" s="77" t="n"/>
      <c r="C37" s="77" t="n"/>
      <c r="D37" s="77" t="n"/>
      <c r="E37" s="77" t="n"/>
      <c r="F37" s="77" t="n"/>
      <c r="G37" s="77" t="n"/>
      <c r="H37" s="77" t="n"/>
      <c r="I37" s="77" t="n"/>
      <c r="J37" s="77" t="n"/>
      <c r="K37" s="77" t="n"/>
      <c r="L37" s="77" t="n"/>
      <c r="M37" s="77" t="n"/>
      <c r="N37" s="77" t="n"/>
      <c r="O37" s="77" t="n"/>
      <c r="P37" s="77" t="n"/>
      <c r="Q37" s="78" t="n"/>
    </row>
    <row r="38">
      <c r="A38" s="77" t="n"/>
      <c r="B38" s="77" t="n"/>
      <c r="C38" s="77" t="n"/>
      <c r="D38" s="77" t="n"/>
      <c r="E38" s="77" t="n"/>
      <c r="F38" s="77" t="n"/>
      <c r="G38" s="77" t="n"/>
      <c r="H38" s="77" t="n"/>
      <c r="I38" s="77" t="n"/>
      <c r="J38" s="77" t="n"/>
      <c r="K38" s="77" t="n"/>
      <c r="L38" s="77" t="n"/>
      <c r="M38" s="77" t="n"/>
      <c r="N38" s="77" t="n"/>
      <c r="O38" s="77" t="n"/>
      <c r="P38" s="77" t="n"/>
      <c r="Q38" s="78" t="n"/>
    </row>
    <row r="39">
      <c r="A39" s="77" t="n"/>
      <c r="B39" s="77" t="n"/>
      <c r="C39" s="77" t="n"/>
      <c r="D39" s="77" t="n"/>
      <c r="E39" s="77" t="n"/>
      <c r="F39" s="77" t="n"/>
      <c r="G39" s="77" t="n"/>
      <c r="H39" s="77" t="n"/>
      <c r="I39" s="77" t="n"/>
      <c r="J39" s="77" t="n"/>
      <c r="K39" s="77" t="n"/>
      <c r="L39" s="77" t="n"/>
      <c r="M39" s="77" t="n"/>
      <c r="N39" s="77" t="n"/>
      <c r="O39" s="77" t="n"/>
      <c r="P39" s="77" t="n"/>
      <c r="Q39" s="78" t="n"/>
    </row>
    <row r="40">
      <c r="A40" s="77" t="n"/>
      <c r="B40" s="77" t="n"/>
      <c r="C40" s="77" t="n"/>
      <c r="D40" s="77" t="n"/>
      <c r="E40" s="77" t="n"/>
      <c r="F40" s="77" t="n"/>
      <c r="G40" s="77" t="n"/>
      <c r="H40" s="77" t="n"/>
      <c r="I40" s="77" t="n"/>
      <c r="J40" s="77" t="n"/>
      <c r="K40" s="77" t="n"/>
      <c r="L40" s="77" t="n"/>
      <c r="M40" s="77" t="n"/>
      <c r="N40" s="77" t="n"/>
      <c r="O40" s="77" t="n"/>
      <c r="P40" s="77" t="n"/>
      <c r="Q40" s="78" t="n"/>
    </row>
    <row r="41">
      <c r="A41" s="77" t="n"/>
      <c r="B41" s="77" t="n"/>
      <c r="C41" s="77" t="n"/>
      <c r="D41" s="77" t="n"/>
      <c r="E41" s="77" t="n"/>
      <c r="F41" s="77" t="n"/>
      <c r="G41" s="77" t="n"/>
      <c r="H41" s="77" t="n"/>
      <c r="I41" s="77" t="n"/>
      <c r="J41" s="77" t="n"/>
      <c r="K41" s="77" t="n"/>
      <c r="L41" s="77" t="n"/>
      <c r="M41" s="77" t="n"/>
      <c r="N41" s="77" t="n"/>
      <c r="O41" s="77" t="n"/>
      <c r="P41" s="77" t="n"/>
      <c r="Q41" s="78" t="n"/>
    </row>
    <row r="42">
      <c r="A42" s="77" t="n"/>
      <c r="B42" s="77" t="n"/>
      <c r="C42" s="77" t="n"/>
      <c r="D42" s="77" t="n"/>
      <c r="E42" s="77" t="n"/>
      <c r="F42" s="77" t="n"/>
      <c r="G42" s="77" t="n"/>
      <c r="H42" s="77" t="n"/>
      <c r="I42" s="77" t="n"/>
      <c r="J42" s="77" t="n"/>
      <c r="K42" s="77" t="n"/>
      <c r="L42" s="77" t="n"/>
      <c r="M42" s="77" t="n"/>
      <c r="N42" s="77" t="n"/>
      <c r="O42" s="77" t="n"/>
      <c r="P42" s="77" t="n"/>
      <c r="Q42" s="78" t="n"/>
    </row>
    <row r="43">
      <c r="A43" s="77" t="n"/>
      <c r="B43" s="77" t="n"/>
      <c r="C43" s="77" t="n"/>
      <c r="D43" s="77" t="n"/>
      <c r="E43" s="77" t="n"/>
      <c r="F43" s="77" t="n"/>
      <c r="G43" s="77" t="n"/>
      <c r="H43" s="77" t="n"/>
      <c r="I43" s="77" t="n"/>
      <c r="J43" s="77" t="n"/>
      <c r="K43" s="77" t="n"/>
      <c r="L43" s="77" t="n"/>
      <c r="M43" s="77" t="n"/>
      <c r="N43" s="77" t="n"/>
      <c r="O43" s="77" t="n"/>
      <c r="P43" s="77" t="n"/>
      <c r="Q43" s="78" t="n"/>
    </row>
    <row r="44">
      <c r="A44" s="77" t="n"/>
      <c r="B44" s="77" t="n"/>
      <c r="C44" s="77" t="n"/>
      <c r="D44" s="77" t="n"/>
      <c r="E44" s="77" t="n"/>
      <c r="F44" s="77" t="n"/>
      <c r="G44" s="77" t="n"/>
      <c r="H44" s="77" t="n"/>
      <c r="I44" s="77" t="n"/>
      <c r="J44" s="77" t="n"/>
      <c r="K44" s="77" t="n"/>
      <c r="L44" s="77" t="n"/>
      <c r="M44" s="77" t="n"/>
      <c r="N44" s="77" t="n"/>
      <c r="O44" s="77" t="n"/>
      <c r="P44" s="77" t="n"/>
      <c r="Q44" s="78" t="n"/>
    </row>
    <row r="45">
      <c r="A45" s="77" t="n"/>
      <c r="B45" s="77" t="n"/>
      <c r="C45" s="77" t="n"/>
      <c r="D45" s="77" t="n"/>
      <c r="E45" s="77" t="n"/>
      <c r="F45" s="77" t="n"/>
      <c r="G45" s="77" t="n"/>
      <c r="H45" s="77" t="n"/>
      <c r="I45" s="77" t="n"/>
      <c r="J45" s="77" t="n"/>
      <c r="K45" s="77" t="n"/>
      <c r="L45" s="77" t="n"/>
      <c r="M45" s="77" t="n"/>
      <c r="N45" s="77" t="n"/>
      <c r="O45" s="77" t="n"/>
      <c r="P45" s="77" t="n"/>
      <c r="Q45" s="78" t="n"/>
    </row>
    <row r="46">
      <c r="A46" s="77" t="n"/>
      <c r="B46" s="77" t="n"/>
      <c r="C46" s="77" t="n"/>
      <c r="D46" s="77" t="n"/>
      <c r="E46" s="77" t="n"/>
      <c r="F46" s="77" t="n"/>
      <c r="G46" s="77" t="n"/>
      <c r="H46" s="77" t="n"/>
      <c r="I46" s="77" t="n"/>
      <c r="J46" s="77" t="n"/>
      <c r="K46" s="77" t="n"/>
      <c r="L46" s="77" t="n"/>
      <c r="M46" s="77" t="n"/>
      <c r="N46" s="77" t="n"/>
      <c r="O46" s="77" t="n"/>
      <c r="P46" s="77" t="n"/>
      <c r="Q46" s="78" t="n"/>
    </row>
    <row r="47">
      <c r="A47" s="77" t="n"/>
      <c r="B47" s="77" t="n"/>
      <c r="C47" s="77" t="n"/>
      <c r="D47" s="77" t="n"/>
      <c r="E47" s="77" t="n"/>
      <c r="F47" s="77" t="n"/>
      <c r="G47" s="77" t="n"/>
      <c r="H47" s="77" t="n"/>
      <c r="I47" s="77" t="n"/>
      <c r="J47" s="77" t="n"/>
      <c r="K47" s="77" t="n"/>
      <c r="L47" s="77" t="n"/>
      <c r="M47" s="77" t="n"/>
      <c r="N47" s="77" t="n"/>
      <c r="O47" s="77" t="n"/>
      <c r="P47" s="77" t="n"/>
      <c r="Q47" s="78" t="n"/>
    </row>
    <row r="48">
      <c r="A48" s="77" t="n"/>
      <c r="B48" s="77" t="n"/>
      <c r="C48" s="77" t="n"/>
      <c r="D48" s="77" t="n"/>
      <c r="E48" s="77" t="n"/>
      <c r="F48" s="77" t="n"/>
      <c r="G48" s="77" t="n"/>
      <c r="H48" s="77" t="n"/>
      <c r="I48" s="77" t="n"/>
      <c r="J48" s="77" t="n"/>
      <c r="K48" s="77" t="n"/>
      <c r="L48" s="77" t="n"/>
      <c r="M48" s="77" t="n"/>
      <c r="N48" s="77" t="n"/>
      <c r="O48" s="77" t="n"/>
      <c r="P48" s="77" t="n"/>
      <c r="Q48" s="78" t="n"/>
    </row>
    <row r="49">
      <c r="A49" s="77" t="n"/>
      <c r="B49" s="77" t="n"/>
      <c r="C49" s="77" t="n"/>
      <c r="D49" s="77" t="n"/>
      <c r="E49" s="77" t="n"/>
      <c r="F49" s="77" t="n"/>
      <c r="G49" s="77" t="n"/>
      <c r="H49" s="77" t="n"/>
      <c r="I49" s="77" t="n"/>
      <c r="J49" s="77" t="n"/>
      <c r="K49" s="77" t="n"/>
      <c r="L49" s="77" t="n"/>
      <c r="M49" s="77" t="n"/>
      <c r="N49" s="77" t="n"/>
      <c r="O49" s="77" t="n"/>
      <c r="P49" s="77" t="n"/>
      <c r="Q49" s="78" t="n"/>
    </row>
    <row r="50">
      <c r="A50" s="77" t="n"/>
      <c r="B50" s="77" t="n"/>
      <c r="C50" s="77" t="n"/>
      <c r="D50" s="77" t="n"/>
      <c r="E50" s="77" t="n"/>
      <c r="F50" s="77" t="n"/>
      <c r="G50" s="77" t="n"/>
      <c r="H50" s="77" t="n"/>
      <c r="I50" s="77" t="n"/>
      <c r="J50" s="77" t="n"/>
      <c r="K50" s="77" t="n"/>
      <c r="L50" s="77" t="n"/>
      <c r="M50" s="77" t="n"/>
      <c r="N50" s="77" t="n"/>
      <c r="O50" s="77" t="n"/>
      <c r="P50" s="77" t="n"/>
      <c r="Q50" s="78" t="n"/>
    </row>
    <row r="51">
      <c r="A51" s="77" t="n"/>
      <c r="B51" s="77" t="n"/>
      <c r="C51" s="77" t="n"/>
      <c r="D51" s="77" t="n"/>
      <c r="E51" s="77" t="n"/>
      <c r="F51" s="77" t="n"/>
      <c r="G51" s="77" t="n"/>
      <c r="H51" s="77" t="n"/>
      <c r="I51" s="77" t="n"/>
      <c r="J51" s="77" t="n"/>
      <c r="K51" s="77" t="n"/>
      <c r="L51" s="77" t="n"/>
      <c r="M51" s="77" t="n"/>
      <c r="N51" s="77" t="n"/>
      <c r="O51" s="77" t="n"/>
      <c r="P51" s="77" t="n"/>
      <c r="Q51" s="78" t="n"/>
    </row>
    <row r="52">
      <c r="A52" s="77" t="n"/>
      <c r="B52" s="77" t="n"/>
      <c r="C52" s="77" t="n"/>
      <c r="D52" s="77" t="n"/>
      <c r="E52" s="77" t="n"/>
      <c r="F52" s="77" t="n"/>
      <c r="G52" s="77" t="n"/>
      <c r="H52" s="77" t="n"/>
      <c r="I52" s="77" t="n"/>
      <c r="J52" s="77" t="n"/>
      <c r="K52" s="77" t="n"/>
      <c r="L52" s="77" t="n"/>
      <c r="M52" s="77" t="n"/>
      <c r="N52" s="77" t="n"/>
      <c r="O52" s="77" t="n"/>
      <c r="P52" s="77" t="n"/>
      <c r="Q52" s="78" t="n"/>
    </row>
  </sheetData>
  <autoFilter ref="A4:Q54"/>
  <mergeCells count="3">
    <mergeCell ref="A3:Q3"/>
    <mergeCell ref="A2:Q2"/>
    <mergeCell ref="A1:Q1"/>
  </mergeCells>
  <dataValidations count="2">
    <dataValidation sqref="C5:C12" showDropDown="0" showInputMessage="0" showErrorMessage="0" allowBlank="1" type="list">
      <formula1>='فهرست‌ها'!$B$9:$B$11</formula1>
    </dataValidation>
    <dataValidation sqref="L5:L12" showDropDown="0" showInputMessage="0" showErrorMessage="0" allowBlank="1" type="list">
      <formula1>='فهرست‌ها'!$A$2:$A$7</formula1>
    </dataValidation>
  </dataValidations>
  <hyperlinks>
    <hyperlink ref="D7" location="'برنامه تست'!A5"/>
    <hyperlink ref="D8" location="'برنامه تست'!A5"/>
    <hyperlink ref="D10" location="'برنامه تست'!A9"/>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385723"/>
    <outlinePr summaryBelow="1" summaryRight="1"/>
    <pageSetUpPr fitToPage="1"/>
  </sheetPr>
  <dimension ref="A1:Q2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86" t="inlineStr">
        <is>
          <t>تست‌های برنامه‌نویسی و هاست (جدا از ولیدیشن عملی برد)</t>
        </is>
      </c>
      <c r="B1" s="50" t="n"/>
      <c r="C1" s="50" t="n"/>
      <c r="D1" s="50" t="n"/>
      <c r="E1" s="50" t="n"/>
      <c r="F1" s="50" t="n"/>
      <c r="G1" s="50" t="n"/>
      <c r="H1" s="50" t="n"/>
      <c r="I1" s="50" t="n"/>
      <c r="J1" s="50" t="n"/>
      <c r="K1" s="50" t="n"/>
      <c r="L1" s="50" t="n"/>
      <c r="M1" s="50" t="n"/>
      <c r="N1" s="50" t="n"/>
      <c r="O1" s="50" t="n"/>
      <c r="P1" s="50" t="n"/>
      <c r="Q1" s="50" t="n"/>
    </row>
    <row r="2" ht="42" customHeight="1">
      <c r="A2" s="50" t="n"/>
      <c r="B2" s="65"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50" t="n"/>
      <c r="D2" s="50" t="n"/>
      <c r="E2" s="50" t="n"/>
      <c r="F2" s="50" t="n"/>
      <c r="G2" s="50" t="n"/>
      <c r="H2" s="50" t="n"/>
      <c r="I2" s="50" t="n"/>
      <c r="J2" s="50" t="n"/>
      <c r="K2" s="50" t="n"/>
      <c r="L2" s="50" t="n"/>
      <c r="M2" s="50" t="n"/>
      <c r="N2" s="50" t="n"/>
      <c r="O2" s="50" t="n"/>
      <c r="P2" s="50" t="n"/>
      <c r="Q2" s="50" t="n"/>
    </row>
    <row r="3">
      <c r="A3" s="50" t="n"/>
      <c r="B3" s="50" t="n"/>
      <c r="C3" s="50" t="n"/>
      <c r="D3" s="50" t="n"/>
      <c r="E3" s="50" t="n"/>
      <c r="F3" s="50" t="n"/>
      <c r="G3" s="50" t="n"/>
      <c r="H3" s="50" t="n"/>
      <c r="I3" s="50" t="n"/>
      <c r="J3" s="50" t="n"/>
      <c r="K3" s="50" t="n"/>
      <c r="L3" s="50" t="n"/>
      <c r="M3" s="50" t="n"/>
      <c r="N3" s="50" t="n"/>
      <c r="O3" s="50" t="n"/>
      <c r="P3" s="50" t="n"/>
      <c r="Q3" s="50" t="n"/>
    </row>
    <row r="4" ht="30" customHeight="1">
      <c r="A4" s="80" t="inlineStr">
        <is>
          <t>شناسه</t>
        </is>
      </c>
      <c r="B4" s="80" t="inlineStr">
        <is>
          <t>دسته</t>
        </is>
      </c>
      <c r="C4" s="80" t="inlineStr">
        <is>
          <t>اولویت</t>
        </is>
      </c>
      <c r="D4" s="80" t="inlineStr">
        <is>
          <t>پیش‌شرط</t>
        </is>
      </c>
      <c r="E4" s="80" t="inlineStr">
        <is>
          <t>روش اجرای دقیق</t>
        </is>
      </c>
      <c r="F4" s="80" t="inlineStr">
        <is>
          <t>ورودی‌ها / شرایط</t>
        </is>
      </c>
      <c r="G4" s="80" t="inlineStr">
        <is>
          <t>مدت مشاهده</t>
        </is>
      </c>
      <c r="H4" s="80" t="inlineStr">
        <is>
          <t>رفتار مورد انتظار</t>
        </is>
      </c>
      <c r="I4" s="80" t="inlineStr">
        <is>
          <t>می‌ماند یا پاک می‌شود</t>
        </is>
      </c>
      <c r="J4" s="80" t="inlineStr">
        <is>
          <t>معیار قبولی</t>
        </is>
      </c>
      <c r="K4" s="80" t="inlineStr">
        <is>
          <t>نتیجهٔ واقعی / اندازه‌گیری</t>
        </is>
      </c>
      <c r="L4" s="80" t="inlineStr">
        <is>
          <t>وضعیت</t>
        </is>
      </c>
      <c r="M4" s="80" t="inlineStr">
        <is>
          <t>شرح ایراد / تفاوت</t>
        </is>
      </c>
      <c r="N4" s="80" t="inlineStr">
        <is>
          <t>مدرک تست</t>
        </is>
      </c>
      <c r="O4" s="80" t="inlineStr">
        <is>
          <t>نسخهٔ برنامه</t>
        </is>
      </c>
      <c r="P4" s="80" t="inlineStr">
        <is>
          <t>نام تست‌کننده</t>
        </is>
      </c>
      <c r="Q4" s="80" t="inlineStr">
        <is>
          <t>تاریخ</t>
        </is>
      </c>
    </row>
    <row r="5" ht="54" customHeight="1">
      <c r="A5" s="51" t="inlineStr">
        <is>
          <t>FL-009</t>
        </is>
      </c>
      <c r="B5" s="57" t="inlineStr">
        <is>
          <t>تزریق دستی</t>
        </is>
      </c>
      <c r="C5" s="59" t="inlineStr">
        <is>
          <t>پایین</t>
        </is>
      </c>
      <c r="D5" s="57" t="inlineStr">
        <is>
          <t>دیباگر وصل</t>
        </is>
      </c>
      <c r="E5" s="57" t="inlineStr">
        <is>
          <t>گام ۱: دیباگر را وصل کن و مسیر تست func__Fault_Set/Clear را آماده کن.
گام ۲: چند بیت دلخواه را یک بار Set و یک بار Clear کن.
گام ۳: ماسک را با func__Fault_Get بخوان و func__Fault_Any را چک کن.
گام ۴: ماسک باید دقیقاً همان بیت‌هایی باشد که ست کردی و Any با بودن/نبودن بیت درست جواب دهد.</t>
        </is>
      </c>
      <c r="F5" s="59" t="inlineStr">
        <is>
          <t>بیت‌های دلخواه</t>
        </is>
      </c>
      <c r="G5" s="59" t="inlineStr">
        <is>
          <t>—</t>
        </is>
      </c>
      <c r="H5" s="57" t="inlineStr">
        <is>
          <t>ماسک دقیقاً Set/Clear می‌شود</t>
        </is>
      </c>
      <c r="I5" s="57" t="inlineStr">
        <is>
          <t>—</t>
        </is>
      </c>
      <c r="J5" s="57" t="inlineStr">
        <is>
          <t>Get/Any مطابق</t>
        </is>
      </c>
      <c r="K5" s="52" t="n"/>
      <c r="L5" s="55" t="inlineStr">
        <is>
          <t>در انتظار</t>
        </is>
      </c>
      <c r="M5" s="52" t="n"/>
      <c r="N5" s="52" t="n"/>
      <c r="O5" s="59" t="inlineStr">
        <is>
          <t>(بعد از تست پر شود)</t>
        </is>
      </c>
      <c r="P5" s="54" t="n"/>
      <c r="Q5" s="60" t="inlineStr">
        <is>
          <t>2026-09-23</t>
        </is>
      </c>
    </row>
    <row r="6">
      <c r="A6" s="51" t="inlineStr">
        <is>
          <t>FA-020</t>
        </is>
      </c>
      <c r="B6" s="81" t="inlineStr">
        <is>
          <t>snapshot zeroing</t>
        </is>
      </c>
      <c r="C6" s="82" t="inlineStr">
        <is>
          <t>بالا</t>
        </is>
      </c>
      <c r="D6" s="81" t="inlineStr">
        <is>
          <t>valid=false</t>
        </is>
      </c>
      <c r="E6" s="81" t="inlineStr">
        <is>
          <t>گام ۱: یک snapshot نامعتبر بساز: valid=false و هر 9 فیلد صفر.
گام ۲: آن را 2 ثانیه به Fault_Evaluate بده.
گام ۳: ماسک خطا را بخوان. هیچ ثبت یا پاک‌شدن کاذبی نباید اتفاق افتاده باشد.
گام ۴: تابع فقط valid را چک می‌کند و بر اساس فیلدهای صفر تصمیم نمی‌گیرد.</t>
        </is>
      </c>
      <c r="F6" s="83" t="inlineStr">
        <is>
          <t>valid=false</t>
        </is>
      </c>
      <c r="G6" s="83" t="inlineStr">
        <is>
          <t>2s</t>
        </is>
      </c>
      <c r="H6" s="81" t="inlineStr">
        <is>
          <t>بدون Set/Clear کاذب؛ فقط valid چک شود؛ هر 9 فیلد صفر شده باشد</t>
        </is>
      </c>
      <c r="I6" s="81" t="inlineStr">
        <is>
          <t>—</t>
        </is>
      </c>
      <c r="J6" s="81" t="inlineStr">
        <is>
          <t>بدون fault کاذب</t>
        </is>
      </c>
      <c r="K6" s="52" t="n"/>
      <c r="L6" s="66" t="inlineStr">
        <is>
          <t>نیاز به تکرار</t>
        </is>
      </c>
      <c r="M6" s="52" t="n"/>
      <c r="N6" s="52" t="n"/>
      <c r="O6" s="83" t="inlineStr">
        <is>
          <t>62f3782</t>
        </is>
      </c>
      <c r="P6" s="54" t="n"/>
      <c r="Q6" s="84">
        <f>IF(OR(L6="",L6="در انتظار"),"",IF(Q6="",TODAY(),Q6))</f>
        <v/>
      </c>
    </row>
    <row r="7">
      <c r="A7" s="50" t="n"/>
      <c r="B7" s="50" t="n"/>
      <c r="C7" s="50" t="n"/>
      <c r="D7" s="50" t="n"/>
      <c r="E7" s="50" t="n"/>
      <c r="F7" s="50" t="n"/>
      <c r="G7" s="50" t="n"/>
      <c r="H7" s="50" t="n"/>
      <c r="I7" s="50" t="n"/>
      <c r="J7" s="50" t="n"/>
      <c r="K7" s="50" t="n"/>
      <c r="L7" s="50" t="n"/>
      <c r="M7" s="50" t="n"/>
      <c r="N7" s="50" t="n"/>
      <c r="O7" s="50" t="n"/>
      <c r="P7" s="50" t="n"/>
      <c r="Q7" s="63">
        <f>IF(OR(L7="",L7="در انتظار"),"",IF(Q7="",TODAY(),Q7))</f>
        <v/>
      </c>
    </row>
    <row r="8">
      <c r="A8" s="50" t="n"/>
      <c r="B8" s="50" t="n"/>
      <c r="C8" s="50" t="n"/>
      <c r="D8" s="50" t="n"/>
      <c r="E8" s="50" t="n"/>
      <c r="F8" s="50" t="n"/>
      <c r="G8" s="50" t="n"/>
      <c r="H8" s="50" t="n"/>
      <c r="I8" s="50" t="n"/>
      <c r="J8" s="50" t="n"/>
      <c r="K8" s="50" t="n"/>
      <c r="L8" s="50" t="n"/>
      <c r="M8" s="50" t="n"/>
      <c r="N8" s="50" t="n"/>
      <c r="O8" s="50" t="n"/>
      <c r="P8" s="50" t="n"/>
      <c r="Q8" s="63">
        <f>IF(OR(L8="",L8="در انتظار"),"",IF(Q8="",TODAY(),Q8))</f>
        <v/>
      </c>
    </row>
    <row r="9">
      <c r="A9" s="50" t="n"/>
      <c r="B9" s="50" t="n"/>
      <c r="C9" s="50" t="n"/>
      <c r="D9" s="50" t="n"/>
      <c r="E9" s="50" t="n"/>
      <c r="F9" s="50" t="n"/>
      <c r="G9" s="50" t="n"/>
      <c r="H9" s="50" t="n"/>
      <c r="I9" s="50" t="n"/>
      <c r="J9" s="50" t="n"/>
      <c r="K9" s="50" t="n"/>
      <c r="L9" s="50" t="n"/>
      <c r="M9" s="50" t="n"/>
      <c r="N9" s="50" t="n"/>
      <c r="O9" s="50" t="n"/>
      <c r="P9" s="50" t="n"/>
      <c r="Q9" s="63">
        <f>IF(OR(L9="",L9="در انتظار"),"",IF(Q9="",TODAY(),Q9))</f>
        <v/>
      </c>
    </row>
    <row r="10">
      <c r="A10" s="50" t="n"/>
      <c r="B10" s="50" t="n"/>
      <c r="C10" s="50" t="n"/>
      <c r="D10" s="50" t="n"/>
      <c r="E10" s="50" t="n"/>
      <c r="F10" s="50" t="n"/>
      <c r="G10" s="50" t="n"/>
      <c r="H10" s="50" t="n"/>
      <c r="I10" s="50" t="n"/>
      <c r="J10" s="50" t="n"/>
      <c r="K10" s="50" t="n"/>
      <c r="L10" s="50" t="n"/>
      <c r="M10" s="50" t="n"/>
      <c r="N10" s="50" t="n"/>
      <c r="O10" s="50" t="n"/>
      <c r="P10" s="50" t="n"/>
      <c r="Q10" s="63">
        <f>IF(OR(L10="",L10="در انتظار"),"",IF(Q10="",TODAY(),Q10))</f>
        <v/>
      </c>
    </row>
    <row r="11">
      <c r="A11" s="50" t="n"/>
      <c r="B11" s="50" t="n"/>
      <c r="C11" s="50" t="n"/>
      <c r="D11" s="50" t="n"/>
      <c r="E11" s="50" t="n"/>
      <c r="F11" s="50" t="n"/>
      <c r="G11" s="50" t="n"/>
      <c r="H11" s="50" t="n"/>
      <c r="I11" s="50" t="n"/>
      <c r="J11" s="50" t="n"/>
      <c r="K11" s="50" t="n"/>
      <c r="L11" s="50" t="n"/>
      <c r="M11" s="50" t="n"/>
      <c r="N11" s="50" t="n"/>
      <c r="O11" s="50" t="n"/>
      <c r="P11" s="50" t="n"/>
      <c r="Q11" s="63">
        <f>IF(OR(L11="",L11="در انتظار"),"",IF(Q11="",TODAY(),Q11))</f>
        <v/>
      </c>
    </row>
    <row r="12">
      <c r="A12" s="50" t="n"/>
      <c r="B12" s="50" t="n"/>
      <c r="C12" s="50" t="n"/>
      <c r="D12" s="50" t="n"/>
      <c r="E12" s="50" t="n"/>
      <c r="F12" s="50" t="n"/>
      <c r="G12" s="50" t="n"/>
      <c r="H12" s="50" t="n"/>
      <c r="I12" s="50" t="n"/>
      <c r="J12" s="50" t="n"/>
      <c r="K12" s="50" t="n"/>
      <c r="L12" s="50" t="n"/>
      <c r="M12" s="50" t="n"/>
      <c r="N12" s="50" t="n"/>
      <c r="O12" s="50" t="n"/>
      <c r="P12" s="50" t="n"/>
      <c r="Q12" s="63">
        <f>IF(OR(L12="",L12="در انتظار"),"",IF(Q12="",TODAY(),Q12))</f>
        <v/>
      </c>
    </row>
    <row r="13">
      <c r="A13" s="50" t="n"/>
      <c r="B13" s="50" t="n"/>
      <c r="C13" s="50" t="n"/>
      <c r="D13" s="50" t="n"/>
      <c r="E13" s="50" t="n"/>
      <c r="F13" s="50" t="n"/>
      <c r="G13" s="50" t="n"/>
      <c r="H13" s="50" t="n"/>
      <c r="I13" s="50" t="n"/>
      <c r="J13" s="50" t="n"/>
      <c r="K13" s="50" t="n"/>
      <c r="L13" s="50" t="n"/>
      <c r="M13" s="50" t="n"/>
      <c r="N13" s="50" t="n"/>
      <c r="O13" s="50" t="n"/>
      <c r="P13" s="50" t="n"/>
      <c r="Q13" s="63">
        <f>IF(OR(L13="",L13="در انتظار"),"",IF(Q13="",TODAY(),Q13))</f>
        <v/>
      </c>
    </row>
    <row r="14">
      <c r="A14" s="50" t="n"/>
      <c r="B14" s="50" t="n"/>
      <c r="C14" s="50" t="n"/>
      <c r="D14" s="50" t="n"/>
      <c r="E14" s="50" t="n"/>
      <c r="F14" s="50" t="n"/>
      <c r="G14" s="50" t="n"/>
      <c r="H14" s="50" t="n"/>
      <c r="I14" s="50" t="n"/>
      <c r="J14" s="50" t="n"/>
      <c r="K14" s="50" t="n"/>
      <c r="L14" s="50" t="n"/>
      <c r="M14" s="50" t="n"/>
      <c r="N14" s="50" t="n"/>
      <c r="O14" s="50" t="n"/>
      <c r="P14" s="50" t="n"/>
      <c r="Q14" s="63">
        <f>IF(OR(L14="",L14="در انتظار"),"",IF(Q14="",TODAY(),Q14))</f>
        <v/>
      </c>
    </row>
    <row r="15">
      <c r="A15" s="50" t="n"/>
      <c r="B15" s="50" t="n"/>
      <c r="C15" s="50" t="n"/>
      <c r="D15" s="50" t="n"/>
      <c r="E15" s="50" t="n"/>
      <c r="F15" s="50" t="n"/>
      <c r="G15" s="50" t="n"/>
      <c r="H15" s="50" t="n"/>
      <c r="I15" s="50" t="n"/>
      <c r="J15" s="50" t="n"/>
      <c r="K15" s="50" t="n"/>
      <c r="L15" s="50" t="n"/>
      <c r="M15" s="50" t="n"/>
      <c r="N15" s="50" t="n"/>
      <c r="O15" s="50" t="n"/>
      <c r="P15" s="50" t="n"/>
      <c r="Q15" s="63">
        <f>IF(OR(L15="",L15="در انتظار"),"",IF(Q15="",TODAY(),Q15))</f>
        <v/>
      </c>
    </row>
    <row r="16">
      <c r="A16" s="50" t="n"/>
      <c r="B16" s="50" t="n"/>
      <c r="C16" s="50" t="n"/>
      <c r="D16" s="50" t="n"/>
      <c r="E16" s="50" t="n"/>
      <c r="F16" s="50" t="n"/>
      <c r="G16" s="50" t="n"/>
      <c r="H16" s="50" t="n"/>
      <c r="I16" s="50" t="n"/>
      <c r="J16" s="50" t="n"/>
      <c r="K16" s="50" t="n"/>
      <c r="L16" s="50" t="n"/>
      <c r="M16" s="50" t="n"/>
      <c r="N16" s="50" t="n"/>
      <c r="O16" s="50" t="n"/>
      <c r="P16" s="50" t="n"/>
      <c r="Q16" s="63">
        <f>IF(OR(L16="",L16="در انتظار"),"",IF(Q16="",TODAY(),Q16))</f>
        <v/>
      </c>
    </row>
    <row r="17">
      <c r="A17" s="50" t="n"/>
      <c r="B17" s="50" t="n"/>
      <c r="C17" s="50" t="n"/>
      <c r="D17" s="50" t="n"/>
      <c r="E17" s="50" t="n"/>
      <c r="F17" s="50" t="n"/>
      <c r="G17" s="50" t="n"/>
      <c r="H17" s="50" t="n"/>
      <c r="I17" s="50" t="n"/>
      <c r="J17" s="50" t="n"/>
      <c r="K17" s="50" t="n"/>
      <c r="L17" s="50" t="n"/>
      <c r="M17" s="50" t="n"/>
      <c r="N17" s="50" t="n"/>
      <c r="O17" s="50" t="n"/>
      <c r="P17" s="50" t="n"/>
      <c r="Q17" s="63">
        <f>IF(OR(L17="",L17="در انتظار"),"",IF(Q17="",TODAY(),Q17))</f>
        <v/>
      </c>
    </row>
    <row r="18">
      <c r="A18" s="50" t="n"/>
      <c r="B18" s="50" t="n"/>
      <c r="C18" s="50" t="n"/>
      <c r="D18" s="50" t="n"/>
      <c r="E18" s="50" t="n"/>
      <c r="F18" s="50" t="n"/>
      <c r="G18" s="50" t="n"/>
      <c r="H18" s="50" t="n"/>
      <c r="I18" s="50" t="n"/>
      <c r="J18" s="50" t="n"/>
      <c r="K18" s="50" t="n"/>
      <c r="L18" s="50" t="n"/>
      <c r="M18" s="50" t="n"/>
      <c r="N18" s="50" t="n"/>
      <c r="O18" s="50" t="n"/>
      <c r="P18" s="50" t="n"/>
      <c r="Q18" s="63">
        <f>IF(OR(L18="",L18="در انتظار"),"",IF(Q18="",TODAY(),Q18))</f>
        <v/>
      </c>
    </row>
    <row r="19">
      <c r="A19" s="50" t="n"/>
      <c r="B19" s="50" t="n"/>
      <c r="C19" s="50" t="n"/>
      <c r="D19" s="50" t="n"/>
      <c r="E19" s="50" t="n"/>
      <c r="F19" s="50" t="n"/>
      <c r="G19" s="50" t="n"/>
      <c r="H19" s="50" t="n"/>
      <c r="I19" s="50" t="n"/>
      <c r="J19" s="50" t="n"/>
      <c r="K19" s="50" t="n"/>
      <c r="L19" s="50" t="n"/>
      <c r="M19" s="50" t="n"/>
      <c r="N19" s="50" t="n"/>
      <c r="O19" s="50" t="n"/>
      <c r="P19" s="50" t="n"/>
      <c r="Q19" s="63">
        <f>IF(OR(L19="",L19="در انتظار"),"",IF(Q19="",TODAY(),Q19))</f>
        <v/>
      </c>
    </row>
    <row r="20">
      <c r="A20" s="50" t="n"/>
      <c r="B20" s="50" t="n"/>
      <c r="C20" s="50" t="n"/>
      <c r="D20" s="50" t="n"/>
      <c r="E20" s="50" t="n"/>
      <c r="F20" s="50" t="n"/>
      <c r="G20" s="50" t="n"/>
      <c r="H20" s="50" t="n"/>
      <c r="I20" s="50" t="n"/>
      <c r="J20" s="50" t="n"/>
      <c r="K20" s="50" t="n"/>
      <c r="L20" s="50" t="n"/>
      <c r="M20" s="50" t="n"/>
      <c r="N20" s="50" t="n"/>
      <c r="O20" s="50" t="n"/>
      <c r="P20" s="50" t="n"/>
      <c r="Q20" s="63">
        <f>IF(OR(L20="",L20="در انتظار"),"",IF(Q20="",TODAY(),Q20))</f>
        <v/>
      </c>
    </row>
    <row r="21">
      <c r="A21" s="50" t="n"/>
      <c r="B21" s="50" t="n"/>
      <c r="C21" s="50" t="n"/>
      <c r="D21" s="50" t="n"/>
      <c r="E21" s="50" t="n"/>
      <c r="F21" s="50" t="n"/>
      <c r="G21" s="50" t="n"/>
      <c r="H21" s="50" t="n"/>
      <c r="I21" s="50" t="n"/>
      <c r="J21" s="50" t="n"/>
      <c r="K21" s="50" t="n"/>
      <c r="L21" s="50" t="n"/>
      <c r="M21" s="50" t="n"/>
      <c r="N21" s="50" t="n"/>
      <c r="O21" s="50" t="n"/>
      <c r="P21" s="50" t="n"/>
      <c r="Q21" s="63">
        <f>IF(OR(L21="",L21="در انتظار"),"",IF(Q21="",TODAY(),Q21))</f>
        <v/>
      </c>
    </row>
    <row r="22">
      <c r="A22" s="50" t="n"/>
      <c r="B22" s="50" t="n"/>
      <c r="C22" s="50" t="n"/>
      <c r="D22" s="50" t="n"/>
      <c r="E22" s="50" t="n"/>
      <c r="F22" s="50" t="n"/>
      <c r="G22" s="50" t="n"/>
      <c r="H22" s="50" t="n"/>
      <c r="I22" s="50" t="n"/>
      <c r="J22" s="50" t="n"/>
      <c r="K22" s="50" t="n"/>
      <c r="L22" s="50" t="n"/>
      <c r="M22" s="50" t="n"/>
      <c r="N22" s="50" t="n"/>
      <c r="O22" s="50" t="n"/>
      <c r="P22" s="50" t="n"/>
      <c r="Q22" s="63">
        <f>IF(OR(L22="",L22="در انتظار"),"",IF(Q22="",TODAY(),Q22))</f>
        <v/>
      </c>
    </row>
    <row r="23">
      <c r="A23" s="50" t="n"/>
      <c r="B23" s="50" t="n"/>
      <c r="C23" s="50" t="n"/>
      <c r="D23" s="50" t="n"/>
      <c r="E23" s="50" t="n"/>
      <c r="F23" s="50" t="n"/>
      <c r="G23" s="50" t="n"/>
      <c r="H23" s="50" t="n"/>
      <c r="I23" s="50" t="n"/>
      <c r="J23" s="50" t="n"/>
      <c r="K23" s="50" t="n"/>
      <c r="L23" s="50" t="n"/>
      <c r="M23" s="50" t="n"/>
      <c r="N23" s="50" t="n"/>
      <c r="O23" s="50" t="n"/>
      <c r="P23" s="50" t="n"/>
      <c r="Q23" s="63">
        <f>IF(OR(L23="",L23="در انتظار"),"",IF(Q23="",TODAY(),Q23))</f>
        <v/>
      </c>
    </row>
    <row r="24">
      <c r="A24" s="50" t="n"/>
      <c r="B24" s="50" t="n"/>
      <c r="C24" s="50" t="n"/>
      <c r="D24" s="50" t="n"/>
      <c r="E24" s="50" t="n"/>
      <c r="F24" s="50" t="n"/>
      <c r="G24" s="50" t="n"/>
      <c r="H24" s="50" t="n"/>
      <c r="I24" s="50" t="n"/>
      <c r="J24" s="50" t="n"/>
      <c r="K24" s="50" t="n"/>
      <c r="L24" s="50" t="n"/>
      <c r="M24" s="50" t="n"/>
      <c r="N24" s="50" t="n"/>
      <c r="O24" s="50" t="n"/>
      <c r="P24" s="50" t="n"/>
      <c r="Q24" s="63">
        <f>IF(OR(L24="",L24="در انتظار"),"",IF(Q24="",TODAY(),Q24))</f>
        <v/>
      </c>
    </row>
    <row r="25">
      <c r="A25" s="50" t="n"/>
      <c r="B25" s="50" t="n"/>
      <c r="C25" s="50" t="n"/>
      <c r="D25" s="50" t="n"/>
      <c r="E25" s="50" t="n"/>
      <c r="F25" s="50" t="n"/>
      <c r="G25" s="50" t="n"/>
      <c r="H25" s="50" t="n"/>
      <c r="I25" s="50" t="n"/>
      <c r="J25" s="50" t="n"/>
      <c r="K25" s="50" t="n"/>
      <c r="L25" s="50" t="n"/>
      <c r="M25" s="50" t="n"/>
      <c r="N25" s="50" t="n"/>
      <c r="O25" s="50" t="n"/>
      <c r="P25" s="50" t="n"/>
      <c r="Q25" s="63">
        <f>IF(OR(L25="",L25="در انتظار"),"",IF(Q25="",TODAY(),Q25))</f>
        <v/>
      </c>
    </row>
  </sheetData>
  <autoFilter ref="A4:Q5"/>
  <dataValidations count="1">
    <dataValidation sqref="L5 L6 L7 L8 L9 L10 L11 L12 L13 L14 L15 L16 L17 L18 L19 L20 L21 L22 L23 L24 L25"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BF8F00"/>
    <outlinePr summaryBelow="1" summaryRight="1"/>
    <pageSetUpPr/>
  </sheetPr>
  <dimension ref="A1:E8"/>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30" customHeight="1">
      <c r="A1" s="87" t="inlineStr">
        <is>
          <t>مرجع سریع سناریوها و ثابت‌های ماژول Fault</t>
        </is>
      </c>
      <c r="B1" s="40" t="n"/>
      <c r="C1" s="40" t="n"/>
      <c r="D1" s="40" t="n"/>
      <c r="E1" s="41" t="n"/>
    </row>
    <row r="2">
      <c r="A2" s="50" t="n"/>
      <c r="B2" s="50" t="n"/>
      <c r="C2" s="50" t="n"/>
      <c r="D2" s="50" t="n"/>
      <c r="E2" s="50" t="n"/>
    </row>
    <row r="3">
      <c r="A3" s="69" t="inlineStr">
        <is>
          <t>موضوع</t>
        </is>
      </c>
      <c r="B3" s="69" t="inlineStr">
        <is>
          <t>شرط / مقدار</t>
        </is>
      </c>
      <c r="C3" s="69" t="inlineStr">
        <is>
          <t>رفتار مورد انتظار</t>
        </is>
      </c>
      <c r="D3" s="69" t="inlineStr">
        <is>
          <t>ثابت / محل کد</t>
        </is>
      </c>
      <c r="E3" s="69" t="inlineStr">
        <is>
          <t>توضیح</t>
        </is>
      </c>
    </row>
    <row r="4">
      <c r="A4" s="70" t="inlineStr">
        <is>
          <t>قاعدهٔ پمپ</t>
        </is>
      </c>
      <c r="B4" s="70" t="inlineStr">
        <is>
          <t>&gt;14.8V حین BULK/ABSORB، 150ms</t>
        </is>
      </c>
      <c r="C4" s="70" t="inlineStr">
        <is>
          <t>قفل FAULT_CHARGER_BAT_LOST</t>
        </is>
      </c>
      <c r="D4" s="70" t="inlineStr">
        <is>
          <t>FAULT_BAT_DISCONNECT_MV / FAULT_BAT_DISCONNECT_DEBOUNCE_MS</t>
        </is>
      </c>
      <c r="E4" s="70" t="inlineStr">
        <is>
          <t>فقط کانال فعال</t>
        </is>
      </c>
    </row>
    <row r="5">
      <c r="A5" s="70" t="inlineStr">
        <is>
          <t>قاعدهٔ غیبت</t>
        </is>
      </c>
      <c r="B5" s="70" t="inlineStr">
        <is>
          <t>هر نیم &lt;6V با ورودی سالم، 1s</t>
        </is>
      </c>
      <c r="C5" s="70" t="inlineStr">
        <is>
          <t>قفل FAULT_CHARGER_BAT_LOST</t>
        </is>
      </c>
      <c r="D5" s="70" t="inlineStr">
        <is>
          <t>FAULT_BAT_ABSENT_MV / FAULT_BAT_ABSENT_DEBOUNCE_MS</t>
        </is>
      </c>
      <c r="E5" s="70" t="inlineStr">
        <is>
          <t>هرکدام، نه هر دو</t>
        </is>
      </c>
    </row>
    <row r="6">
      <c r="A6" s="70" t="inlineStr">
        <is>
          <t>بازیابی</t>
        </is>
      </c>
      <c r="B6" s="70" t="inlineStr">
        <is>
          <t>هر دو نیم ≥7V بدون پمپ، 1s</t>
        </is>
      </c>
      <c r="C6" s="70" t="inlineStr">
        <is>
          <t>پاک شدن بیت</t>
        </is>
      </c>
      <c r="D6" s="70" t="inlineStr">
        <is>
          <t>FAULT_BATTERY_BACK_MV / FAULT_BAT_RECOVER_MS</t>
        </is>
      </c>
      <c r="E6" s="70" t="inlineStr">
        <is>
          <t>هیسترزیس 1V</t>
        </is>
      </c>
    </row>
    <row r="7">
      <c r="A7" s="70" t="inlineStr">
        <is>
          <t>فریز مود دستی</t>
        </is>
      </c>
      <c r="B7" s="70" t="inlineStr">
        <is>
          <t>IsManualTestModeActive</t>
        </is>
      </c>
      <c r="C7" s="70" t="inlineStr">
        <is>
          <t>بدون Set/Clear، تمپ صفر</t>
        </is>
      </c>
      <c r="D7" s="71" t="inlineStr">
        <is>
          <t>fault.c (v1.2)</t>
        </is>
      </c>
      <c r="E7" s="70" t="inlineStr">
        <is>
          <t>پمپ عمدی عادی‌سازی شد</t>
        </is>
      </c>
    </row>
    <row r="8">
      <c r="A8" s="70" t="inlineStr">
        <is>
          <t>بیت‌های ماسک</t>
        </is>
      </c>
      <c r="B8" s="71" t="inlineStr">
        <is>
          <t>0..6 در app_types.h</t>
        </is>
      </c>
      <c r="C8" s="70" t="inlineStr">
        <is>
          <t>FAULT_CHARGER_BAT_LOST (بیت ۶)</t>
        </is>
      </c>
      <c r="D8" s="70" t="inlineStr">
        <is>
          <t>FAULT_*</t>
        </is>
      </c>
      <c r="E8" s="70" t="inlineStr">
        <is>
          <t>0x40 در تله‌متری</t>
        </is>
      </c>
    </row>
  </sheetData>
  <mergeCells count="1">
    <mergeCell ref="A1:E1"/>
  </mergeCells>
  <hyperlinks>
    <hyperlink xmlns:r="http://schemas.openxmlformats.org/officeDocument/2006/relationships" ref="D7" r:id="rId1"/>
    <hyperlink xmlns:r="http://schemas.openxmlformats.org/officeDocument/2006/relationships" ref="B8" r:id="rId2"/>
  </hyperlink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M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79" t="inlineStr">
        <is>
          <t>ثبت ایرادهای مشاهده‌شده — ماژول Fault</t>
        </is>
      </c>
    </row>
    <row r="2" ht="30" customHeight="1">
      <c r="A2" s="80" t="inlineStr">
        <is>
          <t>برای هر وضعیت «رد» یا تفاوت مهم، یک ردیف با شناسهٔ یکتا ثبت و پس از اصلاح دوباره تست شود.</t>
        </is>
      </c>
      <c r="B2" s="40" t="n"/>
      <c r="C2" s="40" t="n"/>
      <c r="D2" s="40" t="n"/>
      <c r="E2" s="40" t="n"/>
      <c r="F2" s="40" t="n"/>
      <c r="G2" s="40" t="n"/>
      <c r="H2" s="40" t="n"/>
      <c r="I2" s="40" t="n"/>
      <c r="J2" s="40" t="n"/>
      <c r="K2" s="40" t="n"/>
      <c r="L2" s="40" t="n"/>
      <c r="M2" s="41" t="n"/>
    </row>
    <row r="3">
      <c r="A3" s="69" t="inlineStr">
        <is>
          <t>شماره ایراد</t>
        </is>
      </c>
      <c r="B3" s="69" t="inlineStr">
        <is>
          <t>شناسه تست</t>
        </is>
      </c>
      <c r="C3" s="69" t="inlineStr">
        <is>
          <t>تاریخ کشف</t>
        </is>
      </c>
      <c r="D3" s="69" t="inlineStr">
        <is>
          <t>شدت</t>
        </is>
      </c>
      <c r="E3" s="69" t="inlineStr">
        <is>
          <t>شرح کوتاه ایراد</t>
        </is>
      </c>
      <c r="F3" s="69" t="inlineStr">
        <is>
          <t>مراحل بازتولید</t>
        </is>
      </c>
      <c r="G3" s="69" t="inlineStr">
        <is>
          <t>انتظار</t>
        </is>
      </c>
      <c r="H3" s="69" t="inlineStr">
        <is>
          <t>واقعیت</t>
        </is>
      </c>
      <c r="I3" s="69" t="inlineStr">
        <is>
          <t>مدرک/مسیر عکس یا scope</t>
        </is>
      </c>
      <c r="J3" s="69" t="inlineStr">
        <is>
          <t>نسخهٔ برنامه</t>
        </is>
      </c>
      <c r="K3" s="69" t="inlineStr">
        <is>
          <t>محل احتمالی</t>
        </is>
      </c>
      <c r="L3" s="69" t="inlineStr">
        <is>
          <t>وضعیت ایراد</t>
        </is>
      </c>
      <c r="M3" s="69" t="inlineStr">
        <is>
          <t>تأیید رفع / توضیحات</t>
        </is>
      </c>
    </row>
  </sheetData>
  <mergeCells count="2">
    <mergeCell ref="A2:M2"/>
    <mergeCell ref="A1:M1"/>
  </mergeCells>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79" t="inlineStr">
        <is>
          <t>تأیید نهایی اعتبارسنجی — ماژول Fault</t>
        </is>
      </c>
    </row>
    <row r="2">
      <c r="A2" s="47" t="inlineStr">
        <is>
          <t>این صفحه فقط پس از تکمیل تست‌ها و بسته‌شدن ایرادها پر می‌شود.</t>
        </is>
      </c>
    </row>
    <row r="3">
      <c r="A3" s="47" t="inlineStr">
        <is>
          <t>مشخصات تست</t>
        </is>
      </c>
    </row>
    <row r="4">
      <c r="A4" s="47" t="inlineStr">
        <is>
          <t>پروژه</t>
        </is>
      </c>
      <c r="B4" s="47" t="inlineStr">
        <is>
          <t>ChangeOver</t>
        </is>
      </c>
      <c r="C4" s="50" t="n"/>
    </row>
    <row r="5">
      <c r="A5" s="47" t="inlineStr">
        <is>
          <t>ماژول</t>
        </is>
      </c>
      <c r="B5" s="47" t="inlineStr">
        <is>
          <t>Fault — تشخیص متمرکز قطع باتری</t>
        </is>
      </c>
      <c r="C5" s="50" t="n"/>
    </row>
    <row r="6">
      <c r="A6" s="47" t="inlineStr">
        <is>
          <t>تاریخ ساخت فرم</t>
        </is>
      </c>
      <c r="B6" s="47" t="inlineStr">
        <is>
          <t>2026-09-23 (1.0 — شامل فریز v1.2)</t>
        </is>
      </c>
      <c r="C6" s="50" t="n"/>
    </row>
    <row r="7">
      <c r="A7" s="47" t="inlineStr">
        <is>
          <t>نسخه فرم</t>
        </is>
      </c>
      <c r="B7" s="47" t="inlineStr">
        <is>
          <t>1.0</t>
        </is>
      </c>
      <c r="C7" s="50" t="n"/>
    </row>
    <row r="8">
      <c r="A8" s="47" t="inlineStr">
        <is>
          <t>نسخهٔ برنامه</t>
        </is>
      </c>
      <c r="B8" s="47" t="inlineStr">
        <is>
          <t>(بعد از تست پر شود)</t>
        </is>
      </c>
      <c r="C8" s="50" t="n"/>
    </row>
    <row r="9">
      <c r="A9" s="47" t="inlineStr">
        <is>
          <t>ابزار</t>
        </is>
      </c>
      <c r="B9" s="47" t="inlineStr">
        <is>
          <t>پنل ESP + مولتی‌متر + سیم‌کشی تست</t>
        </is>
      </c>
      <c r="C9" s="50" t="n"/>
    </row>
    <row r="10">
      <c r="A10" s="50" t="n"/>
      <c r="B10" s="50" t="n"/>
      <c r="C10" s="50" t="n"/>
    </row>
    <row r="11">
      <c r="A11" s="72" t="inlineStr">
        <is>
          <t>خلاصهٔ خودکار وضعیت تست‌ها</t>
        </is>
      </c>
      <c r="B11" s="50" t="n"/>
      <c r="C11" s="50" t="n"/>
    </row>
    <row r="12">
      <c r="A12" s="69" t="inlineStr">
        <is>
          <t>شاخص</t>
        </is>
      </c>
      <c r="B12" s="69" t="inlineStr">
        <is>
          <t>مقدار</t>
        </is>
      </c>
      <c r="C12" s="69" t="inlineStr">
        <is>
          <t>توضیح</t>
        </is>
      </c>
    </row>
    <row r="13">
      <c r="A13" s="73" t="inlineStr">
        <is>
          <t>کل تست‌ها</t>
        </is>
      </c>
      <c r="B13" s="73" t="n">
        <v>10</v>
      </c>
      <c r="C13" s="73" t="inlineStr">
        <is>
          <t>همهٔ ردیف‌های برنامه تست</t>
        </is>
      </c>
    </row>
    <row r="14">
      <c r="A14" s="73" t="inlineStr">
        <is>
          <t>قبول</t>
        </is>
      </c>
      <c r="B14" s="73">
        <f>COUNTIF('برنامه تست'!L:L,"قبول")</f>
        <v/>
      </c>
      <c r="C14" s="73" t="inlineStr">
        <is>
          <t>COUNTIF برنامه تست</t>
        </is>
      </c>
    </row>
    <row r="15">
      <c r="A15" s="73" t="inlineStr">
        <is>
          <t>رد</t>
        </is>
      </c>
      <c r="B15" s="73">
        <f>COUNTIF('برنامه تست'!L:L,"رد")</f>
        <v/>
      </c>
      <c r="C15" s="73" t="inlineStr">
        <is>
          <t>COUNTIF رد</t>
        </is>
      </c>
    </row>
    <row r="16">
      <c r="A16" s="73" t="inlineStr">
        <is>
          <t>در انتظار</t>
        </is>
      </c>
      <c r="B16" s="73">
        <f>COUNTIF('برنامه تست'!L:L,"در انتظار")</f>
        <v/>
      </c>
      <c r="C16" s="73" t="inlineStr">
        <is>
          <t>پیش از تست برد</t>
        </is>
      </c>
    </row>
    <row r="17">
      <c r="A17" s="73" t="inlineStr">
        <is>
          <t>نرخ قبولی</t>
        </is>
      </c>
      <c r="B17" s="73">
        <f>IF(10=0,0,COUNTIF('برنامه تست'!L:L,"قبول")/10)</f>
        <v/>
      </c>
      <c r="C17" s="73" t="inlineStr">
        <is>
          <t>قبول/کل</t>
        </is>
      </c>
    </row>
    <row r="18">
      <c r="A18" s="50" t="n"/>
      <c r="B18" s="50" t="n"/>
      <c r="C18" s="50" t="n"/>
    </row>
    <row r="19">
      <c r="A19" s="72" t="inlineStr">
        <is>
          <t>امضا و تأیید: تست‌کننده ______  بازبین ______  تاریخ ______</t>
        </is>
      </c>
      <c r="B19" s="50" t="n"/>
      <c r="C19" s="50" t="n"/>
    </row>
  </sheetData>
  <mergeCells count="3">
    <mergeCell ref="A1:C1"/>
    <mergeCell ref="A3:C3"/>
    <mergeCell ref="A2:C2"/>
  </mergeCells>
  <pageMargins left="0.75" right="0.75" top="1" bottom="1" header="0.5" footer="0.5"/>
</worksheet>
</file>

<file path=xl/worksheets/sheet7.xml><?xml version="1.0" encoding="utf-8"?>
<worksheet xmlns="http://schemas.openxmlformats.org/spreadsheetml/2006/main">
  <sheetPr>
    <tabColor rgb="00A6A6A6"/>
    <outlinePr summaryBelow="1" summaryRight="1"/>
    <pageSetUpPr/>
  </sheetPr>
  <dimension ref="A1:B17"/>
  <sheetViews>
    <sheetView rightToLeft="1" workbookViewId="0">
      <selection activeCell="A1" sqref="A1"/>
    </sheetView>
  </sheetViews>
  <sheetFormatPr baseColWidth="8" defaultRowHeight="15"/>
  <cols>
    <col width="16" customWidth="1" min="1" max="1"/>
    <col width="16" customWidth="1" min="2" max="2"/>
  </cols>
  <sheetData>
    <row r="1">
      <c r="A1" s="88" t="inlineStr">
        <is>
          <t>وضعیت</t>
        </is>
      </c>
      <c r="B1" s="50" t="n"/>
    </row>
    <row r="2">
      <c r="A2" s="75" t="inlineStr">
        <is>
          <t>در انتظار</t>
        </is>
      </c>
      <c r="B2" s="50" t="n"/>
    </row>
    <row r="3">
      <c r="A3" s="75" t="inlineStr">
        <is>
          <t>انجام شد</t>
        </is>
      </c>
      <c r="B3" s="50" t="n"/>
    </row>
    <row r="4">
      <c r="A4" s="75" t="inlineStr">
        <is>
          <t>قبول</t>
        </is>
      </c>
      <c r="B4" s="50" t="n"/>
    </row>
    <row r="5">
      <c r="A5" s="75" t="inlineStr">
        <is>
          <t>رد</t>
        </is>
      </c>
      <c r="B5" s="50" t="n"/>
    </row>
    <row r="6">
      <c r="A6" s="75" t="inlineStr">
        <is>
          <t>مسدود</t>
        </is>
      </c>
      <c r="B6" s="50" t="n"/>
    </row>
    <row r="7">
      <c r="A7" s="50" t="inlineStr">
        <is>
          <t>نیاز به تکرار</t>
        </is>
      </c>
      <c r="B7" s="50" t="n"/>
    </row>
    <row r="8">
      <c r="A8" s="88" t="inlineStr">
        <is>
          <t>اولویت</t>
        </is>
      </c>
      <c r="B8" s="50" t="n"/>
    </row>
    <row r="9">
      <c r="A9" s="50" t="n"/>
      <c r="B9" s="75" t="inlineStr">
        <is>
          <t>بالا</t>
        </is>
      </c>
    </row>
    <row r="10">
      <c r="A10" s="50" t="n"/>
      <c r="B10" s="75" t="inlineStr">
        <is>
          <t>متوسط</t>
        </is>
      </c>
    </row>
    <row r="11">
      <c r="A11" s="50" t="n"/>
      <c r="B11" s="75" t="inlineStr">
        <is>
          <t>پایین</t>
        </is>
      </c>
    </row>
    <row r="12">
      <c r="A12" s="50" t="n"/>
      <c r="B12" s="50" t="n"/>
    </row>
    <row r="13">
      <c r="A13" s="88" t="inlineStr">
        <is>
          <t>شدت</t>
        </is>
      </c>
      <c r="B13" s="50" t="n"/>
    </row>
    <row r="14">
      <c r="A14" s="75" t="inlineStr">
        <is>
          <t>بحرانی</t>
        </is>
      </c>
      <c r="B14" s="50" t="n"/>
    </row>
    <row r="15">
      <c r="A15" s="75" t="inlineStr">
        <is>
          <t>بالا</t>
        </is>
      </c>
      <c r="B15" s="50" t="n"/>
    </row>
    <row r="16">
      <c r="A16" s="75" t="inlineStr">
        <is>
          <t>متوسط</t>
        </is>
      </c>
      <c r="B16" s="50" t="n"/>
    </row>
    <row r="17">
      <c r="A17" s="75" t="inlineStr">
        <is>
          <t>پایین</t>
        </is>
      </c>
      <c r="B17" s="50" t="n"/>
    </row>
  </sheetData>
  <pageMargins left="0.75" right="0.75" top="1" bottom="1" header="0.5" footer="0.5"/>
</worksheet>
</file>

<file path=xl/worksheets/sheet8.xml><?xml version="1.0" encoding="utf-8"?>
<worksheet xmlns="http://schemas.openxmlformats.org/spreadsheetml/2006/main">
  <sheetPr>
    <tabColor rgb="00ED7D31"/>
    <outlinePr summaryBelow="1" summaryRight="1"/>
    <pageSetUpPr fitToPage="1"/>
  </sheetPr>
  <dimension ref="A1:Q5"/>
  <sheetViews>
    <sheetView workbookViewId="0">
      <selection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79" t="inlineStr">
        <is>
          <t>برنامهٔ تست آزمایشگاهی — ماژول Fault</t>
        </is>
      </c>
    </row>
    <row r="2">
      <c r="A2" s="47" t="inlineStr">
        <is>
          <t>وضعیت فقط یکی از: در انتظار / قبول / رد / مسدود / نیاز به تکرار. تست Host جایگزین تست برد نیست.</t>
        </is>
      </c>
    </row>
    <row r="3">
      <c r="A3" s="47" t="inlineStr">
        <is>
          <t>برای هر ردیف پیش‌شرط، ورودی، انتظار و معیار قبولی صریح است؛ نتیجهٔ واقعی فقط با اندازه‌گیری روی برد پر می‌شود.</t>
        </is>
      </c>
    </row>
    <row r="4" ht="30" customHeight="1">
      <c r="A4" s="80" t="inlineStr">
        <is>
          <t>شناسه</t>
        </is>
      </c>
      <c r="B4" s="80" t="inlineStr">
        <is>
          <t>دسته</t>
        </is>
      </c>
      <c r="C4" s="80" t="inlineStr">
        <is>
          <t>اولویت</t>
        </is>
      </c>
      <c r="D4" s="80" t="inlineStr">
        <is>
          <t>پیش‌شرط</t>
        </is>
      </c>
      <c r="E4" s="80" t="inlineStr">
        <is>
          <t>روش اجرای دقیق</t>
        </is>
      </c>
      <c r="F4" s="80" t="inlineStr">
        <is>
          <t>ورودی‌ها / شرایط</t>
        </is>
      </c>
      <c r="G4" s="80" t="inlineStr">
        <is>
          <t>مدت مشاهده</t>
        </is>
      </c>
      <c r="H4" s="80" t="inlineStr">
        <is>
          <t>رفتار مورد انتظار</t>
        </is>
      </c>
      <c r="I4" s="80" t="inlineStr">
        <is>
          <t>می‌ماند یا پاک می‌شود</t>
        </is>
      </c>
      <c r="J4" s="80" t="inlineStr">
        <is>
          <t>معیار قبولی</t>
        </is>
      </c>
      <c r="K4" s="80" t="inlineStr">
        <is>
          <t>نتیجهٔ واقعی / اندازه‌گیری</t>
        </is>
      </c>
      <c r="L4" s="80" t="inlineStr">
        <is>
          <t>وضعیت</t>
        </is>
      </c>
      <c r="M4" s="80" t="inlineStr">
        <is>
          <t>شرح ایراد / تفاوت</t>
        </is>
      </c>
      <c r="N4" s="80" t="inlineStr">
        <is>
          <t>مدرک تست</t>
        </is>
      </c>
      <c r="O4" s="80" t="inlineStr">
        <is>
          <t>نسخهٔ برنامه</t>
        </is>
      </c>
      <c r="P4" s="80" t="inlineStr">
        <is>
          <t>نام تست‌کننده</t>
        </is>
      </c>
      <c r="Q4" s="80" t="inlineStr">
        <is>
          <t>تاریخ</t>
        </is>
      </c>
    </row>
    <row r="5" ht="54" customHeight="1">
      <c r="A5" s="51" t="inlineStr">
        <is>
          <t>FL-006</t>
        </is>
      </c>
      <c r="B5" s="57" t="inlineStr">
        <is>
          <t>snapshot نامعتبر</t>
        </is>
      </c>
      <c r="C5" s="58" t="inlineStr">
        <is>
          <t>بالا</t>
        </is>
      </c>
      <c r="D5" s="57" t="inlineStr">
        <is>
          <t>ADC در warm-up یا نامعتبر</t>
        </is>
      </c>
      <c r="E5" s="57" t="inlineStr">
        <is>
          <t>گام ۱: ADC را در حالت warm-up نگه دار یا کاری کن snapshot نامعتبر باشد.
گام ۲: رفتار ست/پاک شدن بیت‌ها را در همین مدت نگاه کن.
گام ۳: تا وقتی snapshot معتبر نیست هیچ Set و Clear نباید اتفاق بیفتد و وضعیت قبلی ماسک باید حفظ شود.</t>
        </is>
      </c>
      <c r="F5" s="59" t="inlineStr">
        <is>
          <t>—</t>
        </is>
      </c>
      <c r="G5" s="59" t="inlineStr">
        <is>
          <t>—</t>
        </is>
      </c>
      <c r="H5" s="57" t="inlineStr">
        <is>
          <t>هیچ Set/Clear؛ وضعیت قبلی حفظ</t>
        </is>
      </c>
      <c r="I5" s="57" t="inlineStr">
        <is>
          <t>—</t>
        </is>
      </c>
      <c r="J5" s="57" t="inlineStr">
        <is>
          <t>بدون تغییر ماسک</t>
        </is>
      </c>
      <c r="K5" s="57" t="n"/>
      <c r="L5" s="55" t="inlineStr">
        <is>
          <t>در انتظار</t>
        </is>
      </c>
      <c r="M5" s="57" t="n"/>
      <c r="N5" s="57" t="n"/>
      <c r="O5" s="59" t="inlineStr">
        <is>
          <t>(بعد از تست پر شود)</t>
        </is>
      </c>
      <c r="P5" s="59" t="n"/>
      <c r="Q5" s="60">
        <f>IF(OR(L5="",L5="در انتظار"),"",IF(Q5="",TODAY(),Q5))</f>
        <v/>
      </c>
    </row>
    <row r="6" ht="54" customHeight="1"/>
    <row r="7" ht="54" customHeight="1"/>
    <row r="8" ht="54" customHeight="1"/>
    <row r="9" ht="40.5" customHeight="1"/>
    <row r="10" ht="40.5" customHeight="1"/>
    <row r="11" ht="54" customHeight="1"/>
    <row r="12" ht="54" customHeight="1"/>
    <row r="13" ht="54" customHeight="1"/>
    <row r="14" ht="54" customHeight="1"/>
    <row r="15" ht="40.5" customHeight="1"/>
  </sheetData>
  <mergeCells count="3">
    <mergeCell ref="A3:Q3"/>
    <mergeCell ref="A2:Q2"/>
    <mergeCell ref="A1:Q1"/>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7030A0"/>
    <outlinePr summaryBelow="1" summaryRight="1"/>
    <pageSetUpPr/>
  </sheetPr>
  <dimension ref="A1:C7"/>
  <sheetViews>
    <sheetView rightToLeft="1" workbookViewId="0">
      <selection activeCell="A1" sqref="A1"/>
    </sheetView>
  </sheetViews>
  <sheetFormatPr baseColWidth="8" defaultRowHeight="15"/>
  <cols>
    <col width="34" customWidth="1" min="1" max="1"/>
    <col width="78" customWidth="1" min="2" max="2"/>
  </cols>
  <sheetData>
    <row r="1" ht="30" customHeight="1">
      <c r="A1" s="8" t="inlineStr">
        <is>
          <t>ماشین حالت ماژول خطا (Fault)</t>
        </is>
      </c>
    </row>
    <row r="2"/>
    <row r="3" ht="24" customHeight="1">
      <c r="A3" s="9" t="inlineStr">
        <is>
          <t>حالت‌ها و گذارهای همین ماژول</t>
        </is>
      </c>
      <c r="B3" s="10" t="inlineStr">
        <is>
          <t>Fault_State_Machine.xlsx</t>
        </is>
      </c>
    </row>
    <row r="4" ht="24" customHeight="1">
      <c r="A4" s="9" t="inlineStr">
        <is>
          <t>ماشین حالت کل برنامه (نمای سیستمی)</t>
        </is>
      </c>
      <c r="B4" s="10" t="inlineStr">
        <is>
          <t>../../../Documentation/System_State_Machine.xlsx</t>
        </is>
      </c>
    </row>
    <row r="5" ht="24" customHeight="1">
      <c r="A5" s="9" t="inlineStr">
        <is>
          <t>راهنمای رنگ‌ها</t>
        </is>
      </c>
      <c r="B5" s="11" t="inlineStr">
        <is>
          <t>سبز = عادی/سالم · زرد = هشدار یا انتظار · قرمز = خطا یا قفل · نارنجی = در حال کار · خاکستری = بی‌کار · آبی = اطلاعاتی</t>
        </is>
      </c>
    </row>
    <row r="6" ht="24" customHeight="1">
      <c r="A6" s="9" t="inlineStr">
        <is>
          <t>بازتولید</t>
        </is>
      </c>
      <c r="B6" s="11" t="inlineStr">
        <is>
          <t>python3 tools/make_module_state_machines.py</t>
        </is>
      </c>
    </row>
    <row r="7"/>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2026-09-23T12:47:22Z</dcterms:created>
  <dcterms:modified xsi:type="dcterms:W3CDTF">2026-10-17T12:51:07Z</dcterms:modified>
</cp:coreProperties>
</file>