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راهنما" sheetId="1" state="visible" r:id="rId1"/>
    <sheet xmlns:r="http://schemas.openxmlformats.org/officeDocument/2006/relationships" name="برنامه تست" sheetId="2" state="visible" r:id="rId2"/>
    <sheet xmlns:r="http://schemas.openxmlformats.org/officeDocument/2006/relationships" name="تست‌های برنامه‌نویسی" sheetId="3" state="visible" r:id="rId3"/>
    <sheet xmlns:r="http://schemas.openxmlformats.org/officeDocument/2006/relationships" name="مراجع سناریو" sheetId="4" state="visible" r:id="rId4"/>
    <sheet xmlns:r="http://schemas.openxmlformats.org/officeDocument/2006/relationships" name="ثبت ایراد" sheetId="5" state="visible" r:id="rId5"/>
    <sheet xmlns:r="http://schemas.openxmlformats.org/officeDocument/2006/relationships" name="تأیید نهایی" sheetId="6" state="visible" r:id="rId6"/>
    <sheet xmlns:r="http://schemas.openxmlformats.org/officeDocument/2006/relationships" name="فهرست‌ها" sheetId="7" state="visible" r:id="rId7"/>
    <sheet xmlns:r="http://schemas.openxmlformats.org/officeDocument/2006/relationships" name="تست‌های آزمایشگاهی" sheetId="8" state="visible" r:id="rId8"/>
    <sheet xmlns:r="http://schemas.openxmlformats.org/officeDocument/2006/relationships" name="ماشین حالت" sheetId="9" state="visible" r:id="rId9"/>
  </sheets>
  <definedNames>
    <definedName name="_xlnm._FilterDatabase" localSheetId="1" hidden="1">'برنامه تست'!$A$4:$Q$50</definedName>
    <definedName name="_xlnm.Print_Titles" localSheetId="1">'برنامه تست'!$4:$4</definedName>
    <definedName name="_xlnm._FilterDatabase" localSheetId="2" hidden="1">'تست‌های برنامه‌نویسی'!$A$4:$Q$6</definedName>
    <definedName name="_xlnm.Print_Titles" localSheetId="2">'تست‌های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32">
    <font>
      <name val="Calibri"/>
      <family val="2"/>
      <color theme="1"/>
      <sz val="11"/>
      <scheme val="minor"/>
    </font>
    <font>
      <name val="Calibri"/>
      <b val="1"/>
      <sz val="10"/>
    </font>
    <font>
      <name val="Calibri"/>
      <sz val="8"/>
    </font>
    <font>
      <name val="Calibri"/>
      <b val="1"/>
      <sz val="8"/>
    </font>
    <font>
      <name val="Vazirmatn"/>
      <b val="1"/>
      <color rgb="00FFFFFF"/>
      <sz val="14"/>
    </font>
    <font>
      <name val="Vazirmatn"/>
      <b val="1"/>
      <sz val="10"/>
    </font>
    <font>
      <name val="Vazirmatn"/>
      <color rgb="000563C1"/>
      <sz val="10"/>
      <u val="single"/>
    </font>
    <font>
      <name val="Vazirmatn"/>
      <sz val="10"/>
    </font>
    <font>
      <name val="Tahoma"/>
      <b val="1"/>
      <sz val="10"/>
    </font>
    <font>
      <name val="Tahoma"/>
      <sz val="8"/>
    </font>
    <font>
      <name val="Tahoma"/>
      <b val="1"/>
      <sz val="8"/>
    </font>
    <font>
      <name val="Tahoma"/>
      <color theme="1"/>
      <sz val="11"/>
    </font>
    <font>
      <name val="Tahoma"/>
      <b val="1"/>
      <color rgb="00FFFFFF"/>
      <sz val="14"/>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8"/>
      <u val="single"/>
    </font>
    <font>
      <name val="Tahoma"/>
      <b val="1"/>
      <color rgb="000563C1"/>
      <sz val="10"/>
      <u val="single"/>
    </font>
    <font>
      <name val="Vazirmatn"/>
      <sz val="8"/>
    </font>
    <font>
      <name val="Vazirmatn"/>
      <b val="1"/>
      <color rgb="00FFFFFF"/>
      <sz val="11"/>
    </font>
    <font>
      <name val="Vazirmatn"/>
      <b val="1"/>
      <color rgb="001F3864"/>
      <sz val="13"/>
    </font>
    <font>
      <name val="Vazirmatn"/>
      <family val="2"/>
      <color theme="1"/>
      <sz val="11"/>
      <scheme val="minor"/>
    </font>
    <font>
      <name val="Vazirmatn"/>
      <b val="1"/>
      <color rgb="00C00000"/>
      <sz val="10"/>
    </font>
    <font>
      <name val="Vazirmatn"/>
      <b val="1"/>
      <sz val="8"/>
    </font>
    <font>
      <name val="Vazirmatn"/>
      <color rgb="000563C1"/>
      <sz val="8"/>
      <u val="single"/>
    </font>
    <font>
      <name val="Vazirmatn"/>
      <color theme="1"/>
      <sz val="11"/>
    </font>
    <font>
      <name val="Vazirmatn"/>
      <sz val="11"/>
    </font>
    <font>
      <name val="Vazirmatn"/>
      <color rgb="00808080"/>
      <sz val="11"/>
    </font>
    <font>
      <name val="Vazirmatn"/>
      <b val="1"/>
      <sz val="11"/>
    </font>
    <font>
      <name val="Vazirmatn"/>
      <i val="1"/>
      <color rgb="00404040"/>
      <sz val="10"/>
    </font>
  </fonts>
  <fills count="12">
    <fill>
      <patternFill/>
    </fill>
    <fill>
      <patternFill patternType="gray125"/>
    </fill>
    <fill>
      <patternFill patternType="solid">
        <fgColor rgb="00DDEBF7"/>
      </patternFill>
    </fill>
    <fill>
      <patternFill patternType="solid">
        <fgColor rgb="00FFEB9C"/>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
      <patternFill patternType="solid">
        <fgColor rgb="001F4E79"/>
      </patternFill>
    </fill>
    <fill>
      <patternFill patternType="solid">
        <fgColor rgb="00FFFFFF"/>
      </patternFill>
    </fill>
    <fill>
      <patternFill patternType="solid">
        <fgColor rgb="00FFF2CC"/>
      </patternFill>
    </fill>
  </fills>
  <borders count="8">
    <border>
      <left/>
      <right/>
      <top/>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borders>
  <cellStyleXfs count="1">
    <xf numFmtId="0" fontId="0" fillId="0" borderId="0"/>
  </cellStyleXfs>
  <cellXfs count="94">
    <xf numFmtId="0" fontId="0" fillId="0" borderId="0" pivotButton="0" quotePrefix="0" xfId="0"/>
    <xf numFmtId="0" fontId="1" fillId="0" borderId="0" applyAlignment="1" pivotButton="0" quotePrefix="0" xfId="0">
      <alignment horizontal="right" vertical="center" wrapText="1"/>
    </xf>
    <xf numFmtId="0" fontId="2" fillId="0" borderId="0" applyAlignment="1" pivotButton="0" quotePrefix="0" xfId="0">
      <alignment horizontal="right" vertical="center" wrapText="1"/>
    </xf>
    <xf numFmtId="0" fontId="3"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1" fillId="0" borderId="0" pivotButton="0" quotePrefix="0" xfId="0"/>
    <xf numFmtId="0" fontId="2" fillId="0" borderId="0" pivotButton="0" quotePrefix="0" xfId="0"/>
    <xf numFmtId="0" fontId="1" fillId="3" borderId="0" pivotButton="0" quotePrefix="0" xfId="0"/>
    <xf numFmtId="0" fontId="4" fillId="4" borderId="0" applyAlignment="1" pivotButton="0" quotePrefix="0" xfId="0">
      <alignment horizontal="center" vertical="center"/>
    </xf>
    <xf numFmtId="0" fontId="5" fillId="0" borderId="1" applyAlignment="1" pivotButton="0" quotePrefix="0" xfId="0">
      <alignment horizontal="right" vertical="center" wrapText="1"/>
    </xf>
    <xf numFmtId="0" fontId="6" fillId="0" borderId="1" applyAlignment="1" pivotButton="0" quotePrefix="0" xfId="0">
      <alignment horizontal="right" vertical="center" wrapText="1"/>
    </xf>
    <xf numFmtId="0" fontId="7" fillId="0" borderId="1" applyAlignment="1" pivotButton="0" quotePrefix="0" xfId="0">
      <alignment horizontal="right" vertical="center" wrapText="1"/>
    </xf>
    <xf numFmtId="0" fontId="8" fillId="0" borderId="0" applyAlignment="1" pivotButton="0" quotePrefix="0" xfId="0">
      <alignment horizontal="right" vertical="center" wrapText="1"/>
    </xf>
    <xf numFmtId="0" fontId="9" fillId="0" borderId="0" applyAlignment="1" pivotButton="0" quotePrefix="0" xfId="0">
      <alignment horizontal="right" vertical="center" wrapText="1"/>
    </xf>
    <xf numFmtId="0" fontId="15" fillId="4" borderId="2" applyAlignment="1" pivotButton="0" quotePrefix="0" xfId="0">
      <alignment horizontal="center" vertical="center" wrapText="1"/>
    </xf>
    <xf numFmtId="0" fontId="16" fillId="0" borderId="0" applyAlignment="1" pivotButton="0" quotePrefix="0" xfId="0">
      <alignment horizontal="right" vertical="center" wrapText="1"/>
    </xf>
    <xf numFmtId="0" fontId="8" fillId="5" borderId="2" applyAlignment="1" pivotButton="0" quotePrefix="0" xfId="0">
      <alignment horizontal="center" vertical="center"/>
    </xf>
    <xf numFmtId="0" fontId="14" fillId="0" borderId="2" applyAlignment="1" pivotButton="0" quotePrefix="0" xfId="0">
      <alignment horizontal="right" vertical="center" wrapText="1"/>
    </xf>
    <xf numFmtId="0" fontId="17"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8" fillId="6" borderId="2" applyAlignment="1" pivotButton="0" quotePrefix="0" xfId="0">
      <alignment horizontal="center" vertical="center" wrapText="1"/>
    </xf>
    <xf numFmtId="164" fontId="14" fillId="0" borderId="2" applyAlignment="1" pivotButton="0" quotePrefix="0" xfId="0">
      <alignment horizontal="center" vertical="center" wrapText="1"/>
    </xf>
    <xf numFmtId="0" fontId="14" fillId="7" borderId="2" applyAlignment="1" pivotButton="0" quotePrefix="0" xfId="0">
      <alignment horizontal="right" vertical="center" wrapText="1"/>
    </xf>
    <xf numFmtId="0" fontId="17" fillId="7" borderId="2" applyAlignment="1" pivotButton="0" quotePrefix="0" xfId="0">
      <alignment horizontal="center" vertical="center" wrapText="1"/>
    </xf>
    <xf numFmtId="0" fontId="14" fillId="7" borderId="2" applyAlignment="1" pivotButton="0" quotePrefix="0" xfId="0">
      <alignment horizontal="center" vertical="center" wrapText="1"/>
    </xf>
    <xf numFmtId="164" fontId="14" fillId="7" borderId="2" applyAlignment="1" pivotButton="0" quotePrefix="0" xfId="0">
      <alignment horizontal="center" vertical="center" wrapText="1"/>
    </xf>
    <xf numFmtId="0" fontId="8" fillId="8" borderId="2" applyAlignment="1" pivotButton="0" quotePrefix="0" xfId="0">
      <alignment horizontal="center" vertical="center" wrapText="1"/>
    </xf>
    <xf numFmtId="164" fontId="0" fillId="0" borderId="0" pivotButton="0" quotePrefix="0" xfId="0"/>
    <xf numFmtId="0" fontId="10" fillId="2" borderId="0" applyAlignment="1" pivotButton="0" quotePrefix="0" xfId="0">
      <alignment horizontal="center" vertical="center" wrapText="1"/>
    </xf>
    <xf numFmtId="0" fontId="9" fillId="0" borderId="0" applyAlignment="1" pivotButton="0" quotePrefix="0" xfId="0">
      <alignment horizontal="center" vertical="center" wrapText="1"/>
    </xf>
    <xf numFmtId="0" fontId="8" fillId="0" borderId="0" pivotButton="0" quotePrefix="0" xfId="0"/>
    <xf numFmtId="0" fontId="9" fillId="0" borderId="0" pivotButton="0" quotePrefix="0" xfId="0"/>
    <xf numFmtId="0" fontId="8" fillId="3" borderId="0" pivotButton="0" quotePrefix="0" xfId="0"/>
    <xf numFmtId="0" fontId="11" fillId="0" borderId="0" pivotButton="0" quotePrefix="0" xfId="0"/>
    <xf numFmtId="0" fontId="12" fillId="4" borderId="0" applyAlignment="1" pivotButton="0" quotePrefix="0" xfId="0">
      <alignment horizontal="center" vertical="center"/>
    </xf>
    <xf numFmtId="0" fontId="8" fillId="0" borderId="1" applyAlignment="1" pivotButton="0" quotePrefix="0" xfId="0">
      <alignment horizontal="right" vertical="center" wrapText="1"/>
    </xf>
    <xf numFmtId="0" fontId="13" fillId="0" borderId="1" applyAlignment="1" pivotButton="0" quotePrefix="0" xfId="0">
      <alignment horizontal="right" vertical="center" wrapText="1"/>
    </xf>
    <xf numFmtId="0" fontId="14" fillId="0" borderId="1" applyAlignment="1" pivotButton="0" quotePrefix="0" xfId="0">
      <alignment horizontal="right" vertical="center" wrapText="1"/>
    </xf>
    <xf numFmtId="0" fontId="0" fillId="0" borderId="5" pivotButton="0" quotePrefix="0" xfId="0"/>
    <xf numFmtId="0" fontId="0" fillId="0" borderId="6" pivotButton="0" quotePrefix="0" xfId="0"/>
    <xf numFmtId="0" fontId="13" fillId="0" borderId="2" applyAlignment="1" pivotButton="0" quotePrefix="0" xfId="0">
      <alignment horizontal="right" vertical="center" wrapText="1"/>
    </xf>
    <xf numFmtId="0" fontId="18" fillId="0" borderId="0" applyAlignment="1" pivotButton="0" quotePrefix="0" xfId="0">
      <alignment horizontal="center" vertical="center" wrapText="1"/>
    </xf>
    <xf numFmtId="0" fontId="16" fillId="0" borderId="0" pivotButton="0" quotePrefix="0" xfId="0"/>
    <xf numFmtId="0" fontId="14" fillId="0" borderId="0" applyAlignment="1" pivotButton="0" quotePrefix="0" xfId="0">
      <alignment vertical="center" wrapText="1"/>
    </xf>
    <xf numFmtId="0" fontId="19" fillId="5" borderId="2" applyAlignment="1" pivotButton="0" quotePrefix="0" xfId="0">
      <alignment horizontal="center" vertical="center"/>
    </xf>
    <xf numFmtId="0" fontId="5" fillId="0" borderId="0" applyAlignment="1" pivotButton="0" quotePrefix="0" xfId="0">
      <alignment horizontal="right" vertical="center" wrapText="1"/>
    </xf>
    <xf numFmtId="0" fontId="20" fillId="0" borderId="0" applyAlignment="1" pivotButton="0" quotePrefix="0" xfId="0">
      <alignment horizontal="right" vertical="center" wrapText="1"/>
    </xf>
    <xf numFmtId="0" fontId="21" fillId="4" borderId="2" applyAlignment="1" pivotButton="0" quotePrefix="0" xfId="0">
      <alignment horizontal="center" vertical="center" wrapText="1"/>
    </xf>
    <xf numFmtId="0" fontId="22" fillId="0" borderId="0" applyAlignment="1" pivotButton="0" quotePrefix="0" xfId="0">
      <alignment horizontal="right" vertical="center" wrapText="1"/>
    </xf>
    <xf numFmtId="0" fontId="23" fillId="0" borderId="0" pivotButton="0" quotePrefix="0" xfId="0"/>
    <xf numFmtId="0" fontId="5" fillId="5" borderId="2" applyAlignment="1" pivotButton="0" quotePrefix="0" xfId="0">
      <alignment horizontal="center" vertical="center"/>
    </xf>
    <xf numFmtId="0" fontId="7" fillId="7" borderId="2" applyAlignment="1" pivotButton="0" quotePrefix="0" xfId="0">
      <alignment horizontal="right" vertical="center" wrapText="1"/>
    </xf>
    <xf numFmtId="0" fontId="7" fillId="7" borderId="2" applyAlignment="1" pivotButton="0" quotePrefix="0" xfId="0">
      <alignment horizontal="center" vertical="center" wrapText="1"/>
    </xf>
    <xf numFmtId="0" fontId="5" fillId="8" borderId="2" applyAlignment="1" pivotButton="0" quotePrefix="0" xfId="0">
      <alignment horizontal="center" vertical="center" wrapText="1"/>
    </xf>
    <xf numFmtId="164" fontId="7" fillId="7" borderId="2" applyAlignment="1" pivotButton="0" quotePrefix="0" xfId="0">
      <alignment horizontal="center" vertical="center" wrapText="1"/>
    </xf>
    <xf numFmtId="164" fontId="23" fillId="0" borderId="0" pivotButton="0" quotePrefix="0" xfId="0"/>
    <xf numFmtId="0" fontId="22" fillId="0" borderId="0" pivotButton="0" quotePrefix="0" xfId="0"/>
    <xf numFmtId="0" fontId="7" fillId="0" borderId="0" applyAlignment="1" pivotButton="0" quotePrefix="0" xfId="0">
      <alignment vertical="center" wrapText="1"/>
    </xf>
    <xf numFmtId="0" fontId="7" fillId="0" borderId="2" applyAlignment="1" pivotButton="0" quotePrefix="0" xfId="0">
      <alignment horizontal="right" vertical="center" wrapText="1"/>
    </xf>
    <xf numFmtId="0" fontId="24" fillId="0" borderId="2" applyAlignment="1" pivotButton="0" quotePrefix="0" xfId="0">
      <alignment horizontal="center" vertical="center" wrapText="1"/>
    </xf>
    <xf numFmtId="0" fontId="6" fillId="0" borderId="2" applyAlignment="1" pivotButton="0" quotePrefix="0" xfId="0">
      <alignment horizontal="right" vertical="center" wrapText="1"/>
    </xf>
    <xf numFmtId="0" fontId="7" fillId="0" borderId="2" applyAlignment="1" pivotButton="0" quotePrefix="0" xfId="0">
      <alignment horizontal="center" vertical="center" wrapText="1"/>
    </xf>
    <xf numFmtId="0" fontId="5" fillId="6" borderId="2" applyAlignment="1" pivotButton="0" quotePrefix="0" xfId="0">
      <alignment horizontal="center" vertical="center" wrapText="1"/>
    </xf>
    <xf numFmtId="164" fontId="7" fillId="0" borderId="2" applyAlignment="1" pivotButton="0" quotePrefix="0" xfId="0">
      <alignment horizontal="center" vertical="center" wrapText="1"/>
    </xf>
    <xf numFmtId="0" fontId="23" fillId="0" borderId="5" pivotButton="0" quotePrefix="0" xfId="0"/>
    <xf numFmtId="0" fontId="23" fillId="0" borderId="6" pivotButton="0" quotePrefix="0" xfId="0"/>
    <xf numFmtId="0" fontId="25" fillId="2" borderId="0" applyAlignment="1" pivotButton="0" quotePrefix="0" xfId="0">
      <alignment horizontal="center" vertical="center" wrapText="1"/>
    </xf>
    <xf numFmtId="0" fontId="20" fillId="0" borderId="0" applyAlignment="1" pivotButton="0" quotePrefix="0" xfId="0">
      <alignment horizontal="center" vertical="center" wrapText="1"/>
    </xf>
    <xf numFmtId="0" fontId="26" fillId="0" borderId="0" applyAlignment="1" pivotButton="0" quotePrefix="0" xfId="0">
      <alignment horizontal="center" vertical="center" wrapText="1"/>
    </xf>
    <xf numFmtId="0" fontId="5" fillId="0" borderId="0" pivotButton="0" quotePrefix="0" xfId="0"/>
    <xf numFmtId="0" fontId="20" fillId="0" borderId="0" pivotButton="0" quotePrefix="0" xfId="0"/>
    <xf numFmtId="0" fontId="5" fillId="3" borderId="0" pivotButton="0" quotePrefix="0" xfId="0"/>
    <xf numFmtId="0" fontId="27" fillId="0" borderId="0" pivotButton="0" quotePrefix="0" xfId="0"/>
    <xf numFmtId="0" fontId="24" fillId="7" borderId="2" applyAlignment="1" pivotButton="0" quotePrefix="0" xfId="0">
      <alignment horizontal="center" vertical="center" wrapText="1"/>
    </xf>
    <xf numFmtId="0" fontId="28" fillId="0" borderId="0" pivotButton="0" quotePrefix="0" xfId="0"/>
    <xf numFmtId="0" fontId="28" fillId="0" borderId="7" pivotButton="0" quotePrefix="0" xfId="0"/>
    <xf numFmtId="164" fontId="28" fillId="0" borderId="7" pivotButton="0" quotePrefix="0" xfId="0"/>
    <xf numFmtId="0" fontId="4" fillId="4" borderId="0" applyAlignment="1" pivotButton="0" quotePrefix="0" xfId="0">
      <alignment horizontal="right" vertical="center" wrapText="1"/>
    </xf>
    <xf numFmtId="0" fontId="21" fillId="9" borderId="2" applyAlignment="1" pivotButton="0" quotePrefix="0" xfId="0">
      <alignment horizontal="center" vertical="center" wrapText="1"/>
    </xf>
    <xf numFmtId="0" fontId="7" fillId="10" borderId="2" applyAlignment="1" pivotButton="0" quotePrefix="0" xfId="0">
      <alignment horizontal="right" vertical="center" wrapText="1"/>
    </xf>
    <xf numFmtId="0" fontId="7" fillId="10" borderId="2" applyAlignment="1" pivotButton="0" quotePrefix="0" xfId="0">
      <alignment horizontal="center" vertical="center" wrapText="1"/>
    </xf>
    <xf numFmtId="164" fontId="7" fillId="10" borderId="2" applyAlignment="1" pivotButton="0" quotePrefix="0" xfId="0">
      <alignment horizontal="center" vertical="center" wrapText="1"/>
    </xf>
    <xf numFmtId="0" fontId="4" fillId="4" borderId="0" pivotButton="0" quotePrefix="0" xfId="0"/>
    <xf numFmtId="0" fontId="6" fillId="7" borderId="2" applyAlignment="1" pivotButton="0" quotePrefix="0" xfId="0">
      <alignment horizontal="right" vertical="center" wrapText="1"/>
    </xf>
    <xf numFmtId="0" fontId="24" fillId="10" borderId="2" applyAlignment="1" pivotButton="0" quotePrefix="0" xfId="0">
      <alignment horizontal="center" vertical="center" wrapText="1"/>
    </xf>
    <xf numFmtId="0" fontId="4" fillId="4" borderId="2" applyAlignment="1" pivotButton="0" quotePrefix="0" xfId="0">
      <alignment horizontal="center" vertical="center" wrapText="1"/>
    </xf>
    <xf numFmtId="0" fontId="5" fillId="6" borderId="0" pivotButton="0" quotePrefix="0" xfId="0"/>
    <xf numFmtId="0" fontId="21" fillId="9" borderId="2" applyAlignment="1" pivotButton="0" quotePrefix="0" xfId="0">
      <alignment horizontal="right" vertical="center" wrapText="1"/>
    </xf>
    <xf numFmtId="0" fontId="28" fillId="0" borderId="2" applyAlignment="1" pivotButton="0" quotePrefix="0" xfId="0">
      <alignment horizontal="right" vertical="center" wrapText="1"/>
    </xf>
    <xf numFmtId="0" fontId="21" fillId="4" borderId="0" applyAlignment="1" pivotButton="0" quotePrefix="0" xfId="0">
      <alignment horizontal="center" vertical="center" wrapText="1"/>
    </xf>
    <xf numFmtId="0" fontId="30" fillId="7" borderId="2" applyAlignment="1" pivotButton="0" quotePrefix="0" xfId="0">
      <alignment horizontal="right" vertical="center" wrapText="1"/>
    </xf>
    <xf numFmtId="0" fontId="30" fillId="11" borderId="2" applyAlignment="1" pivotButton="0" quotePrefix="0" xfId="0">
      <alignment horizontal="center" vertical="center"/>
    </xf>
    <xf numFmtId="0" fontId="31" fillId="0" borderId="0" applyAlignment="1" pivotButton="0" quotePrefix="0" xfId="0">
      <alignment horizontal="right" vertical="center" wrapText="1"/>
    </xf>
    <xf numFmtId="0" fontId="29" fillId="0" borderId="2"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Config/Inc/board_pins.h" TargetMode="External" Id="rId1"/><Relationship Type="http://schemas.openxmlformats.org/officeDocument/2006/relationships/hyperlink" Target="../Charger/charger.c" TargetMode="External" Id="rId2"/><Relationship Type="http://schemas.openxmlformats.org/officeDocument/2006/relationships/hyperlink" Target="../../Bsp/Src/bsp_exti.c" TargetMode="External" Id="rId3"/><Relationship Type="http://schemas.openxmlformats.org/officeDocument/2006/relationships/hyperlink" Target="../Charger/charger.c" TargetMode="External" Id="rId4"/></Relationships>
</file>

<file path=xl/worksheets/_rels/sheet9.xml.rels><Relationships xmlns="http://schemas.openxmlformats.org/package/2006/relationships"><Relationship Type="http://schemas.openxmlformats.org/officeDocument/2006/relationships/hyperlink" Target="Jitter_State_Machine.xlsx" TargetMode="External" Id="rId1"/><Relationship Type="http://schemas.openxmlformats.org/officeDocument/2006/relationships/hyperlink" Target="../../../Documentation/System_State_Machine.xlsx" TargetMode="External" Id="rId2"/></Relationships>
</file>

<file path=xl/worksheets/sheet1.xml><?xml version="1.0" encoding="utf-8"?>
<worksheet xmlns="http://schemas.openxmlformats.org/spreadsheetml/2006/main">
  <sheetPr>
    <tabColor rgb="007F7F7F"/>
    <outlinePr summaryBelow="1" summaryRight="1"/>
    <pageSetUpPr/>
  </sheetPr>
  <dimension ref="A1:B13"/>
  <sheetViews>
    <sheetView rightToLeft="1" workbookViewId="0">
      <pane ySplit="1" topLeftCell="A2" activePane="bottomLeft" state="frozen"/>
      <selection pane="bottomLeft" activeCell="A1" sqref="A1"/>
    </sheetView>
  </sheetViews>
  <sheetFormatPr baseColWidth="8" defaultRowHeight="15"/>
  <cols>
    <col width="110" customWidth="1" min="1" max="1"/>
  </cols>
  <sheetData>
    <row r="1">
      <c r="A1" s="77" t="inlineStr">
        <is>
          <t>برگه تست و اعتبارسنجی عملی ماژول Jitter</t>
        </is>
      </c>
    </row>
    <row r="2">
      <c r="A2" s="46" t="inlineStr">
        <is>
          <t>Jitter | مصرف رویدادهای EXTI مقایسه‌گر LM393 (PB2/PB6) و صف احیای تک‌تک JIT شارژر</t>
        </is>
      </c>
    </row>
    <row r="3" ht="30" customHeight="1">
      <c r="A3" s="78" t="inlineStr">
        <is>
          <t>هدف فایل</t>
        </is>
      </c>
    </row>
    <row r="4">
      <c r="A4" s="46" t="inlineStr"/>
    </row>
    <row r="5">
      <c r="A5" s="46" t="inlineStr">
        <is>
          <t>مقایسه‌گر LM393 خروجی باز (open-collector) دارد.
وقتی جریان از حد رد شود، پایه پایین می‌آید (low).
برنامه روی لبهٔ پایین‌رونده تنظیم شده است و دوباره چک می‌کند که پایه هنوز پایین باشد.</t>
        </is>
      </c>
    </row>
    <row r="6">
      <c r="A6" s="46" t="inlineStr">
        <is>
          <t>گرفتن رویداد اتمیک است (با PRIMASK). پس هیچ رویدادی گم نمی‌شود.</t>
        </is>
      </c>
    </row>
    <row r="7">
      <c r="A7" s="46" t="inlineStr">
        <is>
          <t>احیای کانال‌های تریپ‌شده تک‌تک و به ترتیب انجام می‌شود.</t>
        </is>
      </c>
    </row>
    <row r="8">
      <c r="A8" s="46" t="inlineStr"/>
    </row>
    <row r="9">
      <c r="A9" s="46" t="inlineStr">
        <is>
          <t>هشدار: تریپ عمدی JIT با جریان واقعی فقط با منبع محدودشده و زیر نظارت.</t>
        </is>
      </c>
    </row>
    <row r="11">
      <c r="A11" s="74"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row r="13">
      <c r="A13" s="87" t="inlineStr">
        <is>
          <t>پیش‌بینی زندهٔ برنامه</t>
        </is>
      </c>
      <c r="B13" s="88" t="inlineStr">
        <is>
          <t>در شیت «برنامه تست»، ستون آخر («پیش‌بینی زندهٔ برنامه») با فرمول اکسل حساب می‌کند که برنامهٔ روی برد با ورودی‌های فعلی چه کار می‌کند. ورودی‌ها خانه‌های زرد بالای همان شیت‌اند؛ عددشان را عوض کن، نتیجه را بخوان و با رفتار واقعی برد مقایسه کن. هر جا «—» است، آن تست پیش‌بینی فرمولی ندارد (مثل دیالوگ پنل یا تست‌های حافظه).</t>
        </is>
      </c>
    </row>
  </sheetData>
  <mergeCells count="9">
    <mergeCell ref="A8"/>
    <mergeCell ref="A6"/>
    <mergeCell ref="A9"/>
    <mergeCell ref="A4"/>
    <mergeCell ref="A3"/>
    <mergeCell ref="A7"/>
    <mergeCell ref="A2"/>
    <mergeCell ref="A5"/>
    <mergeCell ref="A1"/>
  </mergeCells>
  <pageMargins left="0.75" right="0.75" top="1" bottom="1" header="0.5" footer="0.5"/>
</worksheet>
</file>

<file path=xl/worksheets/sheet2.xml><?xml version="1.0" encoding="utf-8"?>
<worksheet xmlns="http://schemas.openxmlformats.org/spreadsheetml/2006/main">
  <sheetPr>
    <tabColor rgb="001F4E79"/>
    <outlinePr summaryBelow="1" summaryRight="1"/>
    <pageSetUpPr fitToPage="1"/>
  </sheetPr>
  <dimension ref="A1:U45"/>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 width="52" customWidth="1" min="18" max="18"/>
    <col width="34" customWidth="1" min="20" max="20"/>
    <col width="14" customWidth="1" min="21" max="21"/>
  </cols>
  <sheetData>
    <row r="1" ht="30" customHeight="1">
      <c r="A1" s="77" t="inlineStr">
        <is>
          <t>برنامهٔ تست عملی — ماژول Jitter</t>
        </is>
      </c>
      <c r="T1" s="89" t="inlineStr">
        <is>
          <t>ورودی‌های پیش‌بینی — خانه‌های زرد را عوض کن و ستون «پیش‌بینی زنده» را ببین</t>
        </is>
      </c>
    </row>
    <row r="2">
      <c r="A2" s="46" t="inlineStr">
        <is>
          <t>وضعیت فقط یکی از: در انتظار / قبول / رد / مسدود / نیاز به تکرار. تست Host جایگزین تست برد نیست.</t>
        </is>
      </c>
      <c r="T2" s="90" t="inlineStr">
        <is>
          <t>کانال تریپ‌شده (0=هیچ، 1 یا 2)</t>
        </is>
      </c>
      <c r="U2" s="91" t="n">
        <v>0</v>
      </c>
    </row>
    <row r="3">
      <c r="A3" s="46" t="inlineStr">
        <is>
          <t>برای هر ردیف پیش‌شرط، ورودی، انتظار و معیار قبولی صریح است؛ نتیجهٔ واقعی فقط با اندازه‌گیری روی برد پر می‌شود.</t>
        </is>
      </c>
      <c r="T3" s="92" t="inlineStr">
        <is>
          <t>پیش‌بینی برای حالت پایدار است؛ چشمک و زمان‌بندی را با چشم و کرنومتر چک کن و با برد مقایسه کن.</t>
        </is>
      </c>
    </row>
    <row r="4" ht="30" customHeight="1">
      <c r="A4" s="78" t="inlineStr">
        <is>
          <t>شناسه</t>
        </is>
      </c>
      <c r="B4" s="78" t="inlineStr">
        <is>
          <t>دسته</t>
        </is>
      </c>
      <c r="C4" s="78" t="inlineStr">
        <is>
          <t>اولویت</t>
        </is>
      </c>
      <c r="D4" s="78" t="inlineStr">
        <is>
          <t>پیش‌شرط</t>
        </is>
      </c>
      <c r="E4" s="78" t="inlineStr">
        <is>
          <t>روش اجرای دقیق</t>
        </is>
      </c>
      <c r="F4" s="78" t="inlineStr">
        <is>
          <t>ورودی‌ها / شرایط</t>
        </is>
      </c>
      <c r="G4" s="78" t="inlineStr">
        <is>
          <t>مدت مشاهده</t>
        </is>
      </c>
      <c r="H4" s="78" t="inlineStr">
        <is>
          <t>رفتار مورد انتظار</t>
        </is>
      </c>
      <c r="I4" s="78" t="inlineStr">
        <is>
          <t>می‌ماند یا پاک می‌شود</t>
        </is>
      </c>
      <c r="J4" s="78" t="inlineStr">
        <is>
          <t>چه چیزی باید ببینید تا بگویید درست است</t>
        </is>
      </c>
      <c r="K4" s="78" t="inlineStr">
        <is>
          <t>نتیجهٔ واقعی / اندازه‌گیری</t>
        </is>
      </c>
      <c r="L4" s="78" t="inlineStr">
        <is>
          <t>وضعیت</t>
        </is>
      </c>
      <c r="M4" s="78" t="inlineStr">
        <is>
          <t>شرح ایراد / تفاوت</t>
        </is>
      </c>
      <c r="N4" s="78" t="inlineStr">
        <is>
          <t>مدرک تست</t>
        </is>
      </c>
      <c r="O4" s="78" t="inlineStr">
        <is>
          <t>نسخهٔ برنامه</t>
        </is>
      </c>
      <c r="P4" s="78" t="inlineStr">
        <is>
          <t>نام تست‌کننده</t>
        </is>
      </c>
      <c r="Q4" s="78" t="inlineStr">
        <is>
          <t>تاریخ</t>
        </is>
      </c>
      <c r="R4" s="78" t="inlineStr">
        <is>
          <t>پیش‌بینی زندهٔ برنامه (فرمول)</t>
        </is>
      </c>
    </row>
    <row r="5" ht="40.5" customHeight="1">
      <c r="A5" s="50" t="inlineStr">
        <is>
          <t>JT-008</t>
        </is>
      </c>
      <c r="B5" s="51" t="inlineStr">
        <is>
          <t>شارژ عادی طولانی بدون تریپ بی‌دلیل</t>
        </is>
      </c>
      <c r="C5" s="52" t="inlineStr">
        <is>
          <t>متوسط</t>
        </is>
      </c>
      <c r="D5" s="51" t="inlineStr">
        <is>
          <t>باتری واقعی وصل و دستگاه در حال شارژ عادی است</t>
        </is>
      </c>
      <c r="E5" s="51" t="inlineStr">
        <is>
          <t>گام ۱: یک شارژ کامل واقعی (چند ساعت) را از اول تا آخر زیر نظر بگیر.
گام ۲: دنبال قطع‌ووصل بی‌دلیل شارژ بگرد.</t>
        </is>
      </c>
      <c r="F5" s="52" t="inlineStr">
        <is>
          <t>یک شارژ کامل واقعی</t>
        </is>
      </c>
      <c r="G5" s="52" t="inlineStr">
        <is>
          <t>چند ساعت</t>
        </is>
      </c>
      <c r="H5" s="51" t="inlineStr">
        <is>
          <t>شارژ از اول تا آخر پیوسته و بدون قطع‌ووصل بی‌دلیل انجام می‌شود</t>
        </is>
      </c>
      <c r="I5" s="51" t="inlineStr">
        <is>
          <t>—</t>
        </is>
      </c>
      <c r="J5" s="51" t="inlineStr">
        <is>
          <t>باید ببینید: شارژ از اول تا آخر پیوسته و بدون قطع‌ووصل بی‌دلیل انجام می‌شود. اگر تریپ بی‌دلیل دیدید، قبول نیست.</t>
        </is>
      </c>
      <c r="K5" s="51" t="n"/>
      <c r="L5" s="53" t="inlineStr">
        <is>
          <t>در انتظار</t>
        </is>
      </c>
      <c r="M5" s="51" t="n"/>
      <c r="N5" s="51" t="n"/>
      <c r="O5" s="52" t="n"/>
      <c r="P5" s="52" t="n"/>
      <c r="Q5" s="54">
        <f>IF(OR(L5="",L5="در انتظار"),"",IF(Q5="",TODAY(),Q5))</f>
        <v/>
      </c>
      <c r="R5" s="88">
        <f>IF($U$2=0,"بدون تریپ: شارژ عادی و پیوسته ادامه دارد","کانال "&amp;$U$2&amp;" تریپ شده: همان کانال می‌ایستد و به نوبت احیا می‌شود")</f>
        <v/>
      </c>
    </row>
    <row r="6" ht="54" customHeight="1">
      <c r="A6" s="50" t="inlineStr">
        <is>
          <t>JI-015</t>
        </is>
      </c>
      <c r="B6" s="79" t="inlineStr">
        <is>
          <t>پنل دیالوگ مستقل</t>
        </is>
      </c>
      <c r="C6" s="80" t="inlineStr">
        <is>
          <t>پایین</t>
        </is>
      </c>
      <c r="D6" s="79" t="inlineStr">
        <is>
          <t>پنل باز و دستگاه روشن است</t>
        </is>
      </c>
      <c r="E6" s="79" t="inlineStr">
        <is>
          <t>گام ۱: دیالوگ مربوط به جیتر را در پنل باز کن.
گام ۲: یک مقدار را بخوان و ببند؛ ببین بقیهٔ پنل و دستگاه عادی کار می‌کنند.</t>
        </is>
      </c>
      <c r="F6" s="80" t="inlineStr">
        <is>
          <t>باز و بسته‌کردن دیالوگ جیتر در پنل</t>
        </is>
      </c>
      <c r="G6" s="80" t="inlineStr">
        <is>
          <t>دو دقیقه</t>
        </is>
      </c>
      <c r="H6" s="79" t="inlineStr">
        <is>
          <t>دیالوگ مستقل و تمیز کار می‌کند و روی شارژ و چراغ‌ها اثری ندارد</t>
        </is>
      </c>
      <c r="I6" s="79" t="inlineStr">
        <is>
          <t>—</t>
        </is>
      </c>
      <c r="J6" s="79" t="inlineStr">
        <is>
          <t>باید ببینید: دیالوگ مستقل و تمیز کار می‌کند و روی شارژ و چراغ‌ها اثری ندارد. اگر اثری روی بقیه دیدید، قبول نیست.</t>
        </is>
      </c>
      <c r="K6" s="51" t="n"/>
      <c r="L6" s="53" t="inlineStr">
        <is>
          <t>نیاز به تکرار</t>
        </is>
      </c>
      <c r="M6" s="51" t="n"/>
      <c r="N6" s="51" t="n"/>
      <c r="O6" s="80" t="inlineStr">
        <is>
          <t>62f3782</t>
        </is>
      </c>
      <c r="P6" s="52" t="n"/>
      <c r="Q6" s="81">
        <f>IF(OR(L6="",L6="در انتظار"),"",IF(Q6="",TODAY(),Q6))</f>
        <v/>
      </c>
      <c r="R6" s="93" t="inlineStr">
        <is>
          <t>—</t>
        </is>
      </c>
    </row>
    <row r="7">
      <c r="A7" s="75" t="n"/>
      <c r="B7" s="75" t="n"/>
      <c r="C7" s="75" t="n"/>
      <c r="D7" s="75" t="n"/>
      <c r="E7" s="75" t="n"/>
      <c r="F7" s="75" t="n"/>
      <c r="G7" s="75" t="n"/>
      <c r="H7" s="75" t="n"/>
      <c r="I7" s="75" t="n"/>
      <c r="J7" s="75" t="n"/>
      <c r="K7" s="75" t="n"/>
      <c r="L7" s="75" t="n"/>
      <c r="M7" s="75" t="n"/>
      <c r="N7" s="75" t="n"/>
      <c r="O7" s="75" t="n"/>
      <c r="P7" s="75" t="n"/>
      <c r="Q7" s="76" t="n"/>
    </row>
    <row r="8">
      <c r="A8" s="75" t="n"/>
      <c r="B8" s="75" t="n"/>
      <c r="C8" s="75" t="n"/>
      <c r="D8" s="75" t="n"/>
      <c r="E8" s="75" t="n"/>
      <c r="F8" s="75" t="n"/>
      <c r="G8" s="75" t="n"/>
      <c r="H8" s="75" t="n"/>
      <c r="I8" s="75" t="n"/>
      <c r="J8" s="75" t="n"/>
      <c r="K8" s="75" t="n"/>
      <c r="L8" s="75" t="n"/>
      <c r="M8" s="75" t="n"/>
      <c r="N8" s="75" t="n"/>
      <c r="O8" s="75" t="n"/>
      <c r="P8" s="75" t="n"/>
      <c r="Q8" s="76" t="n"/>
    </row>
    <row r="9">
      <c r="A9" s="75" t="n"/>
      <c r="B9" s="75" t="n"/>
      <c r="C9" s="75" t="n"/>
      <c r="D9" s="75" t="n"/>
      <c r="E9" s="75" t="n"/>
      <c r="F9" s="75" t="n"/>
      <c r="G9" s="75" t="n"/>
      <c r="H9" s="75" t="n"/>
      <c r="I9" s="75" t="n"/>
      <c r="J9" s="75" t="n"/>
      <c r="K9" s="75" t="n"/>
      <c r="L9" s="75" t="n"/>
      <c r="M9" s="75" t="n"/>
      <c r="N9" s="75" t="n"/>
      <c r="O9" s="75" t="n"/>
      <c r="P9" s="75" t="n"/>
      <c r="Q9" s="76" t="n"/>
    </row>
    <row r="10">
      <c r="A10" s="75" t="n"/>
      <c r="B10" s="75" t="n"/>
      <c r="C10" s="75" t="n"/>
      <c r="D10" s="75" t="n"/>
      <c r="E10" s="75" t="n"/>
      <c r="F10" s="75" t="n"/>
      <c r="G10" s="75" t="n"/>
      <c r="H10" s="75" t="n"/>
      <c r="I10" s="75" t="n"/>
      <c r="J10" s="75" t="n"/>
      <c r="K10" s="75" t="n"/>
      <c r="L10" s="75" t="n"/>
      <c r="M10" s="75" t="n"/>
      <c r="N10" s="75" t="n"/>
      <c r="O10" s="75" t="n"/>
      <c r="P10" s="75" t="n"/>
      <c r="Q10" s="76" t="n"/>
    </row>
    <row r="11">
      <c r="A11" s="75" t="n"/>
      <c r="B11" s="75" t="n"/>
      <c r="C11" s="75" t="n"/>
      <c r="D11" s="75" t="n"/>
      <c r="E11" s="75" t="n"/>
      <c r="F11" s="75" t="n"/>
      <c r="G11" s="75" t="n"/>
      <c r="H11" s="75" t="n"/>
      <c r="I11" s="75" t="n"/>
      <c r="J11" s="75" t="n"/>
      <c r="K11" s="75" t="n"/>
      <c r="L11" s="75" t="n"/>
      <c r="M11" s="75" t="n"/>
      <c r="N11" s="75" t="n"/>
      <c r="O11" s="75" t="n"/>
      <c r="P11" s="75" t="n"/>
      <c r="Q11" s="76" t="n"/>
    </row>
    <row r="12">
      <c r="A12" s="75" t="n"/>
      <c r="B12" s="75" t="n"/>
      <c r="C12" s="75" t="n"/>
      <c r="D12" s="75" t="n"/>
      <c r="E12" s="75" t="n"/>
      <c r="F12" s="75" t="n"/>
      <c r="G12" s="75" t="n"/>
      <c r="H12" s="75" t="n"/>
      <c r="I12" s="75" t="n"/>
      <c r="J12" s="75" t="n"/>
      <c r="K12" s="75" t="n"/>
      <c r="L12" s="75" t="n"/>
      <c r="M12" s="75" t="n"/>
      <c r="N12" s="75" t="n"/>
      <c r="O12" s="75" t="n"/>
      <c r="P12" s="75" t="n"/>
      <c r="Q12" s="76" t="n"/>
    </row>
    <row r="13">
      <c r="A13" s="75" t="n"/>
      <c r="B13" s="75" t="n"/>
      <c r="C13" s="75" t="n"/>
      <c r="D13" s="75" t="n"/>
      <c r="E13" s="75" t="n"/>
      <c r="F13" s="75" t="n"/>
      <c r="G13" s="75" t="n"/>
      <c r="H13" s="75" t="n"/>
      <c r="I13" s="75" t="n"/>
      <c r="J13" s="75" t="n"/>
      <c r="K13" s="75" t="n"/>
      <c r="L13" s="75" t="n"/>
      <c r="M13" s="75" t="n"/>
      <c r="N13" s="75" t="n"/>
      <c r="O13" s="75" t="n"/>
      <c r="P13" s="75" t="n"/>
      <c r="Q13" s="76" t="n"/>
    </row>
    <row r="14">
      <c r="A14" s="75" t="n"/>
      <c r="B14" s="75" t="n"/>
      <c r="C14" s="75" t="n"/>
      <c r="D14" s="75" t="n"/>
      <c r="E14" s="75" t="n"/>
      <c r="F14" s="75" t="n"/>
      <c r="G14" s="75" t="n"/>
      <c r="H14" s="75" t="n"/>
      <c r="I14" s="75" t="n"/>
      <c r="J14" s="75" t="n"/>
      <c r="K14" s="75" t="n"/>
      <c r="L14" s="75" t="n"/>
      <c r="M14" s="75" t="n"/>
      <c r="N14" s="75" t="n"/>
      <c r="O14" s="75" t="n"/>
      <c r="P14" s="75" t="n"/>
      <c r="Q14" s="76" t="n"/>
    </row>
    <row r="15">
      <c r="A15" s="75" t="n"/>
      <c r="B15" s="75" t="n"/>
      <c r="C15" s="75" t="n"/>
      <c r="D15" s="75" t="n"/>
      <c r="E15" s="75" t="n"/>
      <c r="F15" s="75" t="n"/>
      <c r="G15" s="75" t="n"/>
      <c r="H15" s="75" t="n"/>
      <c r="I15" s="75" t="n"/>
      <c r="J15" s="75" t="n"/>
      <c r="K15" s="75" t="n"/>
      <c r="L15" s="75" t="n"/>
      <c r="M15" s="75" t="n"/>
      <c r="N15" s="75" t="n"/>
      <c r="O15" s="75" t="n"/>
      <c r="P15" s="75" t="n"/>
      <c r="Q15" s="76" t="n"/>
    </row>
    <row r="16">
      <c r="A16" s="75" t="n"/>
      <c r="B16" s="75" t="n"/>
      <c r="C16" s="75" t="n"/>
      <c r="D16" s="75" t="n"/>
      <c r="E16" s="75" t="n"/>
      <c r="F16" s="75" t="n"/>
      <c r="G16" s="75" t="n"/>
      <c r="H16" s="75" t="n"/>
      <c r="I16" s="75" t="n"/>
      <c r="J16" s="75" t="n"/>
      <c r="K16" s="75" t="n"/>
      <c r="L16" s="75" t="n"/>
      <c r="M16" s="75" t="n"/>
      <c r="N16" s="75" t="n"/>
      <c r="O16" s="75" t="n"/>
      <c r="P16" s="75" t="n"/>
      <c r="Q16" s="76" t="n"/>
    </row>
    <row r="17">
      <c r="A17" s="75" t="n"/>
      <c r="B17" s="75" t="n"/>
      <c r="C17" s="75" t="n"/>
      <c r="D17" s="75" t="n"/>
      <c r="E17" s="75" t="n"/>
      <c r="F17" s="75" t="n"/>
      <c r="G17" s="75" t="n"/>
      <c r="H17" s="75" t="n"/>
      <c r="I17" s="75" t="n"/>
      <c r="J17" s="75" t="n"/>
      <c r="K17" s="75" t="n"/>
      <c r="L17" s="75" t="n"/>
      <c r="M17" s="75" t="n"/>
      <c r="N17" s="75" t="n"/>
      <c r="O17" s="75" t="n"/>
      <c r="P17" s="75" t="n"/>
      <c r="Q17" s="76" t="n"/>
    </row>
    <row r="18">
      <c r="A18" s="75" t="n"/>
      <c r="B18" s="75" t="n"/>
      <c r="C18" s="75" t="n"/>
      <c r="D18" s="75" t="n"/>
      <c r="E18" s="75" t="n"/>
      <c r="F18" s="75" t="n"/>
      <c r="G18" s="75" t="n"/>
      <c r="H18" s="75" t="n"/>
      <c r="I18" s="75" t="n"/>
      <c r="J18" s="75" t="n"/>
      <c r="K18" s="75" t="n"/>
      <c r="L18" s="75" t="n"/>
      <c r="M18" s="75" t="n"/>
      <c r="N18" s="75" t="n"/>
      <c r="O18" s="75" t="n"/>
      <c r="P18" s="75" t="n"/>
      <c r="Q18" s="76" t="n"/>
    </row>
    <row r="19">
      <c r="A19" s="75" t="n"/>
      <c r="B19" s="75" t="n"/>
      <c r="C19" s="75" t="n"/>
      <c r="D19" s="75" t="n"/>
      <c r="E19" s="75" t="n"/>
      <c r="F19" s="75" t="n"/>
      <c r="G19" s="75" t="n"/>
      <c r="H19" s="75" t="n"/>
      <c r="I19" s="75" t="n"/>
      <c r="J19" s="75" t="n"/>
      <c r="K19" s="75" t="n"/>
      <c r="L19" s="75" t="n"/>
      <c r="M19" s="75" t="n"/>
      <c r="N19" s="75" t="n"/>
      <c r="O19" s="75" t="n"/>
      <c r="P19" s="75" t="n"/>
      <c r="Q19" s="76" t="n"/>
    </row>
    <row r="20">
      <c r="A20" s="75" t="n"/>
      <c r="B20" s="75" t="n"/>
      <c r="C20" s="75" t="n"/>
      <c r="D20" s="75" t="n"/>
      <c r="E20" s="75" t="n"/>
      <c r="F20" s="75" t="n"/>
      <c r="G20" s="75" t="n"/>
      <c r="H20" s="75" t="n"/>
      <c r="I20" s="75" t="n"/>
      <c r="J20" s="75" t="n"/>
      <c r="K20" s="75" t="n"/>
      <c r="L20" s="75" t="n"/>
      <c r="M20" s="75" t="n"/>
      <c r="N20" s="75" t="n"/>
      <c r="O20" s="75" t="n"/>
      <c r="P20" s="75" t="n"/>
      <c r="Q20" s="76" t="n"/>
    </row>
    <row r="21">
      <c r="A21" s="75" t="n"/>
      <c r="B21" s="75" t="n"/>
      <c r="C21" s="75" t="n"/>
      <c r="D21" s="75" t="n"/>
      <c r="E21" s="75" t="n"/>
      <c r="F21" s="75" t="n"/>
      <c r="G21" s="75" t="n"/>
      <c r="H21" s="75" t="n"/>
      <c r="I21" s="75" t="n"/>
      <c r="J21" s="75" t="n"/>
      <c r="K21" s="75" t="n"/>
      <c r="L21" s="75" t="n"/>
      <c r="M21" s="75" t="n"/>
      <c r="N21" s="75" t="n"/>
      <c r="O21" s="75" t="n"/>
      <c r="P21" s="75" t="n"/>
      <c r="Q21" s="76" t="n"/>
    </row>
    <row r="22">
      <c r="A22" s="75" t="n"/>
      <c r="B22" s="75" t="n"/>
      <c r="C22" s="75" t="n"/>
      <c r="D22" s="75" t="n"/>
      <c r="E22" s="75" t="n"/>
      <c r="F22" s="75" t="n"/>
      <c r="G22" s="75" t="n"/>
      <c r="H22" s="75" t="n"/>
      <c r="I22" s="75" t="n"/>
      <c r="J22" s="75" t="n"/>
      <c r="K22" s="75" t="n"/>
      <c r="L22" s="75" t="n"/>
      <c r="M22" s="75" t="n"/>
      <c r="N22" s="75" t="n"/>
      <c r="O22" s="75" t="n"/>
      <c r="P22" s="75" t="n"/>
      <c r="Q22" s="76" t="n"/>
    </row>
    <row r="23">
      <c r="A23" s="75" t="n"/>
      <c r="B23" s="75" t="n"/>
      <c r="C23" s="75" t="n"/>
      <c r="D23" s="75" t="n"/>
      <c r="E23" s="75" t="n"/>
      <c r="F23" s="75" t="n"/>
      <c r="G23" s="75" t="n"/>
      <c r="H23" s="75" t="n"/>
      <c r="I23" s="75" t="n"/>
      <c r="J23" s="75" t="n"/>
      <c r="K23" s="75" t="n"/>
      <c r="L23" s="75" t="n"/>
      <c r="M23" s="75" t="n"/>
      <c r="N23" s="75" t="n"/>
      <c r="O23" s="75" t="n"/>
      <c r="P23" s="75" t="n"/>
      <c r="Q23" s="76" t="n"/>
    </row>
    <row r="24">
      <c r="A24" s="75" t="n"/>
      <c r="B24" s="75" t="n"/>
      <c r="C24" s="75" t="n"/>
      <c r="D24" s="75" t="n"/>
      <c r="E24" s="75" t="n"/>
      <c r="F24" s="75" t="n"/>
      <c r="G24" s="75" t="n"/>
      <c r="H24" s="75" t="n"/>
      <c r="I24" s="75" t="n"/>
      <c r="J24" s="75" t="n"/>
      <c r="K24" s="75" t="n"/>
      <c r="L24" s="75" t="n"/>
      <c r="M24" s="75" t="n"/>
      <c r="N24" s="75" t="n"/>
      <c r="O24" s="75" t="n"/>
      <c r="P24" s="75" t="n"/>
      <c r="Q24" s="76" t="n"/>
    </row>
    <row r="25">
      <c r="A25" s="75" t="n"/>
      <c r="B25" s="75" t="n"/>
      <c r="C25" s="75" t="n"/>
      <c r="D25" s="75" t="n"/>
      <c r="E25" s="75" t="n"/>
      <c r="F25" s="75" t="n"/>
      <c r="G25" s="75" t="n"/>
      <c r="H25" s="75" t="n"/>
      <c r="I25" s="75" t="n"/>
      <c r="J25" s="75" t="n"/>
      <c r="K25" s="75" t="n"/>
      <c r="L25" s="75" t="n"/>
      <c r="M25" s="75" t="n"/>
      <c r="N25" s="75" t="n"/>
      <c r="O25" s="75" t="n"/>
      <c r="P25" s="75" t="n"/>
      <c r="Q25" s="76" t="n"/>
    </row>
    <row r="26">
      <c r="A26" s="75" t="n"/>
      <c r="B26" s="75" t="n"/>
      <c r="C26" s="75" t="n"/>
      <c r="D26" s="75" t="n"/>
      <c r="E26" s="75" t="n"/>
      <c r="F26" s="75" t="n"/>
      <c r="G26" s="75" t="n"/>
      <c r="H26" s="75" t="n"/>
      <c r="I26" s="75" t="n"/>
      <c r="J26" s="75" t="n"/>
      <c r="K26" s="75" t="n"/>
      <c r="L26" s="75" t="n"/>
      <c r="M26" s="75" t="n"/>
      <c r="N26" s="75" t="n"/>
      <c r="O26" s="75" t="n"/>
      <c r="P26" s="75" t="n"/>
      <c r="Q26" s="76" t="n"/>
    </row>
    <row r="27">
      <c r="A27" s="75" t="n"/>
      <c r="B27" s="75" t="n"/>
      <c r="C27" s="75" t="n"/>
      <c r="D27" s="75" t="n"/>
      <c r="E27" s="75" t="n"/>
      <c r="F27" s="75" t="n"/>
      <c r="G27" s="75" t="n"/>
      <c r="H27" s="75" t="n"/>
      <c r="I27" s="75" t="n"/>
      <c r="J27" s="75" t="n"/>
      <c r="K27" s="75" t="n"/>
      <c r="L27" s="75" t="n"/>
      <c r="M27" s="75" t="n"/>
      <c r="N27" s="75" t="n"/>
      <c r="O27" s="75" t="n"/>
      <c r="P27" s="75" t="n"/>
      <c r="Q27" s="76" t="n"/>
    </row>
    <row r="28">
      <c r="A28" s="75" t="n"/>
      <c r="B28" s="75" t="n"/>
      <c r="C28" s="75" t="n"/>
      <c r="D28" s="75" t="n"/>
      <c r="E28" s="75" t="n"/>
      <c r="F28" s="75" t="n"/>
      <c r="G28" s="75" t="n"/>
      <c r="H28" s="75" t="n"/>
      <c r="I28" s="75" t="n"/>
      <c r="J28" s="75" t="n"/>
      <c r="K28" s="75" t="n"/>
      <c r="L28" s="75" t="n"/>
      <c r="M28" s="75" t="n"/>
      <c r="N28" s="75" t="n"/>
      <c r="O28" s="75" t="n"/>
      <c r="P28" s="75" t="n"/>
      <c r="Q28" s="76" t="n"/>
    </row>
    <row r="29">
      <c r="A29" s="75" t="n"/>
      <c r="B29" s="75" t="n"/>
      <c r="C29" s="75" t="n"/>
      <c r="D29" s="75" t="n"/>
      <c r="E29" s="75" t="n"/>
      <c r="F29" s="75" t="n"/>
      <c r="G29" s="75" t="n"/>
      <c r="H29" s="75" t="n"/>
      <c r="I29" s="75" t="n"/>
      <c r="J29" s="75" t="n"/>
      <c r="K29" s="75" t="n"/>
      <c r="L29" s="75" t="n"/>
      <c r="M29" s="75" t="n"/>
      <c r="N29" s="75" t="n"/>
      <c r="O29" s="75" t="n"/>
      <c r="P29" s="75" t="n"/>
      <c r="Q29" s="76" t="n"/>
    </row>
    <row r="30">
      <c r="A30" s="75" t="n"/>
      <c r="B30" s="75" t="n"/>
      <c r="C30" s="75" t="n"/>
      <c r="D30" s="75" t="n"/>
      <c r="E30" s="75" t="n"/>
      <c r="F30" s="75" t="n"/>
      <c r="G30" s="75" t="n"/>
      <c r="H30" s="75" t="n"/>
      <c r="I30" s="75" t="n"/>
      <c r="J30" s="75" t="n"/>
      <c r="K30" s="75" t="n"/>
      <c r="L30" s="75" t="n"/>
      <c r="M30" s="75" t="n"/>
      <c r="N30" s="75" t="n"/>
      <c r="O30" s="75" t="n"/>
      <c r="P30" s="75" t="n"/>
      <c r="Q30" s="76" t="n"/>
    </row>
    <row r="31">
      <c r="A31" s="75" t="n"/>
      <c r="B31" s="75" t="n"/>
      <c r="C31" s="75" t="n"/>
      <c r="D31" s="75" t="n"/>
      <c r="E31" s="75" t="n"/>
      <c r="F31" s="75" t="n"/>
      <c r="G31" s="75" t="n"/>
      <c r="H31" s="75" t="n"/>
      <c r="I31" s="75" t="n"/>
      <c r="J31" s="75" t="n"/>
      <c r="K31" s="75" t="n"/>
      <c r="L31" s="75" t="n"/>
      <c r="M31" s="75" t="n"/>
      <c r="N31" s="75" t="n"/>
      <c r="O31" s="75" t="n"/>
      <c r="P31" s="75" t="n"/>
      <c r="Q31" s="76" t="n"/>
    </row>
    <row r="32">
      <c r="A32" s="75" t="n"/>
      <c r="B32" s="75" t="n"/>
      <c r="C32" s="75" t="n"/>
      <c r="D32" s="75" t="n"/>
      <c r="E32" s="75" t="n"/>
      <c r="F32" s="75" t="n"/>
      <c r="G32" s="75" t="n"/>
      <c r="H32" s="75" t="n"/>
      <c r="I32" s="75" t="n"/>
      <c r="J32" s="75" t="n"/>
      <c r="K32" s="75" t="n"/>
      <c r="L32" s="75" t="n"/>
      <c r="M32" s="75" t="n"/>
      <c r="N32" s="75" t="n"/>
      <c r="O32" s="75" t="n"/>
      <c r="P32" s="75" t="n"/>
      <c r="Q32" s="76" t="n"/>
    </row>
    <row r="33">
      <c r="A33" s="75" t="n"/>
      <c r="B33" s="75" t="n"/>
      <c r="C33" s="75" t="n"/>
      <c r="D33" s="75" t="n"/>
      <c r="E33" s="75" t="n"/>
      <c r="F33" s="75" t="n"/>
      <c r="G33" s="75" t="n"/>
      <c r="H33" s="75" t="n"/>
      <c r="I33" s="75" t="n"/>
      <c r="J33" s="75" t="n"/>
      <c r="K33" s="75" t="n"/>
      <c r="L33" s="75" t="n"/>
      <c r="M33" s="75" t="n"/>
      <c r="N33" s="75" t="n"/>
      <c r="O33" s="75" t="n"/>
      <c r="P33" s="75" t="n"/>
      <c r="Q33" s="76" t="n"/>
    </row>
    <row r="34">
      <c r="A34" s="75" t="n"/>
      <c r="B34" s="75" t="n"/>
      <c r="C34" s="75" t="n"/>
      <c r="D34" s="75" t="n"/>
      <c r="E34" s="75" t="n"/>
      <c r="F34" s="75" t="n"/>
      <c r="G34" s="75" t="n"/>
      <c r="H34" s="75" t="n"/>
      <c r="I34" s="75" t="n"/>
      <c r="J34" s="75" t="n"/>
      <c r="K34" s="75" t="n"/>
      <c r="L34" s="75" t="n"/>
      <c r="M34" s="75" t="n"/>
      <c r="N34" s="75" t="n"/>
      <c r="O34" s="75" t="n"/>
      <c r="P34" s="75" t="n"/>
      <c r="Q34" s="76" t="n"/>
    </row>
    <row r="35">
      <c r="A35" s="75" t="n"/>
      <c r="B35" s="75" t="n"/>
      <c r="C35" s="75" t="n"/>
      <c r="D35" s="75" t="n"/>
      <c r="E35" s="75" t="n"/>
      <c r="F35" s="75" t="n"/>
      <c r="G35" s="75" t="n"/>
      <c r="H35" s="75" t="n"/>
      <c r="I35" s="75" t="n"/>
      <c r="J35" s="75" t="n"/>
      <c r="K35" s="75" t="n"/>
      <c r="L35" s="75" t="n"/>
      <c r="M35" s="75" t="n"/>
      <c r="N35" s="75" t="n"/>
      <c r="O35" s="75" t="n"/>
      <c r="P35" s="75" t="n"/>
      <c r="Q35" s="76" t="n"/>
    </row>
    <row r="36">
      <c r="A36" s="75" t="n"/>
      <c r="B36" s="75" t="n"/>
      <c r="C36" s="75" t="n"/>
      <c r="D36" s="75" t="n"/>
      <c r="E36" s="75" t="n"/>
      <c r="F36" s="75" t="n"/>
      <c r="G36" s="75" t="n"/>
      <c r="H36" s="75" t="n"/>
      <c r="I36" s="75" t="n"/>
      <c r="J36" s="75" t="n"/>
      <c r="K36" s="75" t="n"/>
      <c r="L36" s="75" t="n"/>
      <c r="M36" s="75" t="n"/>
      <c r="N36" s="75" t="n"/>
      <c r="O36" s="75" t="n"/>
      <c r="P36" s="75" t="n"/>
      <c r="Q36" s="76" t="n"/>
    </row>
    <row r="37">
      <c r="A37" s="75" t="n"/>
      <c r="B37" s="75" t="n"/>
      <c r="C37" s="75" t="n"/>
      <c r="D37" s="75" t="n"/>
      <c r="E37" s="75" t="n"/>
      <c r="F37" s="75" t="n"/>
      <c r="G37" s="75" t="n"/>
      <c r="H37" s="75" t="n"/>
      <c r="I37" s="75" t="n"/>
      <c r="J37" s="75" t="n"/>
      <c r="K37" s="75" t="n"/>
      <c r="L37" s="75" t="n"/>
      <c r="M37" s="75" t="n"/>
      <c r="N37" s="75" t="n"/>
      <c r="O37" s="75" t="n"/>
      <c r="P37" s="75" t="n"/>
      <c r="Q37" s="76" t="n"/>
    </row>
    <row r="38">
      <c r="A38" s="75" t="n"/>
      <c r="B38" s="75" t="n"/>
      <c r="C38" s="75" t="n"/>
      <c r="D38" s="75" t="n"/>
      <c r="E38" s="75" t="n"/>
      <c r="F38" s="75" t="n"/>
      <c r="G38" s="75" t="n"/>
      <c r="H38" s="75" t="n"/>
      <c r="I38" s="75" t="n"/>
      <c r="J38" s="75" t="n"/>
      <c r="K38" s="75" t="n"/>
      <c r="L38" s="75" t="n"/>
      <c r="M38" s="75" t="n"/>
      <c r="N38" s="75" t="n"/>
      <c r="O38" s="75" t="n"/>
      <c r="P38" s="75" t="n"/>
      <c r="Q38" s="76" t="n"/>
    </row>
    <row r="39">
      <c r="A39" s="75" t="n"/>
      <c r="B39" s="75" t="n"/>
      <c r="C39" s="75" t="n"/>
      <c r="D39" s="75" t="n"/>
      <c r="E39" s="75" t="n"/>
      <c r="F39" s="75" t="n"/>
      <c r="G39" s="75" t="n"/>
      <c r="H39" s="75" t="n"/>
      <c r="I39" s="75" t="n"/>
      <c r="J39" s="75" t="n"/>
      <c r="K39" s="75" t="n"/>
      <c r="L39" s="75" t="n"/>
      <c r="M39" s="75" t="n"/>
      <c r="N39" s="75" t="n"/>
      <c r="O39" s="75" t="n"/>
      <c r="P39" s="75" t="n"/>
      <c r="Q39" s="76" t="n"/>
    </row>
    <row r="40">
      <c r="A40" s="75" t="n"/>
      <c r="B40" s="75" t="n"/>
      <c r="C40" s="75" t="n"/>
      <c r="D40" s="75" t="n"/>
      <c r="E40" s="75" t="n"/>
      <c r="F40" s="75" t="n"/>
      <c r="G40" s="75" t="n"/>
      <c r="H40" s="75" t="n"/>
      <c r="I40" s="75" t="n"/>
      <c r="J40" s="75" t="n"/>
      <c r="K40" s="75" t="n"/>
      <c r="L40" s="75" t="n"/>
      <c r="M40" s="75" t="n"/>
      <c r="N40" s="75" t="n"/>
      <c r="O40" s="75" t="n"/>
      <c r="P40" s="75" t="n"/>
      <c r="Q40" s="76" t="n"/>
    </row>
    <row r="41">
      <c r="A41" s="75" t="n"/>
      <c r="B41" s="75" t="n"/>
      <c r="C41" s="75" t="n"/>
      <c r="D41" s="75" t="n"/>
      <c r="E41" s="75" t="n"/>
      <c r="F41" s="75" t="n"/>
      <c r="G41" s="75" t="n"/>
      <c r="H41" s="75" t="n"/>
      <c r="I41" s="75" t="n"/>
      <c r="J41" s="75" t="n"/>
      <c r="K41" s="75" t="n"/>
      <c r="L41" s="75" t="n"/>
      <c r="M41" s="75" t="n"/>
      <c r="N41" s="75" t="n"/>
      <c r="O41" s="75" t="n"/>
      <c r="P41" s="75" t="n"/>
      <c r="Q41" s="76" t="n"/>
    </row>
    <row r="42">
      <c r="A42" s="75" t="n"/>
      <c r="B42" s="75" t="n"/>
      <c r="C42" s="75" t="n"/>
      <c r="D42" s="75" t="n"/>
      <c r="E42" s="75" t="n"/>
      <c r="F42" s="75" t="n"/>
      <c r="G42" s="75" t="n"/>
      <c r="H42" s="75" t="n"/>
      <c r="I42" s="75" t="n"/>
      <c r="J42" s="75" t="n"/>
      <c r="K42" s="75" t="n"/>
      <c r="L42" s="75" t="n"/>
      <c r="M42" s="75" t="n"/>
      <c r="N42" s="75" t="n"/>
      <c r="O42" s="75" t="n"/>
      <c r="P42" s="75" t="n"/>
      <c r="Q42" s="76" t="n"/>
    </row>
    <row r="43">
      <c r="A43" s="75" t="n"/>
      <c r="B43" s="75" t="n"/>
      <c r="C43" s="75" t="n"/>
      <c r="D43" s="75" t="n"/>
      <c r="E43" s="75" t="n"/>
      <c r="F43" s="75" t="n"/>
      <c r="G43" s="75" t="n"/>
      <c r="H43" s="75" t="n"/>
      <c r="I43" s="75" t="n"/>
      <c r="J43" s="75" t="n"/>
      <c r="K43" s="75" t="n"/>
      <c r="L43" s="75" t="n"/>
      <c r="M43" s="75" t="n"/>
      <c r="N43" s="75" t="n"/>
      <c r="O43" s="75" t="n"/>
      <c r="P43" s="75" t="n"/>
      <c r="Q43" s="76" t="n"/>
    </row>
    <row r="44">
      <c r="A44" s="75" t="n"/>
      <c r="B44" s="75" t="n"/>
      <c r="C44" s="75" t="n"/>
      <c r="D44" s="75" t="n"/>
      <c r="E44" s="75" t="n"/>
      <c r="F44" s="75" t="n"/>
      <c r="G44" s="75" t="n"/>
      <c r="H44" s="75" t="n"/>
      <c r="I44" s="75" t="n"/>
      <c r="J44" s="75" t="n"/>
      <c r="K44" s="75" t="n"/>
      <c r="L44" s="75" t="n"/>
      <c r="M44" s="75" t="n"/>
      <c r="N44" s="75" t="n"/>
      <c r="O44" s="75" t="n"/>
      <c r="P44" s="75" t="n"/>
      <c r="Q44" s="76" t="n"/>
    </row>
    <row r="45">
      <c r="A45" s="75" t="n"/>
      <c r="B45" s="75" t="n"/>
      <c r="C45" s="75" t="n"/>
      <c r="D45" s="75" t="n"/>
      <c r="E45" s="75" t="n"/>
      <c r="F45" s="75" t="n"/>
      <c r="G45" s="75" t="n"/>
      <c r="H45" s="75" t="n"/>
      <c r="I45" s="75" t="n"/>
      <c r="J45" s="75" t="n"/>
      <c r="K45" s="75" t="n"/>
      <c r="L45" s="75" t="n"/>
      <c r="M45" s="75" t="n"/>
      <c r="N45" s="75" t="n"/>
      <c r="O45" s="75" t="n"/>
      <c r="P45" s="75" t="n"/>
      <c r="Q45" s="76" t="n"/>
    </row>
  </sheetData>
  <autoFilter ref="A4:Q50"/>
  <mergeCells count="5">
    <mergeCell ref="A3:Q3"/>
    <mergeCell ref="T1:U1"/>
    <mergeCell ref="A2:Q2"/>
    <mergeCell ref="T3:U3"/>
    <mergeCell ref="A1:Q1"/>
  </mergeCells>
  <dataValidations count="2">
    <dataValidation sqref="C5:C6" showDropDown="0" showInputMessage="0" showErrorMessage="0" allowBlank="1" type="list">
      <formula1>='فهرست‌ها'!$B$9:$B$11</formula1>
    </dataValidation>
    <dataValidation sqref="L5:L6"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385723"/>
    <outlinePr summaryBelow="1" summaryRight="1"/>
    <pageSetUpPr fitToPage="1"/>
  </sheetPr>
  <dimension ref="A1:Q26"/>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82" t="inlineStr">
        <is>
          <t>تست‌های برنامه‌نویسی و هاست (جدا از ولیدیشن عملی برد)</t>
        </is>
      </c>
      <c r="B1" s="49" t="n"/>
      <c r="C1" s="49" t="n"/>
      <c r="D1" s="49" t="n"/>
      <c r="E1" s="49" t="n"/>
      <c r="F1" s="49" t="n"/>
      <c r="G1" s="49" t="n"/>
      <c r="H1" s="49" t="n"/>
      <c r="I1" s="49" t="n"/>
      <c r="J1" s="49" t="n"/>
      <c r="K1" s="49" t="n"/>
      <c r="L1" s="49" t="n"/>
      <c r="M1" s="49" t="n"/>
      <c r="N1" s="49" t="n"/>
      <c r="O1" s="49" t="n"/>
      <c r="P1" s="49" t="n"/>
      <c r="Q1" s="49" t="n"/>
    </row>
    <row r="2" ht="42" customHeight="1">
      <c r="A2" s="49" t="n"/>
      <c r="B2" s="57"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49" t="n"/>
      <c r="D2" s="49" t="n"/>
      <c r="E2" s="49" t="n"/>
      <c r="F2" s="49" t="n"/>
      <c r="G2" s="49" t="n"/>
      <c r="H2" s="49" t="n"/>
      <c r="I2" s="49" t="n"/>
      <c r="J2" s="49" t="n"/>
      <c r="K2" s="49" t="n"/>
      <c r="L2" s="49" t="n"/>
      <c r="M2" s="49" t="n"/>
      <c r="N2" s="49" t="n"/>
      <c r="O2" s="49" t="n"/>
      <c r="P2" s="49" t="n"/>
      <c r="Q2" s="49" t="n"/>
    </row>
    <row r="3">
      <c r="A3" s="49" t="n"/>
      <c r="B3" s="49" t="n"/>
      <c r="C3" s="49" t="n"/>
      <c r="D3" s="49" t="n"/>
      <c r="E3" s="49" t="n"/>
      <c r="F3" s="49" t="n"/>
      <c r="G3" s="49" t="n"/>
      <c r="H3" s="49" t="n"/>
      <c r="I3" s="49" t="n"/>
      <c r="J3" s="49" t="n"/>
      <c r="K3" s="49" t="n"/>
      <c r="L3" s="49" t="n"/>
      <c r="M3" s="49" t="n"/>
      <c r="N3" s="49" t="n"/>
      <c r="O3" s="49" t="n"/>
      <c r="P3" s="49" t="n"/>
      <c r="Q3" s="49" t="n"/>
    </row>
    <row r="4" ht="30" customHeight="1">
      <c r="A4" s="78" t="inlineStr">
        <is>
          <t>شناسه</t>
        </is>
      </c>
      <c r="B4" s="78" t="inlineStr">
        <is>
          <t>دسته</t>
        </is>
      </c>
      <c r="C4" s="78" t="inlineStr">
        <is>
          <t>اولویت</t>
        </is>
      </c>
      <c r="D4" s="78" t="inlineStr">
        <is>
          <t>پیش‌شرط</t>
        </is>
      </c>
      <c r="E4" s="78" t="inlineStr">
        <is>
          <t>روش اجرای دقیق</t>
        </is>
      </c>
      <c r="F4" s="78" t="inlineStr">
        <is>
          <t>ورودی‌ها / شرایط</t>
        </is>
      </c>
      <c r="G4" s="78" t="inlineStr">
        <is>
          <t>مدت مشاهده</t>
        </is>
      </c>
      <c r="H4" s="78" t="inlineStr">
        <is>
          <t>رفتار مورد انتظار</t>
        </is>
      </c>
      <c r="I4" s="78" t="inlineStr">
        <is>
          <t>می‌ماند یا پاک می‌شود</t>
        </is>
      </c>
      <c r="J4" s="78" t="inlineStr">
        <is>
          <t>معیار قبولی</t>
        </is>
      </c>
      <c r="K4" s="78" t="inlineStr">
        <is>
          <t>نتیجهٔ واقعی / اندازه‌گیری</t>
        </is>
      </c>
      <c r="L4" s="78" t="inlineStr">
        <is>
          <t>وضعیت</t>
        </is>
      </c>
      <c r="M4" s="78" t="inlineStr">
        <is>
          <t>شرح ایراد / تفاوت</t>
        </is>
      </c>
      <c r="N4" s="78" t="inlineStr">
        <is>
          <t>مدرک تست</t>
        </is>
      </c>
      <c r="O4" s="78" t="inlineStr">
        <is>
          <t>نسخهٔ برنامه</t>
        </is>
      </c>
      <c r="P4" s="78" t="inlineStr">
        <is>
          <t>نام تست‌کننده</t>
        </is>
      </c>
      <c r="Q4" s="78" t="inlineStr">
        <is>
          <t>تاریخ</t>
        </is>
      </c>
    </row>
    <row r="5" ht="54" customHeight="1">
      <c r="A5" s="50" t="inlineStr">
        <is>
          <t>JT-001</t>
        </is>
      </c>
      <c r="B5" s="51" t="inlineStr">
        <is>
          <t>نگاشت EXTI</t>
        </is>
      </c>
      <c r="C5" s="73" t="inlineStr">
        <is>
          <t>بالا</t>
        </is>
      </c>
      <c r="D5" s="51" t="inlineStr">
        <is>
          <t>برد خاموش</t>
        </is>
      </c>
      <c r="E5" s="83" t="inlineStr">
        <is>
          <t>گام ۱: شماتیک برد و فایل board_pins.h را کنار کد بگذار.
گام ۲: این نگاشت‌ها را یکی‌یکی چک کن: PB2 = JITTER1 و PB6 = JITTER2.
گام ۳: قطبیت را هم چک کن: هر دو باید لبهٔ پایین‌رونده (falling) و active-low باشند.
گام ۴: قبولی فقط با تطابق کامل هر دو پایه است.</t>
        </is>
      </c>
      <c r="F5" s="52" t="inlineStr">
        <is>
          <t>PB2=JITTER1، PB6=JITTER2</t>
        </is>
      </c>
      <c r="G5" s="52" t="inlineStr">
        <is>
          <t>—</t>
        </is>
      </c>
      <c r="H5" s="51" t="inlineStr">
        <is>
          <t>نگاشت درست؛ falling edge؛ active-low</t>
        </is>
      </c>
      <c r="I5" s="51" t="inlineStr">
        <is>
          <t>ثابت</t>
        </is>
      </c>
      <c r="J5" s="51" t="inlineStr">
        <is>
          <t>PASS: تطابق</t>
        </is>
      </c>
      <c r="K5" s="58" t="n"/>
      <c r="L5" s="62" t="inlineStr">
        <is>
          <t>در انتظار</t>
        </is>
      </c>
      <c r="M5" s="58" t="n"/>
      <c r="N5" s="58" t="n"/>
      <c r="O5" s="52" t="inlineStr">
        <is>
          <t>(بعد از تست پر شود)</t>
        </is>
      </c>
      <c r="P5" s="61" t="n"/>
      <c r="Q5" s="54" t="inlineStr">
        <is>
          <t>2026-09-23</t>
        </is>
      </c>
    </row>
    <row r="6" ht="40.5" customHeight="1">
      <c r="A6" s="50" t="inlineStr">
        <is>
          <t>JT-003</t>
        </is>
      </c>
      <c r="B6" s="79" t="inlineStr">
        <is>
          <t>اتمیک TakeEvent</t>
        </is>
      </c>
      <c r="C6" s="84" t="inlineStr">
        <is>
          <t>بالا</t>
        </is>
      </c>
      <c r="D6" s="79" t="inlineStr">
        <is>
          <t>شارژ فعال</t>
        </is>
      </c>
      <c r="E6" s="79" t="inlineStr">
        <is>
          <t>گام ۱: شارژ فعال باشد.
گام ۲: دقیقاً حین پردازش تسک کنترل، یک رویداد JIT تزریق کن (هم‌زمان با پاس تسک).
گام ۳: ببین تریپ در همان پاس ثبت شده باشد؛ بخش بحرانی با PRIMASK نباید هیچ رویدادی را گم کند.</t>
        </is>
      </c>
      <c r="F6" s="80" t="inlineStr">
        <is>
          <t>رویداد هم‌زمان</t>
        </is>
      </c>
      <c r="G6" s="80" t="inlineStr">
        <is>
          <t>—</t>
        </is>
      </c>
      <c r="H6" s="79" t="inlineStr">
        <is>
          <t>هیچ رویدادی گم نمی‌شود (بخش بحرانی PRIMASK)</t>
        </is>
      </c>
      <c r="I6" s="79" t="inlineStr">
        <is>
          <t>—</t>
        </is>
      </c>
      <c r="J6" s="79" t="inlineStr">
        <is>
          <t>تریپ در همان پاس ثبت</t>
        </is>
      </c>
      <c r="K6" s="58" t="n"/>
      <c r="L6" s="62" t="inlineStr">
        <is>
          <t>در انتظار</t>
        </is>
      </c>
      <c r="M6" s="58" t="n"/>
      <c r="N6" s="58" t="n"/>
      <c r="O6" s="80" t="inlineStr">
        <is>
          <t>(بعد از تست پر شود)</t>
        </is>
      </c>
      <c r="P6" s="61" t="n"/>
      <c r="Q6" s="81" t="inlineStr">
        <is>
          <t>2026-09-23</t>
        </is>
      </c>
    </row>
    <row r="7">
      <c r="A7" s="49" t="n"/>
      <c r="B7" s="49" t="n"/>
      <c r="C7" s="49" t="n"/>
      <c r="D7" s="49" t="n"/>
      <c r="E7" s="49" t="n"/>
      <c r="F7" s="49" t="n"/>
      <c r="G7" s="49" t="n"/>
      <c r="H7" s="49" t="n"/>
      <c r="I7" s="49" t="n"/>
      <c r="J7" s="49" t="n"/>
      <c r="K7" s="49" t="n"/>
      <c r="L7" s="49" t="n"/>
      <c r="M7" s="49" t="n"/>
      <c r="N7" s="49" t="n"/>
      <c r="O7" s="49" t="n"/>
      <c r="P7" s="49" t="n"/>
      <c r="Q7" s="55">
        <f>IF(OR(L7="",L7="در انتظار"),"",IF(Q7="",TODAY(),Q7))</f>
        <v/>
      </c>
    </row>
    <row r="8">
      <c r="A8" s="49" t="n"/>
      <c r="B8" s="49" t="n"/>
      <c r="C8" s="49" t="n"/>
      <c r="D8" s="49" t="n"/>
      <c r="E8" s="49" t="n"/>
      <c r="F8" s="49" t="n"/>
      <c r="G8" s="49" t="n"/>
      <c r="H8" s="49" t="n"/>
      <c r="I8" s="49" t="n"/>
      <c r="J8" s="49" t="n"/>
      <c r="K8" s="49" t="n"/>
      <c r="L8" s="49" t="n"/>
      <c r="M8" s="49" t="n"/>
      <c r="N8" s="49" t="n"/>
      <c r="O8" s="49" t="n"/>
      <c r="P8" s="49" t="n"/>
      <c r="Q8" s="55">
        <f>IF(OR(L8="",L8="در انتظار"),"",IF(Q8="",TODAY(),Q8))</f>
        <v/>
      </c>
    </row>
    <row r="9">
      <c r="A9" s="49" t="n"/>
      <c r="B9" s="49" t="n"/>
      <c r="C9" s="49" t="n"/>
      <c r="D9" s="49" t="n"/>
      <c r="E9" s="49" t="n"/>
      <c r="F9" s="49" t="n"/>
      <c r="G9" s="49" t="n"/>
      <c r="H9" s="49" t="n"/>
      <c r="I9" s="49" t="n"/>
      <c r="J9" s="49" t="n"/>
      <c r="K9" s="49" t="n"/>
      <c r="L9" s="49" t="n"/>
      <c r="M9" s="49" t="n"/>
      <c r="N9" s="49" t="n"/>
      <c r="O9" s="49" t="n"/>
      <c r="P9" s="49" t="n"/>
      <c r="Q9" s="55">
        <f>IF(OR(L9="",L9="در انتظار"),"",IF(Q9="",TODAY(),Q9))</f>
        <v/>
      </c>
    </row>
    <row r="10">
      <c r="A10" s="49" t="n"/>
      <c r="B10" s="49" t="n"/>
      <c r="C10" s="49" t="n"/>
      <c r="D10" s="49" t="n"/>
      <c r="E10" s="49" t="n"/>
      <c r="F10" s="49" t="n"/>
      <c r="G10" s="49" t="n"/>
      <c r="H10" s="49" t="n"/>
      <c r="I10" s="49" t="n"/>
      <c r="J10" s="49" t="n"/>
      <c r="K10" s="49" t="n"/>
      <c r="L10" s="49" t="n"/>
      <c r="M10" s="49" t="n"/>
      <c r="N10" s="49" t="n"/>
      <c r="O10" s="49" t="n"/>
      <c r="P10" s="49" t="n"/>
      <c r="Q10" s="55">
        <f>IF(OR(L10="",L10="در انتظار"),"",IF(Q10="",TODAY(),Q10))</f>
        <v/>
      </c>
    </row>
    <row r="11">
      <c r="A11" s="49" t="n"/>
      <c r="B11" s="49" t="n"/>
      <c r="C11" s="49" t="n"/>
      <c r="D11" s="49" t="n"/>
      <c r="E11" s="49" t="n"/>
      <c r="F11" s="49" t="n"/>
      <c r="G11" s="49" t="n"/>
      <c r="H11" s="49" t="n"/>
      <c r="I11" s="49" t="n"/>
      <c r="J11" s="49" t="n"/>
      <c r="K11" s="49" t="n"/>
      <c r="L11" s="49" t="n"/>
      <c r="M11" s="49" t="n"/>
      <c r="N11" s="49" t="n"/>
      <c r="O11" s="49" t="n"/>
      <c r="P11" s="49" t="n"/>
      <c r="Q11" s="55">
        <f>IF(OR(L11="",L11="در انتظار"),"",IF(Q11="",TODAY(),Q11))</f>
        <v/>
      </c>
    </row>
    <row r="12">
      <c r="A12" s="49" t="n"/>
      <c r="B12" s="49" t="n"/>
      <c r="C12" s="49" t="n"/>
      <c r="D12" s="49" t="n"/>
      <c r="E12" s="49" t="n"/>
      <c r="F12" s="49" t="n"/>
      <c r="G12" s="49" t="n"/>
      <c r="H12" s="49" t="n"/>
      <c r="I12" s="49" t="n"/>
      <c r="J12" s="49" t="n"/>
      <c r="K12" s="49" t="n"/>
      <c r="L12" s="49" t="n"/>
      <c r="M12" s="49" t="n"/>
      <c r="N12" s="49" t="n"/>
      <c r="O12" s="49" t="n"/>
      <c r="P12" s="49" t="n"/>
      <c r="Q12" s="55">
        <f>IF(OR(L12="",L12="در انتظار"),"",IF(Q12="",TODAY(),Q12))</f>
        <v/>
      </c>
    </row>
    <row r="13">
      <c r="A13" s="49" t="n"/>
      <c r="B13" s="49" t="n"/>
      <c r="C13" s="49" t="n"/>
      <c r="D13" s="49" t="n"/>
      <c r="E13" s="49" t="n"/>
      <c r="F13" s="49" t="n"/>
      <c r="G13" s="49" t="n"/>
      <c r="H13" s="49" t="n"/>
      <c r="I13" s="49" t="n"/>
      <c r="J13" s="49" t="n"/>
      <c r="K13" s="49" t="n"/>
      <c r="L13" s="49" t="n"/>
      <c r="M13" s="49" t="n"/>
      <c r="N13" s="49" t="n"/>
      <c r="O13" s="49" t="n"/>
      <c r="P13" s="49" t="n"/>
      <c r="Q13" s="55">
        <f>IF(OR(L13="",L13="در انتظار"),"",IF(Q13="",TODAY(),Q13))</f>
        <v/>
      </c>
    </row>
    <row r="14">
      <c r="A14" s="49" t="n"/>
      <c r="B14" s="49" t="n"/>
      <c r="C14" s="49" t="n"/>
      <c r="D14" s="49" t="n"/>
      <c r="E14" s="49" t="n"/>
      <c r="F14" s="49" t="n"/>
      <c r="G14" s="49" t="n"/>
      <c r="H14" s="49" t="n"/>
      <c r="I14" s="49" t="n"/>
      <c r="J14" s="49" t="n"/>
      <c r="K14" s="49" t="n"/>
      <c r="L14" s="49" t="n"/>
      <c r="M14" s="49" t="n"/>
      <c r="N14" s="49" t="n"/>
      <c r="O14" s="49" t="n"/>
      <c r="P14" s="49" t="n"/>
      <c r="Q14" s="55">
        <f>IF(OR(L14="",L14="در انتظار"),"",IF(Q14="",TODAY(),Q14))</f>
        <v/>
      </c>
    </row>
    <row r="15">
      <c r="A15" s="49" t="n"/>
      <c r="B15" s="49" t="n"/>
      <c r="C15" s="49" t="n"/>
      <c r="D15" s="49" t="n"/>
      <c r="E15" s="49" t="n"/>
      <c r="F15" s="49" t="n"/>
      <c r="G15" s="49" t="n"/>
      <c r="H15" s="49" t="n"/>
      <c r="I15" s="49" t="n"/>
      <c r="J15" s="49" t="n"/>
      <c r="K15" s="49" t="n"/>
      <c r="L15" s="49" t="n"/>
      <c r="M15" s="49" t="n"/>
      <c r="N15" s="49" t="n"/>
      <c r="O15" s="49" t="n"/>
      <c r="P15" s="49" t="n"/>
      <c r="Q15" s="55">
        <f>IF(OR(L15="",L15="در انتظار"),"",IF(Q15="",TODAY(),Q15))</f>
        <v/>
      </c>
    </row>
    <row r="16">
      <c r="A16" s="49" t="n"/>
      <c r="B16" s="49" t="n"/>
      <c r="C16" s="49" t="n"/>
      <c r="D16" s="49" t="n"/>
      <c r="E16" s="49" t="n"/>
      <c r="F16" s="49" t="n"/>
      <c r="G16" s="49" t="n"/>
      <c r="H16" s="49" t="n"/>
      <c r="I16" s="49" t="n"/>
      <c r="J16" s="49" t="n"/>
      <c r="K16" s="49" t="n"/>
      <c r="L16" s="49" t="n"/>
      <c r="M16" s="49" t="n"/>
      <c r="N16" s="49" t="n"/>
      <c r="O16" s="49" t="n"/>
      <c r="P16" s="49" t="n"/>
      <c r="Q16" s="55">
        <f>IF(OR(L16="",L16="در انتظار"),"",IF(Q16="",TODAY(),Q16))</f>
        <v/>
      </c>
    </row>
    <row r="17">
      <c r="A17" s="49" t="n"/>
      <c r="B17" s="49" t="n"/>
      <c r="C17" s="49" t="n"/>
      <c r="D17" s="49" t="n"/>
      <c r="E17" s="49" t="n"/>
      <c r="F17" s="49" t="n"/>
      <c r="G17" s="49" t="n"/>
      <c r="H17" s="49" t="n"/>
      <c r="I17" s="49" t="n"/>
      <c r="J17" s="49" t="n"/>
      <c r="K17" s="49" t="n"/>
      <c r="L17" s="49" t="n"/>
      <c r="M17" s="49" t="n"/>
      <c r="N17" s="49" t="n"/>
      <c r="O17" s="49" t="n"/>
      <c r="P17" s="49" t="n"/>
      <c r="Q17" s="55">
        <f>IF(OR(L17="",L17="در انتظار"),"",IF(Q17="",TODAY(),Q17))</f>
        <v/>
      </c>
    </row>
    <row r="18">
      <c r="A18" s="49" t="n"/>
      <c r="B18" s="49" t="n"/>
      <c r="C18" s="49" t="n"/>
      <c r="D18" s="49" t="n"/>
      <c r="E18" s="49" t="n"/>
      <c r="F18" s="49" t="n"/>
      <c r="G18" s="49" t="n"/>
      <c r="H18" s="49" t="n"/>
      <c r="I18" s="49" t="n"/>
      <c r="J18" s="49" t="n"/>
      <c r="K18" s="49" t="n"/>
      <c r="L18" s="49" t="n"/>
      <c r="M18" s="49" t="n"/>
      <c r="N18" s="49" t="n"/>
      <c r="O18" s="49" t="n"/>
      <c r="P18" s="49" t="n"/>
      <c r="Q18" s="55">
        <f>IF(OR(L18="",L18="در انتظار"),"",IF(Q18="",TODAY(),Q18))</f>
        <v/>
      </c>
    </row>
    <row r="19">
      <c r="A19" s="49" t="n"/>
      <c r="B19" s="49" t="n"/>
      <c r="C19" s="49" t="n"/>
      <c r="D19" s="49" t="n"/>
      <c r="E19" s="49" t="n"/>
      <c r="F19" s="49" t="n"/>
      <c r="G19" s="49" t="n"/>
      <c r="H19" s="49" t="n"/>
      <c r="I19" s="49" t="n"/>
      <c r="J19" s="49" t="n"/>
      <c r="K19" s="49" t="n"/>
      <c r="L19" s="49" t="n"/>
      <c r="M19" s="49" t="n"/>
      <c r="N19" s="49" t="n"/>
      <c r="O19" s="49" t="n"/>
      <c r="P19" s="49" t="n"/>
      <c r="Q19" s="55">
        <f>IF(OR(L19="",L19="در انتظار"),"",IF(Q19="",TODAY(),Q19))</f>
        <v/>
      </c>
    </row>
    <row r="20">
      <c r="A20" s="49" t="n"/>
      <c r="B20" s="49" t="n"/>
      <c r="C20" s="49" t="n"/>
      <c r="D20" s="49" t="n"/>
      <c r="E20" s="49" t="n"/>
      <c r="F20" s="49" t="n"/>
      <c r="G20" s="49" t="n"/>
      <c r="H20" s="49" t="n"/>
      <c r="I20" s="49" t="n"/>
      <c r="J20" s="49" t="n"/>
      <c r="K20" s="49" t="n"/>
      <c r="L20" s="49" t="n"/>
      <c r="M20" s="49" t="n"/>
      <c r="N20" s="49" t="n"/>
      <c r="O20" s="49" t="n"/>
      <c r="P20" s="49" t="n"/>
      <c r="Q20" s="55">
        <f>IF(OR(L20="",L20="در انتظار"),"",IF(Q20="",TODAY(),Q20))</f>
        <v/>
      </c>
    </row>
    <row r="21">
      <c r="A21" s="49" t="n"/>
      <c r="B21" s="49" t="n"/>
      <c r="C21" s="49" t="n"/>
      <c r="D21" s="49" t="n"/>
      <c r="E21" s="49" t="n"/>
      <c r="F21" s="49" t="n"/>
      <c r="G21" s="49" t="n"/>
      <c r="H21" s="49" t="n"/>
      <c r="I21" s="49" t="n"/>
      <c r="J21" s="49" t="n"/>
      <c r="K21" s="49" t="n"/>
      <c r="L21" s="49" t="n"/>
      <c r="M21" s="49" t="n"/>
      <c r="N21" s="49" t="n"/>
      <c r="O21" s="49" t="n"/>
      <c r="P21" s="49" t="n"/>
      <c r="Q21" s="55">
        <f>IF(OR(L21="",L21="در انتظار"),"",IF(Q21="",TODAY(),Q21))</f>
        <v/>
      </c>
    </row>
    <row r="22">
      <c r="A22" s="49" t="n"/>
      <c r="B22" s="49" t="n"/>
      <c r="C22" s="49" t="n"/>
      <c r="D22" s="49" t="n"/>
      <c r="E22" s="49" t="n"/>
      <c r="F22" s="49" t="n"/>
      <c r="G22" s="49" t="n"/>
      <c r="H22" s="49" t="n"/>
      <c r="I22" s="49" t="n"/>
      <c r="J22" s="49" t="n"/>
      <c r="K22" s="49" t="n"/>
      <c r="L22" s="49" t="n"/>
      <c r="M22" s="49" t="n"/>
      <c r="N22" s="49" t="n"/>
      <c r="O22" s="49" t="n"/>
      <c r="P22" s="49" t="n"/>
      <c r="Q22" s="55">
        <f>IF(OR(L22="",L22="در انتظار"),"",IF(Q22="",TODAY(),Q22))</f>
        <v/>
      </c>
    </row>
    <row r="23">
      <c r="A23" s="49" t="n"/>
      <c r="B23" s="49" t="n"/>
      <c r="C23" s="49" t="n"/>
      <c r="D23" s="49" t="n"/>
      <c r="E23" s="49" t="n"/>
      <c r="F23" s="49" t="n"/>
      <c r="G23" s="49" t="n"/>
      <c r="H23" s="49" t="n"/>
      <c r="I23" s="49" t="n"/>
      <c r="J23" s="49" t="n"/>
      <c r="K23" s="49" t="n"/>
      <c r="L23" s="49" t="n"/>
      <c r="M23" s="49" t="n"/>
      <c r="N23" s="49" t="n"/>
      <c r="O23" s="49" t="n"/>
      <c r="P23" s="49" t="n"/>
      <c r="Q23" s="55">
        <f>IF(OR(L23="",L23="در انتظار"),"",IF(Q23="",TODAY(),Q23))</f>
        <v/>
      </c>
    </row>
    <row r="24">
      <c r="A24" s="49" t="n"/>
      <c r="B24" s="49" t="n"/>
      <c r="C24" s="49" t="n"/>
      <c r="D24" s="49" t="n"/>
      <c r="E24" s="49" t="n"/>
      <c r="F24" s="49" t="n"/>
      <c r="G24" s="49" t="n"/>
      <c r="H24" s="49" t="n"/>
      <c r="I24" s="49" t="n"/>
      <c r="J24" s="49" t="n"/>
      <c r="K24" s="49" t="n"/>
      <c r="L24" s="49" t="n"/>
      <c r="M24" s="49" t="n"/>
      <c r="N24" s="49" t="n"/>
      <c r="O24" s="49" t="n"/>
      <c r="P24" s="49" t="n"/>
      <c r="Q24" s="55">
        <f>IF(OR(L24="",L24="در انتظار"),"",IF(Q24="",TODAY(),Q24))</f>
        <v/>
      </c>
    </row>
    <row r="25">
      <c r="A25" s="49" t="n"/>
      <c r="B25" s="49" t="n"/>
      <c r="C25" s="49" t="n"/>
      <c r="D25" s="49" t="n"/>
      <c r="E25" s="49" t="n"/>
      <c r="F25" s="49" t="n"/>
      <c r="G25" s="49" t="n"/>
      <c r="H25" s="49" t="n"/>
      <c r="I25" s="49" t="n"/>
      <c r="J25" s="49" t="n"/>
      <c r="K25" s="49" t="n"/>
      <c r="L25" s="49" t="n"/>
      <c r="M25" s="49" t="n"/>
      <c r="N25" s="49" t="n"/>
      <c r="O25" s="49" t="n"/>
      <c r="P25" s="49" t="n"/>
      <c r="Q25" s="55">
        <f>IF(OR(L25="",L25="در انتظار"),"",IF(Q25="",TODAY(),Q25))</f>
        <v/>
      </c>
    </row>
    <row r="26">
      <c r="A26" s="49" t="n"/>
      <c r="B26" s="49" t="n"/>
      <c r="C26" s="49" t="n"/>
      <c r="D26" s="49" t="n"/>
      <c r="E26" s="49" t="n"/>
      <c r="F26" s="49" t="n"/>
      <c r="G26" s="49" t="n"/>
      <c r="H26" s="49" t="n"/>
      <c r="I26" s="49" t="n"/>
      <c r="J26" s="49" t="n"/>
      <c r="K26" s="49" t="n"/>
      <c r="L26" s="49" t="n"/>
      <c r="M26" s="49" t="n"/>
      <c r="N26" s="49" t="n"/>
      <c r="O26" s="49" t="n"/>
      <c r="P26" s="49" t="n"/>
      <c r="Q26" s="55">
        <f>IF(OR(L26="",L26="در انتظار"),"",IF(Q26="",TODAY(),Q26))</f>
        <v/>
      </c>
    </row>
  </sheetData>
  <autoFilter ref="A4:Q6"/>
  <dataValidations count="1">
    <dataValidation sqref="L5 L6 L7 L8 L9 L10 L11 L12 L13 L14 L15 L16 L17 L18 L19 L20 L21 L22 L23 L24 L25 L26"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BF8F00"/>
    <outlinePr summaryBelow="1" summaryRight="1"/>
    <pageSetUpPr/>
  </sheetPr>
  <dimension ref="A1:E7"/>
  <sheetViews>
    <sheetView rightToLeft="1"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30" customHeight="1">
      <c r="A1" s="85" t="inlineStr">
        <is>
          <t>مرجع سریع سناریوها و ثابت‌های ماژول Jitter</t>
        </is>
      </c>
      <c r="B1" s="38" t="n"/>
      <c r="C1" s="38" t="n"/>
      <c r="D1" s="38" t="n"/>
      <c r="E1" s="39" t="n"/>
    </row>
    <row r="2">
      <c r="A2" s="49" t="n"/>
      <c r="B2" s="49" t="n"/>
      <c r="C2" s="49" t="n"/>
      <c r="D2" s="49" t="n"/>
      <c r="E2" s="49" t="n"/>
    </row>
    <row r="3">
      <c r="A3" s="66" t="inlineStr">
        <is>
          <t>موضوع</t>
        </is>
      </c>
      <c r="B3" s="66" t="inlineStr">
        <is>
          <t>شرط / مقدار</t>
        </is>
      </c>
      <c r="C3" s="66" t="inlineStr">
        <is>
          <t>رفتار مورد انتظار</t>
        </is>
      </c>
      <c r="D3" s="66" t="inlineStr">
        <is>
          <t>ثابت / محل کد</t>
        </is>
      </c>
      <c r="E3" s="66" t="inlineStr">
        <is>
          <t>توضیح</t>
        </is>
      </c>
    </row>
    <row r="4">
      <c r="A4" s="67" t="inlineStr">
        <is>
          <t>نگاشت</t>
        </is>
      </c>
      <c r="B4" s="67" t="inlineStr">
        <is>
          <t>PB2/PB6 falling، active-low</t>
        </is>
      </c>
      <c r="C4" s="67" t="inlineStr">
        <is>
          <t>رویداد منطقی JITTER1/2</t>
        </is>
      </c>
      <c r="D4" s="68" t="inlineStr">
        <is>
          <t>bsp_exti + board_pins.h</t>
        </is>
      </c>
      <c r="E4" s="67" t="inlineStr">
        <is>
          <t>LM393 open-collector</t>
        </is>
      </c>
    </row>
    <row r="5">
      <c r="A5" s="67" t="inlineStr">
        <is>
          <t>صف احیا</t>
        </is>
      </c>
      <c r="B5" s="67" t="inlineStr">
        <is>
          <t>تک‌تک، اولین‌تریپ‌اولین‌احیا</t>
        </is>
      </c>
      <c r="C5" s="67" t="inlineStr">
        <is>
          <t>بدون پامپ همزمان دو کانال</t>
        </is>
      </c>
      <c r="D5" s="68" t="inlineStr">
        <is>
          <t>charger.c ServiceRetry</t>
        </is>
      </c>
      <c r="E5" s="67" t="inlineStr">
        <is>
          <t>در مود دستی غیرفعال</t>
        </is>
      </c>
    </row>
    <row r="6">
      <c r="A6" s="67" t="inlineStr">
        <is>
          <t>اتمیک بودن</t>
        </is>
      </c>
      <c r="B6" s="67" t="inlineStr">
        <is>
          <t>PRIMASK در TakeEvent</t>
        </is>
      </c>
      <c r="C6" s="67" t="inlineStr">
        <is>
          <t>بدون گم‌شدن رویداد</t>
        </is>
      </c>
      <c r="D6" s="68" t="inlineStr">
        <is>
          <t>bsp_exti.c (2026-09-22)</t>
        </is>
      </c>
      <c r="E6" s="67" t="inlineStr">
        <is>
          <t>—</t>
        </is>
      </c>
    </row>
    <row r="7">
      <c r="A7" s="67" t="inlineStr">
        <is>
          <t>مود دستی</t>
        </is>
      </c>
      <c r="B7" s="67" t="inlineStr">
        <is>
          <t>بدون ریتری، شمارش جمع</t>
        </is>
      </c>
      <c r="C7" s="67" t="inlineStr">
        <is>
          <t>سومین تریپ FINAL</t>
        </is>
      </c>
      <c r="D7" s="68" t="inlineStr">
        <is>
          <t>charger.c HandleJitTrip شاخهٔ manual</t>
        </is>
      </c>
      <c r="E7" s="67" t="inlineStr">
        <is>
          <t>v1.2</t>
        </is>
      </c>
    </row>
  </sheetData>
  <mergeCells count="1">
    <mergeCell ref="A1:E1"/>
  </mergeCell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s>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1:M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77" t="inlineStr">
        <is>
          <t>ثبت ایرادهای مشاهده‌شده — ماژول Jitter</t>
        </is>
      </c>
    </row>
    <row r="2" ht="30" customHeight="1">
      <c r="A2" s="78" t="inlineStr">
        <is>
          <t>برای هر وضعیت «رد» یا تفاوت مهم، یک ردیف با شناسهٔ یکتا ثبت و پس از اصلاح دوباره تست شود.</t>
        </is>
      </c>
      <c r="B2" s="38" t="n"/>
      <c r="C2" s="38" t="n"/>
      <c r="D2" s="38" t="n"/>
      <c r="E2" s="38" t="n"/>
      <c r="F2" s="38" t="n"/>
      <c r="G2" s="38" t="n"/>
      <c r="H2" s="38" t="n"/>
      <c r="I2" s="38" t="n"/>
      <c r="J2" s="38" t="n"/>
      <c r="K2" s="38" t="n"/>
      <c r="L2" s="38" t="n"/>
      <c r="M2" s="39" t="n"/>
    </row>
    <row r="3">
      <c r="A3" s="66" t="inlineStr">
        <is>
          <t>شماره ایراد</t>
        </is>
      </c>
      <c r="B3" s="66" t="inlineStr">
        <is>
          <t>شناسه تست</t>
        </is>
      </c>
      <c r="C3" s="66" t="inlineStr">
        <is>
          <t>تاریخ کشف</t>
        </is>
      </c>
      <c r="D3" s="66" t="inlineStr">
        <is>
          <t>شدت</t>
        </is>
      </c>
      <c r="E3" s="66" t="inlineStr">
        <is>
          <t>شرح کوتاه ایراد</t>
        </is>
      </c>
      <c r="F3" s="66" t="inlineStr">
        <is>
          <t>مراحل بازتولید</t>
        </is>
      </c>
      <c r="G3" s="66" t="inlineStr">
        <is>
          <t>انتظار</t>
        </is>
      </c>
      <c r="H3" s="66" t="inlineStr">
        <is>
          <t>واقعیت</t>
        </is>
      </c>
      <c r="I3" s="66" t="inlineStr">
        <is>
          <t>مدرک/مسیر عکس یا scope</t>
        </is>
      </c>
      <c r="J3" s="66" t="inlineStr">
        <is>
          <t>نسخهٔ برنامه</t>
        </is>
      </c>
      <c r="K3" s="66" t="inlineStr">
        <is>
          <t>محل احتمالی</t>
        </is>
      </c>
      <c r="L3" s="66" t="inlineStr">
        <is>
          <t>وضعیت ایراد</t>
        </is>
      </c>
      <c r="M3" s="66" t="inlineStr">
        <is>
          <t>تأیید رفع / توضیحات</t>
        </is>
      </c>
    </row>
  </sheetData>
  <mergeCells count="2">
    <mergeCell ref="A2:M2"/>
    <mergeCell ref="A1:M1"/>
  </mergeCells>
  <pageMargins left="0.75" right="0.75" top="1" bottom="1" header="0.5" footer="0.5"/>
</worksheet>
</file>

<file path=xl/worksheets/sheet6.xml><?xml version="1.0" encoding="utf-8"?>
<worksheet xmlns="http://schemas.openxmlformats.org/spreadsheetml/2006/main">
  <sheetPr>
    <tabColor rgb="00548235"/>
    <outlinePr summaryBelow="1" summaryRight="1"/>
    <pageSetUpPr/>
  </sheetPr>
  <dimension ref="A1:C19"/>
  <sheetViews>
    <sheetView rightToLeft="1" workbookViewId="0">
      <selection activeCell="A1" sqref="A1"/>
    </sheetView>
  </sheetViews>
  <sheetFormatPr baseColWidth="8" defaultRowHeight="15"/>
  <cols>
    <col width="20" customWidth="1" min="1" max="1"/>
    <col width="26" customWidth="1" min="2" max="2"/>
    <col width="30" customWidth="1" min="3" max="3"/>
  </cols>
  <sheetData>
    <row r="1">
      <c r="A1" s="77" t="inlineStr">
        <is>
          <t>تأیید نهایی اعتبارسنجی — ماژول Jitter</t>
        </is>
      </c>
    </row>
    <row r="2">
      <c r="A2" s="46" t="inlineStr">
        <is>
          <t>این صفحه فقط پس از تکمیل تست‌ها و بسته‌شدن ایرادها پر می‌شود.</t>
        </is>
      </c>
    </row>
    <row r="3">
      <c r="A3" s="46" t="inlineStr">
        <is>
          <t>مشخصات تست</t>
        </is>
      </c>
    </row>
    <row r="4">
      <c r="A4" s="46" t="inlineStr">
        <is>
          <t>پروژه</t>
        </is>
      </c>
      <c r="B4" s="46" t="inlineStr">
        <is>
          <t>ChangeOver</t>
        </is>
      </c>
      <c r="C4" s="49" t="n"/>
    </row>
    <row r="5">
      <c r="A5" s="46" t="inlineStr">
        <is>
          <t>ماژول</t>
        </is>
      </c>
      <c r="B5" s="46" t="inlineStr">
        <is>
          <t>Jitter — رویدادهای LM393 و صف احیا</t>
        </is>
      </c>
      <c r="C5" s="49" t="n"/>
    </row>
    <row r="6">
      <c r="A6" s="46" t="inlineStr">
        <is>
          <t>تاریخ ساخت فرم</t>
        </is>
      </c>
      <c r="B6" s="46" t="inlineStr">
        <is>
          <t>2026-09-23 (1.0)</t>
        </is>
      </c>
      <c r="C6" s="49" t="n"/>
    </row>
    <row r="7">
      <c r="A7" s="46" t="inlineStr">
        <is>
          <t>نسخه فرم</t>
        </is>
      </c>
      <c r="B7" s="46" t="inlineStr">
        <is>
          <t>1.0</t>
        </is>
      </c>
      <c r="C7" s="49" t="n"/>
    </row>
    <row r="8">
      <c r="A8" s="46" t="inlineStr">
        <is>
          <t>نسخهٔ برنامه</t>
        </is>
      </c>
      <c r="B8" s="46" t="inlineStr">
        <is>
          <t>(بعد از تست پر شود)</t>
        </is>
      </c>
      <c r="C8" s="49" t="n"/>
    </row>
    <row r="9">
      <c r="A9" s="46" t="inlineStr">
        <is>
          <t>ابزار</t>
        </is>
      </c>
      <c r="B9" s="46" t="inlineStr">
        <is>
          <t>اسکوپ + تزریق جریان + پنل ESP</t>
        </is>
      </c>
      <c r="C9" s="49" t="n"/>
    </row>
    <row r="10">
      <c r="A10" s="49" t="n"/>
      <c r="B10" s="49" t="n"/>
      <c r="C10" s="49" t="n"/>
    </row>
    <row r="11">
      <c r="A11" s="69" t="inlineStr">
        <is>
          <t>خلاصهٔ خودکار وضعیت تست‌ها</t>
        </is>
      </c>
      <c r="B11" s="49" t="n"/>
      <c r="C11" s="49" t="n"/>
    </row>
    <row r="12">
      <c r="A12" s="66" t="inlineStr">
        <is>
          <t>شاخص</t>
        </is>
      </c>
      <c r="B12" s="66" t="inlineStr">
        <is>
          <t>مقدار</t>
        </is>
      </c>
      <c r="C12" s="66" t="inlineStr">
        <is>
          <t>توضیح</t>
        </is>
      </c>
    </row>
    <row r="13">
      <c r="A13" s="70" t="inlineStr">
        <is>
          <t>کل تست‌ها</t>
        </is>
      </c>
      <c r="B13" s="70" t="n">
        <v>7</v>
      </c>
      <c r="C13" s="70" t="inlineStr">
        <is>
          <t>همهٔ ردیف‌های برنامه تست</t>
        </is>
      </c>
    </row>
    <row r="14">
      <c r="A14" s="70" t="inlineStr">
        <is>
          <t>قبول</t>
        </is>
      </c>
      <c r="B14" s="70">
        <f>COUNTIF('برنامه تست'!L:L,"قبول")</f>
        <v/>
      </c>
      <c r="C14" s="70" t="inlineStr">
        <is>
          <t>COUNTIF برنامه تست</t>
        </is>
      </c>
    </row>
    <row r="15">
      <c r="A15" s="70" t="inlineStr">
        <is>
          <t>رد</t>
        </is>
      </c>
      <c r="B15" s="70">
        <f>COUNTIF('برنامه تست'!L:L,"رد")</f>
        <v/>
      </c>
      <c r="C15" s="70" t="inlineStr">
        <is>
          <t>COUNTIF رد</t>
        </is>
      </c>
    </row>
    <row r="16">
      <c r="A16" s="70" t="inlineStr">
        <is>
          <t>در انتظار</t>
        </is>
      </c>
      <c r="B16" s="70">
        <f>COUNTIF('برنامه تست'!L:L,"در انتظار")</f>
        <v/>
      </c>
      <c r="C16" s="70" t="inlineStr">
        <is>
          <t>پیش از تست برد</t>
        </is>
      </c>
    </row>
    <row r="17">
      <c r="A17" s="70" t="inlineStr">
        <is>
          <t>نرخ قبولی</t>
        </is>
      </c>
      <c r="B17" s="70">
        <f>IF(7=0,0,COUNTIF('برنامه تست'!L:L,"قبول")/7)</f>
        <v/>
      </c>
      <c r="C17" s="70" t="inlineStr">
        <is>
          <t>قبول/کل</t>
        </is>
      </c>
    </row>
    <row r="18">
      <c r="A18" s="49" t="n"/>
      <c r="B18" s="49" t="n"/>
      <c r="C18" s="49" t="n"/>
    </row>
    <row r="19">
      <c r="A19" s="69" t="inlineStr">
        <is>
          <t>امضا و تأیید: تست‌کننده ______  بازبین ______  تاریخ ______</t>
        </is>
      </c>
      <c r="B19" s="49" t="n"/>
      <c r="C19" s="49" t="n"/>
    </row>
  </sheetData>
  <mergeCells count="3">
    <mergeCell ref="A1:C1"/>
    <mergeCell ref="A3:C3"/>
    <mergeCell ref="A2:C2"/>
  </mergeCells>
  <pageMargins left="0.75" right="0.75" top="1" bottom="1" header="0.5" footer="0.5"/>
</worksheet>
</file>

<file path=xl/worksheets/sheet7.xml><?xml version="1.0" encoding="utf-8"?>
<worksheet xmlns="http://schemas.openxmlformats.org/spreadsheetml/2006/main">
  <sheetPr>
    <tabColor rgb="00A6A6A6"/>
    <outlinePr summaryBelow="1" summaryRight="1"/>
    <pageSetUpPr/>
  </sheetPr>
  <dimension ref="A1:B17"/>
  <sheetViews>
    <sheetView rightToLeft="1" workbookViewId="0">
      <selection activeCell="A1" sqref="A1"/>
    </sheetView>
  </sheetViews>
  <sheetFormatPr baseColWidth="8" defaultRowHeight="15"/>
  <cols>
    <col width="16" customWidth="1" min="1" max="1"/>
    <col width="16" customWidth="1" min="2" max="2"/>
  </cols>
  <sheetData>
    <row r="1">
      <c r="A1" s="86" t="inlineStr">
        <is>
          <t>وضعیت</t>
        </is>
      </c>
      <c r="B1" s="49" t="n"/>
    </row>
    <row r="2">
      <c r="A2" s="72" t="inlineStr">
        <is>
          <t>در انتظار</t>
        </is>
      </c>
      <c r="B2" s="49" t="n"/>
    </row>
    <row r="3">
      <c r="A3" s="72" t="inlineStr">
        <is>
          <t>انجام شد</t>
        </is>
      </c>
      <c r="B3" s="49" t="n"/>
    </row>
    <row r="4">
      <c r="A4" s="72" t="inlineStr">
        <is>
          <t>قبول</t>
        </is>
      </c>
      <c r="B4" s="49" t="n"/>
    </row>
    <row r="5">
      <c r="A5" s="72" t="inlineStr">
        <is>
          <t>رد</t>
        </is>
      </c>
      <c r="B5" s="49" t="n"/>
    </row>
    <row r="6">
      <c r="A6" s="72" t="inlineStr">
        <is>
          <t>مسدود</t>
        </is>
      </c>
      <c r="B6" s="49" t="n"/>
    </row>
    <row r="7">
      <c r="A7" s="49" t="inlineStr">
        <is>
          <t>نیاز به تکرار</t>
        </is>
      </c>
      <c r="B7" s="49" t="n"/>
    </row>
    <row r="8">
      <c r="A8" s="86" t="inlineStr">
        <is>
          <t>اولویت</t>
        </is>
      </c>
      <c r="B8" s="49" t="n"/>
    </row>
    <row r="9">
      <c r="A9" s="49" t="n"/>
      <c r="B9" s="72" t="inlineStr">
        <is>
          <t>بالا</t>
        </is>
      </c>
    </row>
    <row r="10">
      <c r="A10" s="49" t="n"/>
      <c r="B10" s="72" t="inlineStr">
        <is>
          <t>متوسط</t>
        </is>
      </c>
    </row>
    <row r="11">
      <c r="A11" s="49" t="n"/>
      <c r="B11" s="72" t="inlineStr">
        <is>
          <t>پایین</t>
        </is>
      </c>
    </row>
    <row r="12">
      <c r="A12" s="49" t="n"/>
      <c r="B12" s="49" t="n"/>
    </row>
    <row r="13">
      <c r="A13" s="86" t="inlineStr">
        <is>
          <t>شدت</t>
        </is>
      </c>
      <c r="B13" s="49" t="n"/>
    </row>
    <row r="14">
      <c r="A14" s="72" t="inlineStr">
        <is>
          <t>بحرانی</t>
        </is>
      </c>
      <c r="B14" s="49" t="n"/>
    </row>
    <row r="15">
      <c r="A15" s="72" t="inlineStr">
        <is>
          <t>بالا</t>
        </is>
      </c>
      <c r="B15" s="49" t="n"/>
    </row>
    <row r="16">
      <c r="A16" s="72" t="inlineStr">
        <is>
          <t>متوسط</t>
        </is>
      </c>
      <c r="B16" s="49" t="n"/>
    </row>
    <row r="17">
      <c r="A17" s="72" t="inlineStr">
        <is>
          <t>پایین</t>
        </is>
      </c>
      <c r="B17" s="49" t="n"/>
    </row>
  </sheetData>
  <pageMargins left="0.75" right="0.75" top="1" bottom="1" header="0.5" footer="0.5"/>
</worksheet>
</file>

<file path=xl/worksheets/sheet8.xml><?xml version="1.0" encoding="utf-8"?>
<worksheet xmlns="http://schemas.openxmlformats.org/spreadsheetml/2006/main">
  <sheetPr>
    <tabColor rgb="00ED7D31"/>
    <outlinePr summaryBelow="1" summaryRight="1"/>
    <pageSetUpPr fitToPage="1"/>
  </sheetPr>
  <dimension ref="A1:Q9"/>
  <sheetViews>
    <sheetView workbookViewId="0">
      <selection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77" t="inlineStr">
        <is>
          <t>برنامهٔ تست آزمایشگاهی — ماژول Jitter</t>
        </is>
      </c>
    </row>
    <row r="2">
      <c r="A2" s="46" t="inlineStr">
        <is>
          <t>وضعیت فقط یکی از: در انتظار / قبول / رد / مسدود / نیاز به تکرار. تست Host جایگزین تست برد نیست.</t>
        </is>
      </c>
    </row>
    <row r="3">
      <c r="A3" s="46" t="inlineStr">
        <is>
          <t>برای هر ردیف پیش‌شرط، ورودی، انتظار و معیار قبولی صریح است؛ نتیجهٔ واقعی فقط با اندازه‌گیری روی برد پر می‌شود.</t>
        </is>
      </c>
    </row>
    <row r="4" ht="30" customHeight="1">
      <c r="A4" s="78" t="inlineStr">
        <is>
          <t>شناسه</t>
        </is>
      </c>
      <c r="B4" s="78" t="inlineStr">
        <is>
          <t>دسته</t>
        </is>
      </c>
      <c r="C4" s="78" t="inlineStr">
        <is>
          <t>اولویت</t>
        </is>
      </c>
      <c r="D4" s="78" t="inlineStr">
        <is>
          <t>پیش‌شرط</t>
        </is>
      </c>
      <c r="E4" s="78" t="inlineStr">
        <is>
          <t>روش اجرای دقیق</t>
        </is>
      </c>
      <c r="F4" s="78" t="inlineStr">
        <is>
          <t>ورودی‌ها / شرایط</t>
        </is>
      </c>
      <c r="G4" s="78" t="inlineStr">
        <is>
          <t>مدت مشاهده</t>
        </is>
      </c>
      <c r="H4" s="78" t="inlineStr">
        <is>
          <t>رفتار مورد انتظار</t>
        </is>
      </c>
      <c r="I4" s="78" t="inlineStr">
        <is>
          <t>می‌ماند یا پاک می‌شود</t>
        </is>
      </c>
      <c r="J4" s="78" t="inlineStr">
        <is>
          <t>معیار قبولی</t>
        </is>
      </c>
      <c r="K4" s="78" t="inlineStr">
        <is>
          <t>نتیجهٔ واقعی / اندازه‌گیری</t>
        </is>
      </c>
      <c r="L4" s="78" t="inlineStr">
        <is>
          <t>وضعیت</t>
        </is>
      </c>
      <c r="M4" s="78" t="inlineStr">
        <is>
          <t>شرح ایراد / تفاوت</t>
        </is>
      </c>
      <c r="N4" s="78" t="inlineStr">
        <is>
          <t>مدرک تست</t>
        </is>
      </c>
      <c r="O4" s="78" t="inlineStr">
        <is>
          <t>نسخهٔ برنامه</t>
        </is>
      </c>
      <c r="P4" s="78" t="inlineStr">
        <is>
          <t>نام تست‌کننده</t>
        </is>
      </c>
      <c r="Q4" s="78" t="inlineStr">
        <is>
          <t>تاریخ</t>
        </is>
      </c>
    </row>
    <row r="5" ht="54" customHeight="1">
      <c r="A5" s="50" t="inlineStr">
        <is>
          <t>JT-002</t>
        </is>
      </c>
      <c r="B5" s="51" t="inlineStr">
        <is>
          <t>رویداد → تریپ شارژر</t>
        </is>
      </c>
      <c r="C5" s="73" t="inlineStr">
        <is>
          <t>بالا</t>
        </is>
      </c>
      <c r="D5" s="51" t="inlineStr">
        <is>
          <t>شارژ فعال کانال ۱</t>
        </is>
      </c>
      <c r="E5" s="51" t="inlineStr">
        <is>
          <t>گام ۱: شارژ کانال ۱ را فعال کن.
گام ۲: ورودی JIT1 را یک لبهٔ پایین‌رونده بده تا آستانهٔ LM393 (اضافه‌جریان واقعی) رد شود.
گام ۳: 10 ثانیه نگاه کن: PWM کانال ۱ باید صفر شود، وضعیت کانال 1 بشود 5 (state=5) و کانال وارد صف احیا شود.</t>
        </is>
      </c>
      <c r="F5" s="52" t="inlineStr">
        <is>
          <t>JIT1 falling</t>
        </is>
      </c>
      <c r="G5" s="52" t="inlineStr">
        <is>
          <t>10s</t>
        </is>
      </c>
      <c r="H5" s="51" t="inlineStr">
        <is>
          <t>HandleJitTrip کانال ۱: PWM صفر + ورود به صف احیا</t>
        </is>
      </c>
      <c r="I5" s="51" t="inlineStr">
        <is>
          <t>—</t>
        </is>
      </c>
      <c r="J5" s="51" t="inlineStr">
        <is>
          <t>state=5 کانال ۱</t>
        </is>
      </c>
      <c r="K5" s="51" t="n"/>
      <c r="L5" s="62" t="inlineStr">
        <is>
          <t>در انتظار</t>
        </is>
      </c>
      <c r="M5" s="51" t="n"/>
      <c r="N5" s="51" t="n"/>
      <c r="O5" s="52" t="inlineStr">
        <is>
          <t>(بعد از تست پر شود)</t>
        </is>
      </c>
      <c r="P5" s="52" t="n"/>
      <c r="Q5" s="54">
        <f>IF(OR(L5="",L5="در انتظار"),"",IF(Q5="",TODAY(),Q5))</f>
        <v/>
      </c>
    </row>
    <row r="6" ht="40.5" customHeight="1">
      <c r="A6" s="50" t="inlineStr">
        <is>
          <t>JT-004</t>
        </is>
      </c>
      <c r="B6" s="79" t="inlineStr">
        <is>
          <t>صف احیا تک‌تک</t>
        </is>
      </c>
      <c r="C6" s="84" t="inlineStr">
        <is>
          <t>بالا</t>
        </is>
      </c>
      <c r="D6" s="79" t="inlineStr">
        <is>
          <t>هر دو کانال تریپ‌شده</t>
        </is>
      </c>
      <c r="E6" s="79" t="inlineStr">
        <is>
          <t>گام ۱: هر دو کانال را در حال شارژ داشته باش.
گام ۲: اول JIT1 و بلافاصله JIT2 را تریپ کن.
گام ۳: 30 ثانیه احیا را نگاه کن. کانال‌ها باید یکی‌یکی و به همان ترتیب تریپ احیا شوند.
گام ۴: کانال دوم تا نوبتش در صف می‌ماند. احیای هم‌زمان هر دو با هم قبول نیست.</t>
        </is>
      </c>
      <c r="F6" s="80" t="inlineStr">
        <is>
          <t>JIT1+JIT2</t>
        </is>
      </c>
      <c r="G6" s="80" t="inlineStr">
        <is>
          <t>30s</t>
        </is>
      </c>
      <c r="H6" s="79" t="inlineStr">
        <is>
          <t>احیا یکی‌یکی به ترتیب تریپ؛ کانال دوم در صف می‌ماند</t>
        </is>
      </c>
      <c r="I6" s="79" t="inlineStr">
        <is>
          <t>ترتیب حفظ</t>
        </is>
      </c>
      <c r="J6" s="79" t="inlineStr">
        <is>
          <t>احیای متوالی نه همزمان</t>
        </is>
      </c>
      <c r="K6" s="51" t="n"/>
      <c r="L6" s="62" t="inlineStr">
        <is>
          <t>در انتظار</t>
        </is>
      </c>
      <c r="M6" s="51" t="n"/>
      <c r="N6" s="51" t="n"/>
      <c r="O6" s="80" t="inlineStr">
        <is>
          <t>(بعد از تست پر شود)</t>
        </is>
      </c>
      <c r="P6" s="52" t="n"/>
      <c r="Q6" s="81">
        <f>IF(OR(L6="",L6="در انتظار"),"",IF(Q6="",TODAY(),Q6))</f>
        <v/>
      </c>
    </row>
    <row r="7" ht="40.5" customHeight="1">
      <c r="A7" s="50" t="inlineStr">
        <is>
          <t>JT-005</t>
        </is>
      </c>
      <c r="B7" s="51" t="inlineStr">
        <is>
          <t>arm مجدد comparator</t>
        </is>
      </c>
      <c r="C7" s="73" t="inlineStr">
        <is>
          <t>بالا</t>
        </is>
      </c>
      <c r="D7" s="51" t="inlineStr">
        <is>
          <t>بعد از safe sequence ریتری</t>
        </is>
      </c>
      <c r="E7" s="51" t="inlineStr">
        <is>
          <t>گام ۱: یک کانال را تریپ کن و بگذار توالی امن (safe sequence) تمام شود و ریتری انجام شود.
گام ۲: بعد از ریتری، پاک‌سازی کانال (ClearChannel) را بررسی کن.
گام ۳: یک تریپ تازه روی همان کانال بده.
گام ۴: comparator همان کانال باید دوباره مسلح شده باشد و تریپ تازه مثل بار اول کار کند.</t>
        </is>
      </c>
      <c r="F7" s="52" t="inlineStr">
        <is>
          <t>—</t>
        </is>
      </c>
      <c r="G7" s="52" t="inlineStr">
        <is>
          <t>—</t>
        </is>
      </c>
      <c r="H7" s="51" t="inlineStr">
        <is>
          <t>comparator همان کانال مجدد مسلح می‌شود</t>
        </is>
      </c>
      <c r="I7" s="51" t="inlineStr">
        <is>
          <t>—</t>
        </is>
      </c>
      <c r="J7" s="51" t="inlineStr">
        <is>
          <t>تریپ بعدی دوباره کار می‌کند</t>
        </is>
      </c>
      <c r="K7" s="58" t="n"/>
      <c r="L7" s="62" t="inlineStr">
        <is>
          <t>در انتظار</t>
        </is>
      </c>
      <c r="M7" s="58" t="n"/>
      <c r="N7" s="58" t="n"/>
      <c r="O7" s="52" t="inlineStr">
        <is>
          <t>(بعد از تست پر شود)</t>
        </is>
      </c>
      <c r="P7" s="61" t="n"/>
      <c r="Q7" s="54">
        <f>IF(OR(L7="",L7="در انتظار"),"",IF(Q7="",TODAY(),Q7))</f>
        <v/>
      </c>
    </row>
    <row r="8" ht="54" customHeight="1">
      <c r="A8" s="50" t="inlineStr">
        <is>
          <t>JT-006</t>
        </is>
      </c>
      <c r="B8" s="79" t="inlineStr">
        <is>
          <t>رویداد کهنه در بوت</t>
        </is>
      </c>
      <c r="C8" s="80" t="inlineStr">
        <is>
          <t>متوسط</t>
        </is>
      </c>
      <c r="D8" s="79" t="inlineStr">
        <is>
          <t>بوت تازه</t>
        </is>
      </c>
      <c r="E8" s="79" t="inlineStr">
        <is>
          <t>گام ۱: یک رویداد JIT بساز ولی قبل از اینکه پردازش شود، وضعیت را طوری نگه دار که رویداد «از قبل» مانده باشد.
گام ۲: برد را تازه بوت کن (Init از نو اجرا شود).
گام ۳: بعد از بوت نگاه کن: رویداد مانده باید در Init پاک شده باشد و هیچ تریپ تازه‌ای در بوت نباید زده شود.</t>
        </is>
      </c>
      <c r="F8" s="80" t="inlineStr">
        <is>
          <t>—</t>
        </is>
      </c>
      <c r="G8" s="80" t="inlineStr">
        <is>
          <t>—</t>
        </is>
      </c>
      <c r="H8" s="79" t="inlineStr">
        <is>
          <t>پاک می‌شود؛ تریپ تازه‌ای نمی‌زند</t>
        </is>
      </c>
      <c r="I8" s="79" t="inlineStr">
        <is>
          <t>—</t>
        </is>
      </c>
      <c r="J8" s="79" t="inlineStr">
        <is>
          <t>بدون تریپ در بوت</t>
        </is>
      </c>
      <c r="K8" s="51" t="n"/>
      <c r="L8" s="62" t="inlineStr">
        <is>
          <t>در انتظار</t>
        </is>
      </c>
      <c r="M8" s="51" t="n"/>
      <c r="N8" s="51" t="n"/>
      <c r="O8" s="80" t="inlineStr">
        <is>
          <t>(بعد از تست پر شود)</t>
        </is>
      </c>
      <c r="P8" s="52" t="n"/>
      <c r="Q8" s="81">
        <f>IF(OR(L8="",L8="در انتظار"),"",IF(Q8="",TODAY(),Q8))</f>
        <v/>
      </c>
    </row>
    <row r="9" ht="54" customHeight="1">
      <c r="A9" s="50" t="inlineStr">
        <is>
          <t>JT-007</t>
        </is>
      </c>
      <c r="B9" s="51" t="inlineStr">
        <is>
          <t>JIT در مود دستی</t>
        </is>
      </c>
      <c r="C9" s="73" t="inlineStr">
        <is>
          <t>بالا</t>
        </is>
      </c>
      <c r="D9" s="51" t="inlineStr">
        <is>
          <t>مود تست دستی فعال</t>
        </is>
      </c>
      <c r="E9" s="51" t="inlineStr">
        <is>
          <t>گام ۱: مود تست دستی را فعال کن (پارامتر 19 = 1).
گام ۲: در مود دستی JIT را تریپ کن.
گام ۳: 15 ثانیه نگاه کن: کانال پارک می‌شود (وضعیت 5) و ریتری خودکار نباید بیاید؛ شمارش تریپ باید جمع شود.
گام ۴: فقط وقتی از پنل دوباره duty بفرستی کانال مسلح می‌شود؛ تریپ سوم در همین مود باید FINAL_FAULT بدهد.</t>
        </is>
      </c>
      <c r="F9" s="52" t="inlineStr">
        <is>
          <t>JIT در مود دستی</t>
        </is>
      </c>
      <c r="G9" s="52" t="inlineStr">
        <is>
          <t>15s</t>
        </is>
      </c>
      <c r="H9" s="51" t="inlineStr">
        <is>
          <t>پارک بدون ریتری خودکار؛ شمارش تریپ جمع می‌شود؛ سومین تریپ FINAL_FAULT</t>
        </is>
      </c>
      <c r="I9" s="51" t="inlineStr">
        <is>
          <t>پارک تا re-arm</t>
        </is>
      </c>
      <c r="J9" s="51" t="inlineStr">
        <is>
          <t>state=5؛ فقط ارسال مجدد duty مسلح می‌کند</t>
        </is>
      </c>
      <c r="K9" s="58" t="n"/>
      <c r="L9" s="62" t="inlineStr">
        <is>
          <t>در انتظار</t>
        </is>
      </c>
      <c r="M9" s="58" t="n"/>
      <c r="N9" s="58" t="n"/>
      <c r="O9" s="52" t="inlineStr">
        <is>
          <t>(بعد از تست پر شود)</t>
        </is>
      </c>
      <c r="P9" s="61" t="n"/>
      <c r="Q9" s="54">
        <f>IF(OR(L9="",L9="در انتظار"),"",IF(Q9="",TODAY(),Q9))</f>
        <v/>
      </c>
    </row>
    <row r="10" ht="40.5" customHeight="1"/>
    <row r="11" ht="54" customHeight="1"/>
    <row r="12" ht="40.5" customHeight="1"/>
  </sheetData>
  <mergeCells count="3">
    <mergeCell ref="A3:Q3"/>
    <mergeCell ref="A2:Q2"/>
    <mergeCell ref="A1:Q1"/>
  </mergeCells>
  <pageMargins left="0.75" right="0.75" top="1" bottom="1" header="0.5" footer="0.5"/>
  <pageSetup orientation="landscape" fitToHeight="0" fitToWidth="1"/>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8" t="inlineStr">
        <is>
          <t>ماشین حالت ماژول جیتر (Jitter)</t>
        </is>
      </c>
    </row>
    <row r="3" ht="24" customHeight="1">
      <c r="A3" s="9" t="inlineStr">
        <is>
          <t>حالت‌ها و گذارهای همین ماژول</t>
        </is>
      </c>
      <c r="B3" s="10" t="inlineStr">
        <is>
          <t>Jitter_State_Machine.xlsx</t>
        </is>
      </c>
    </row>
    <row r="4" ht="24" customHeight="1">
      <c r="A4" s="9" t="inlineStr">
        <is>
          <t>ماشین حالت کل برنامه (نمای سیستمی)</t>
        </is>
      </c>
      <c r="B4" s="10" t="inlineStr">
        <is>
          <t>../../../Documentation/System_State_Machine.xlsx</t>
        </is>
      </c>
    </row>
    <row r="5" ht="24" customHeight="1">
      <c r="A5" s="9" t="inlineStr">
        <is>
          <t>راهنمای رنگ‌ها</t>
        </is>
      </c>
      <c r="B5" s="11" t="inlineStr">
        <is>
          <t>سبز = عادی/سالم · زرد = هشدار یا انتظار · قرمز = خطا یا قفل · نارنجی = در حال کار · خاکستری = بی‌کار · آبی = اطلاعاتی</t>
        </is>
      </c>
    </row>
    <row r="6" ht="24" customHeight="1">
      <c r="A6" s="9" t="inlineStr">
        <is>
          <t>بازتولید</t>
        </is>
      </c>
      <c r="B6" s="11" t="inlineStr">
        <is>
          <t>python3 tools/make_module_state_machines.py</t>
        </is>
      </c>
    </row>
  </sheetData>
  <mergeCells count="1">
    <mergeCell ref="A1:C1"/>
  </mergeCells>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2026-09-23T12:47:22Z</dcterms:created>
  <dcterms:modified xmlns:dcterms="http://purl.org/dc/terms/" xmlns:xsi="http://www.w3.org/2001/XMLSchema-instance" xsi:type="dcterms:W3CDTF">2026-10-31T13:22:40Z</dcterms:modified>
</cp:coreProperties>
</file>