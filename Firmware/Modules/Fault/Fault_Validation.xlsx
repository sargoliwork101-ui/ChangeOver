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visible" r:id="rId6"/>
    <sheet name="ماشین حال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8"/>
    </font>
    <font>
      <name val="Calibri"/>
      <b val="1"/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Fault_State_Machine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برگه تست و اعتبارسنجی عملی ماژول Fault</t>
        </is>
      </c>
    </row>
    <row r="2">
      <c r="A2" s="2" t="inlineStr">
        <is>
          <t>Fault | مالک تشخیص متمرکز قطع باتری (FAULT_CHARGER_BAT_LOST، بیت ۶) + ماسک خطای قفل‌شده</t>
        </is>
      </c>
    </row>
    <row r="3">
      <c r="A3" s="2" t="inlineStr">
        <is>
          <t>هدف فایل</t>
        </is>
      </c>
    </row>
    <row r="4">
      <c r="A4" s="2" t="inlineStr"/>
    </row>
    <row r="5">
      <c r="A5" s="2" t="inlineStr">
        <is>
          <t>دو قاعده: پمپ &gt;14.8V حین شارژ فعال (150ms) و غیبت هر نیم &lt;6V با ورودی سالم (1s)؛ بازیابی هر دو نیم ≥7V بدون پمپ (1s).</t>
        </is>
      </c>
    </row>
    <row r="6">
      <c r="A6" s="2" t="inlineStr">
        <is>
          <t>شارژر و UI فقط پرچم را می‌خوانند؛ حین مود تست دستی شارژر، تشخیص کامل فریز است (تمپ‌های دبانس صفر).</t>
        </is>
      </c>
    </row>
    <row r="7">
      <c r="A7" s="2" t="inlineStr">
        <is>
          <t>بدون snapshot معتبر هیچ Set/Clear انجام نمی‌شود.</t>
        </is>
      </c>
    </row>
    <row r="8">
      <c r="A8" s="2" t="inlineStr"/>
    </row>
    <row r="9">
      <c r="A9" s="2" t="inlineStr">
        <is>
          <t>هشدار: تست قطع باتری حین شارژ با جریان محدود و زیر نظارت؛ ولتاژ گره پمپ‌شده می‌تواند بالای 15V برود.</t>
        </is>
      </c>
    </row>
  </sheetData>
  <mergeCells count="9">
    <mergeCell ref="A8"/>
    <mergeCell ref="A6"/>
    <mergeCell ref="A9"/>
    <mergeCell ref="A4"/>
    <mergeCell ref="A3"/>
    <mergeCell ref="A7"/>
    <mergeCell ref="A2"/>
    <mergeCell ref="A5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20" customWidth="1" min="4" max="4"/>
    <col width="26" customWidth="1" min="5" max="5"/>
    <col width="20" customWidth="1" min="6" max="6"/>
    <col width="10" customWidth="1" min="7" max="7"/>
    <col width="26" customWidth="1" min="8" max="8"/>
    <col width="14" customWidth="1" min="9" max="9"/>
    <col width="24" customWidth="1" min="10" max="10"/>
    <col width="18" customWidth="1" min="11" max="11"/>
    <col width="10" customWidth="1" min="12" max="12"/>
    <col width="18" customWidth="1" min="13" max="13"/>
    <col width="14" customWidth="1" min="14" max="14"/>
    <col width="12" customWidth="1" min="15" max="15"/>
    <col width="12" customWidth="1" min="16" max="16"/>
    <col width="11" customWidth="1" min="17" max="17"/>
  </cols>
  <sheetData>
    <row r="1">
      <c r="A1" s="1" t="inlineStr">
        <is>
          <t>برنامهٔ تست عملی — ماژول Fault</t>
        </is>
      </c>
    </row>
    <row r="2">
      <c r="A2" s="2" t="inlineStr">
        <is>
          <t>وضعیت فقط یکی از: در انتظار / قبول / رد / مسدود / نیاز به تکرار. تست Host جایگزین تست برد نیست.</t>
        </is>
      </c>
    </row>
    <row r="3">
      <c r="A3" s="2" t="inlineStr">
        <is>
          <t>برای هر ردیف پیش‌شرط، ورودی، انتظار و معیار قبولی صریح است؛ نتیجهٔ واقعی فقط با اندازه‌گیری روی برد پر می‌شود.</t>
        </is>
      </c>
    </row>
    <row r="4">
      <c r="A4" s="3" t="inlineStr">
        <is>
          <t>شناسه</t>
        </is>
      </c>
      <c r="B4" s="3" t="inlineStr">
        <is>
          <t>دسته</t>
        </is>
      </c>
      <c r="C4" s="3" t="inlineStr">
        <is>
          <t>اولویت</t>
        </is>
      </c>
      <c r="D4" s="3" t="inlineStr">
        <is>
          <t>پیش‌شرط</t>
        </is>
      </c>
      <c r="E4" s="3" t="inlineStr">
        <is>
          <t>روش اجرای دقیق</t>
        </is>
      </c>
      <c r="F4" s="3" t="inlineStr">
        <is>
          <t>ورودی‌ها / شرایط</t>
        </is>
      </c>
      <c r="G4" s="3" t="inlineStr">
        <is>
          <t>مدت مشاهده</t>
        </is>
      </c>
      <c r="H4" s="3" t="inlineStr">
        <is>
          <t>رفتار مورد انتظار</t>
        </is>
      </c>
      <c r="I4" s="3" t="inlineStr">
        <is>
          <t>وضعیت حفظ / latch</t>
        </is>
      </c>
      <c r="J4" s="3" t="inlineStr">
        <is>
          <t>معیار قبولی</t>
        </is>
      </c>
      <c r="K4" s="3" t="inlineStr">
        <is>
          <t>نتیجهٔ واقعی / اندازه‌گیری</t>
        </is>
      </c>
      <c r="L4" s="3" t="inlineStr">
        <is>
          <t>وضعیت</t>
        </is>
      </c>
      <c r="M4" s="3" t="inlineStr">
        <is>
          <t>شرح ایراد / تفاوت</t>
        </is>
      </c>
      <c r="N4" s="3" t="inlineStr">
        <is>
          <t>مدرک تست / scope</t>
        </is>
      </c>
      <c r="O4" s="3" t="inlineStr">
        <is>
          <t>commit</t>
        </is>
      </c>
      <c r="P4" s="3" t="inlineStr">
        <is>
          <t>نام تست‌کننده</t>
        </is>
      </c>
      <c r="Q4" s="3" t="inlineStr">
        <is>
          <t>تاریخ</t>
        </is>
      </c>
    </row>
    <row r="5">
      <c r="A5" s="4" t="inlineStr">
        <is>
          <t>FL-001</t>
        </is>
      </c>
      <c r="B5" s="4" t="inlineStr">
        <is>
          <t>قاعدهٔ پمپ</t>
        </is>
      </c>
      <c r="C5" s="4" t="inlineStr">
        <is>
          <t>بالا</t>
        </is>
      </c>
      <c r="D5" s="4" t="inlineStr">
        <is>
          <t>شارژ فعال (BULK/ABSORB)</t>
        </is>
      </c>
      <c r="E5" s="4" t="inlineStr">
        <is>
          <t>سیم یک نیم‌باتری را حین شارژ قطع کن؛ ولتاژ گره خروجی را بپاییر</t>
        </is>
      </c>
      <c r="F5" s="4" t="inlineStr">
        <is>
          <t>خروجی پمپ &gt;14800mV</t>
        </is>
      </c>
      <c r="G5" s="4" t="inlineStr">
        <is>
          <t>150ms</t>
        </is>
      </c>
      <c r="H5" s="4" t="inlineStr">
        <is>
          <t>قفل FAULT_CHARGER_BAT_LOST؛ شارژر به BAT_LOST می‌رود و PWM قطع</t>
        </is>
      </c>
      <c r="I5" s="4" t="inlineStr">
        <is>
          <t>latch تا بازیابی</t>
        </is>
      </c>
      <c r="J5" s="4" t="inlineStr">
        <is>
          <t>FAULT_CHARGER_BAT_LOST=1 و state=8 در پنل</t>
        </is>
      </c>
      <c r="K5" s="4" t="inlineStr"/>
      <c r="L5" s="4" t="inlineStr">
        <is>
          <t>در انتظار</t>
        </is>
      </c>
      <c r="M5" s="4" t="inlineStr"/>
      <c r="N5" s="4" t="inlineStr"/>
      <c r="O5" s="4" t="inlineStr">
        <is>
          <t>TESTER: fill</t>
        </is>
      </c>
      <c r="P5" s="4" t="inlineStr"/>
      <c r="Q5" s="4" t="inlineStr">
        <is>
          <t>2026-09-23</t>
        </is>
      </c>
    </row>
    <row r="6">
      <c r="A6" s="4" t="inlineStr">
        <is>
          <t>FL-002</t>
        </is>
      </c>
      <c r="B6" s="4" t="inlineStr">
        <is>
          <t>قاعدهٔ غیبت</t>
        </is>
      </c>
      <c r="C6" s="4" t="inlineStr">
        <is>
          <t>بالا</t>
        </is>
      </c>
      <c r="D6" s="4" t="inlineStr">
        <is>
          <t>ورودی سالم 21..28V</t>
        </is>
      </c>
      <c r="E6" s="4" t="inlineStr">
        <is>
          <t>هر نیم‌باتری را جدا کن تا زیر 6V بماند</t>
        </is>
      </c>
      <c r="F6" s="4" t="inlineStr">
        <is>
          <t>هر نیم &lt;6000mV</t>
        </is>
      </c>
      <c r="G6" s="4" t="inlineStr">
        <is>
          <t>1000ms</t>
        </is>
      </c>
      <c r="H6" s="4" t="inlineStr">
        <is>
          <t>قفل FAULT_CHARGER_BAT_LOST</t>
        </is>
      </c>
      <c r="I6" s="4" t="inlineStr">
        <is>
          <t>latch تا بازیابی</t>
        </is>
      </c>
      <c r="J6" s="4" t="inlineStr">
        <is>
          <t>FAULT_CHARGER_BAT_LOST=1</t>
        </is>
      </c>
      <c r="K6" s="4" t="inlineStr"/>
      <c r="L6" s="4" t="inlineStr">
        <is>
          <t>در انتظار</t>
        </is>
      </c>
      <c r="M6" s="4" t="inlineStr"/>
      <c r="N6" s="4" t="inlineStr"/>
      <c r="O6" s="4" t="inlineStr">
        <is>
          <t>TESTER: fill</t>
        </is>
      </c>
      <c r="P6" s="4" t="inlineStr"/>
      <c r="Q6" s="4" t="inlineStr">
        <is>
          <t>2026-09-23</t>
        </is>
      </c>
    </row>
    <row r="7">
      <c r="A7" s="4" t="inlineStr">
        <is>
          <t>FL-003</t>
        </is>
      </c>
      <c r="B7" s="4" t="inlineStr">
        <is>
          <t>بازیابی</t>
        </is>
      </c>
      <c r="C7" s="4" t="inlineStr">
        <is>
          <t>بالا</t>
        </is>
      </c>
      <c r="D7" s="4" t="inlineStr">
        <is>
          <t>بیت قفل‌شده</t>
        </is>
      </c>
      <c r="E7" s="4" t="inlineStr">
        <is>
          <t>هر دو نیم ≥7V وصل و بدون پمپ نگه دار</t>
        </is>
      </c>
      <c r="F7" s="4" t="inlineStr">
        <is>
          <t>هر دو نیم ≥7000mV</t>
        </is>
      </c>
      <c r="G7" s="4" t="inlineStr">
        <is>
          <t>1000ms</t>
        </is>
      </c>
      <c r="H7" s="4" t="inlineStr">
        <is>
          <t>پاک شدن بیت؛ شارژر OFF → گیت 15s → BULK نرم</t>
        </is>
      </c>
      <c r="I7" s="4" t="inlineStr">
        <is>
          <t>پاک‌شدن یک‌باره</t>
        </is>
      </c>
      <c r="J7" s="4" t="inlineStr">
        <is>
          <t>FAULT_CHARGER_BAT_LOST=0 و شارژ از نو</t>
        </is>
      </c>
      <c r="K7" s="4" t="inlineStr"/>
      <c r="L7" s="4" t="inlineStr">
        <is>
          <t>در انتظار</t>
        </is>
      </c>
      <c r="M7" s="4" t="inlineStr"/>
      <c r="N7" s="4" t="inlineStr"/>
      <c r="O7" s="4" t="inlineStr">
        <is>
          <t>TESTER: fill</t>
        </is>
      </c>
      <c r="P7" s="4" t="inlineStr"/>
      <c r="Q7" s="4" t="inlineStr">
        <is>
          <t>2026-09-23</t>
        </is>
      </c>
    </row>
    <row r="8">
      <c r="A8" s="4" t="inlineStr">
        <is>
          <t>FL-004</t>
        </is>
      </c>
      <c r="B8" s="4" t="inlineStr">
        <is>
          <t>هیسترزیس 6/7V</t>
        </is>
      </c>
      <c r="C8" s="4" t="inlineStr">
        <is>
          <t>متوسط</t>
        </is>
      </c>
      <c r="D8" s="4" t="inlineStr">
        <is>
          <t>باتری واقعی وصل</t>
        </is>
      </c>
      <c r="E8" s="4" t="inlineStr">
        <is>
          <t>ولتاژ نیم را در بازهٔ 6..7V نگه دار</t>
        </is>
      </c>
      <c r="F8" s="4" t="inlineStr">
        <is>
          <t>6000..7000mV</t>
        </is>
      </c>
      <c r="G8" s="4" t="inlineStr">
        <is>
          <t>60s</t>
        </is>
      </c>
      <c r="H8" s="4" t="inlineStr">
        <is>
          <t>نه تریپ تازه، نه پاک‌شدن نوسانی</t>
        </is>
      </c>
      <c r="I8" s="4" t="inlineStr">
        <is>
          <t>پایدار</t>
        </is>
      </c>
      <c r="J8" s="4" t="inlineStr">
        <is>
          <t>بدون تغییر بیت</t>
        </is>
      </c>
      <c r="K8" s="4" t="inlineStr"/>
      <c r="L8" s="4" t="inlineStr">
        <is>
          <t>در انتظار</t>
        </is>
      </c>
      <c r="M8" s="4" t="inlineStr"/>
      <c r="N8" s="4" t="inlineStr"/>
      <c r="O8" s="4" t="inlineStr">
        <is>
          <t>TESTER: fill</t>
        </is>
      </c>
      <c r="P8" s="4" t="inlineStr"/>
      <c r="Q8" s="4" t="inlineStr">
        <is>
          <t>2026-09-23</t>
        </is>
      </c>
    </row>
    <row r="9">
      <c r="A9" s="4" t="inlineStr">
        <is>
          <t>FL-005</t>
        </is>
      </c>
      <c r="B9" s="4" t="inlineStr">
        <is>
          <t>آینه در شارژر</t>
        </is>
      </c>
      <c r="C9" s="4" t="inlineStr">
        <is>
          <t>بالا</t>
        </is>
      </c>
      <c r="D9" s="4" t="inlineStr">
        <is>
          <t>بیت قفل‌شده</t>
        </is>
      </c>
      <c r="E9" s="4" t="inlineStr">
        <is>
          <t>state هر دو کانال در پنل</t>
        </is>
      </c>
      <c r="F9" s="4" t="inlineStr">
        <is>
          <t>—</t>
        </is>
      </c>
      <c r="G9" s="4" t="inlineStr">
        <is>
          <t>2s</t>
        </is>
      </c>
      <c r="H9" s="4" t="inlineStr">
        <is>
          <t>کانال‌ها به CHG_STATE_BAT_LOST (8) و PWM صفر</t>
        </is>
      </c>
      <c r="I9" s="4" t="inlineStr">
        <is>
          <t>تا پاک شدن بیت</t>
        </is>
      </c>
      <c r="J9" s="4" t="inlineStr">
        <is>
          <t>state=8</t>
        </is>
      </c>
      <c r="K9" s="4" t="inlineStr"/>
      <c r="L9" s="4" t="inlineStr">
        <is>
          <t>در انتظار</t>
        </is>
      </c>
      <c r="M9" s="4" t="inlineStr"/>
      <c r="N9" s="4" t="inlineStr"/>
      <c r="O9" s="4" t="inlineStr">
        <is>
          <t>TESTER: fill</t>
        </is>
      </c>
      <c r="P9" s="4" t="inlineStr"/>
      <c r="Q9" s="4" t="inlineStr">
        <is>
          <t>2026-09-23</t>
        </is>
      </c>
    </row>
    <row r="10">
      <c r="A10" s="4" t="inlineStr">
        <is>
          <t>FL-006</t>
        </is>
      </c>
      <c r="B10" s="4" t="inlineStr">
        <is>
          <t>snapshot نامعتبر</t>
        </is>
      </c>
      <c r="C10" s="4" t="inlineStr">
        <is>
          <t>بالا</t>
        </is>
      </c>
      <c r="D10" s="4" t="inlineStr">
        <is>
          <t>ADC در warm-up یا نامعتبر</t>
        </is>
      </c>
      <c r="E10" s="4" t="inlineStr">
        <is>
          <t>رفتار Set/Clear حین نبود snapshot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هیچ Set/Clear؛ وضعیت قبلی حفظ</t>
        </is>
      </c>
      <c r="I10" s="4" t="inlineStr">
        <is>
          <t>—</t>
        </is>
      </c>
      <c r="J10" s="4" t="inlineStr">
        <is>
          <t>بدون تغییر ماسک</t>
        </is>
      </c>
      <c r="K10" s="4" t="inlineStr"/>
      <c r="L10" s="4" t="inlineStr">
        <is>
          <t>در انتظار</t>
        </is>
      </c>
      <c r="M10" s="4" t="inlineStr"/>
      <c r="N10" s="4" t="inlineStr"/>
      <c r="O10" s="4" t="inlineStr">
        <is>
          <t>TESTER: fill</t>
        </is>
      </c>
      <c r="P10" s="4" t="inlineStr"/>
      <c r="Q10" s="4" t="inlineStr">
        <is>
          <t>2026-09-23</t>
        </is>
      </c>
    </row>
    <row r="11">
      <c r="A11" s="4" t="inlineStr">
        <is>
          <t>FL-007</t>
        </is>
      </c>
      <c r="B11" s="4" t="inlineStr">
        <is>
          <t>فریز در مود دستی</t>
        </is>
      </c>
      <c r="C11" s="4" t="inlineStr">
        <is>
          <t>بالا</t>
        </is>
      </c>
      <c r="D11" s="4" t="inlineStr">
        <is>
          <t>مود تست دستی فعال (ID19=1)</t>
        </is>
      </c>
      <c r="E11" s="4" t="inlineStr">
        <is>
          <t>پمپ عمدی خروجی بالای 14.8V با electronic load</t>
        </is>
      </c>
      <c r="F11" s="4" t="inlineStr">
        <is>
          <t>خروجی &gt;14800mV در مود دستی</t>
        </is>
      </c>
      <c r="G11" s="4" t="inlineStr">
        <is>
          <t>5s</t>
        </is>
      </c>
      <c r="H11" s="4" t="inlineStr">
        <is>
          <t>هیچ قفلی؛ FAULT_CHARGER_BAT_LOST پاک می‌ماند؛ تمپ‌های دبانس صفر</t>
        </is>
      </c>
      <c r="I11" s="4" t="inlineStr">
        <is>
          <t>فریز کامل</t>
        </is>
      </c>
      <c r="J11" s="4" t="inlineStr">
        <is>
          <t>FAULT_CHARGER_BAT_LOST=0 حین مود</t>
        </is>
      </c>
      <c r="K11" s="4" t="inlineStr"/>
      <c r="L11" s="4" t="inlineStr">
        <is>
          <t>در انتظار</t>
        </is>
      </c>
      <c r="M11" s="4" t="inlineStr"/>
      <c r="N11" s="4" t="inlineStr"/>
      <c r="O11" s="4" t="inlineStr">
        <is>
          <t>TESTER: fill</t>
        </is>
      </c>
      <c r="P11" s="4" t="inlineStr"/>
      <c r="Q11" s="4" t="inlineStr">
        <is>
          <t>2026-09-23</t>
        </is>
      </c>
    </row>
    <row r="12">
      <c r="A12" s="4" t="inlineStr">
        <is>
          <t>FL-008</t>
        </is>
      </c>
      <c r="B12" s="4" t="inlineStr">
        <is>
          <t>خروج از مود دستی</t>
        </is>
      </c>
      <c r="C12" s="4" t="inlineStr">
        <is>
          <t>متوسط</t>
        </is>
      </c>
      <c r="D12" s="4" t="inlineStr">
        <is>
          <t>بعد از FL-007</t>
        </is>
      </c>
      <c r="E12" s="4" t="inlineStr">
        <is>
          <t>مود دستی را خاموش کن و شرایط قاعدهٔ ۱ را دوباره بساز</t>
        </is>
      </c>
      <c r="F12" s="4" t="inlineStr">
        <is>
          <t>—</t>
        </is>
      </c>
      <c r="G12" s="4" t="inlineStr">
        <is>
          <t>2s</t>
        </is>
      </c>
      <c r="H12" s="4" t="inlineStr">
        <is>
          <t>تشخیص از نو شروع می‌شود (تمپ صفر) و قاعدهٔ ۱ کار می‌کند</t>
        </is>
      </c>
      <c r="I12" s="4" t="inlineStr">
        <is>
          <t>—</t>
        </is>
      </c>
      <c r="J12" s="4" t="inlineStr">
        <is>
          <t>قفل طبق FL-001</t>
        </is>
      </c>
      <c r="K12" s="4" t="inlineStr"/>
      <c r="L12" s="4" t="inlineStr">
        <is>
          <t>در انتظار</t>
        </is>
      </c>
      <c r="M12" s="4" t="inlineStr"/>
      <c r="N12" s="4" t="inlineStr"/>
      <c r="O12" s="4" t="inlineStr">
        <is>
          <t>TESTER: fill</t>
        </is>
      </c>
      <c r="P12" s="4" t="inlineStr"/>
      <c r="Q12" s="4" t="inlineStr">
        <is>
          <t>2026-09-23</t>
        </is>
      </c>
    </row>
    <row r="13">
      <c r="A13" s="4" t="inlineStr">
        <is>
          <t>FL-009</t>
        </is>
      </c>
      <c r="B13" s="4" t="inlineStr">
        <is>
          <t>تزریق دستی</t>
        </is>
      </c>
      <c r="C13" s="4" t="inlineStr">
        <is>
          <t>پایین</t>
        </is>
      </c>
      <c r="D13" s="4" t="inlineStr">
        <is>
          <t>دیباگر وصل</t>
        </is>
      </c>
      <c r="E13" s="4" t="inlineStr">
        <is>
          <t>func__Fault_Set/Clear از مسیر تست</t>
        </is>
      </c>
      <c r="F13" s="4" t="inlineStr">
        <is>
          <t>بیت‌های دلخواه</t>
        </is>
      </c>
      <c r="G13" s="4" t="inlineStr">
        <is>
          <t>—</t>
        </is>
      </c>
      <c r="H13" s="4" t="inlineStr">
        <is>
          <t>ماسک دقیقاً Set/Clear می‌شود</t>
        </is>
      </c>
      <c r="I13" s="4" t="inlineStr">
        <is>
          <t>—</t>
        </is>
      </c>
      <c r="J13" s="4" t="inlineStr">
        <is>
          <t>Get/Any مطابق</t>
        </is>
      </c>
      <c r="K13" s="4" t="inlineStr"/>
      <c r="L13" s="4" t="inlineStr">
        <is>
          <t>در انتظار</t>
        </is>
      </c>
      <c r="M13" s="4" t="inlineStr"/>
      <c r="N13" s="4" t="inlineStr"/>
      <c r="O13" s="4" t="inlineStr">
        <is>
          <t>TESTER: fill</t>
        </is>
      </c>
      <c r="P13" s="4" t="inlineStr"/>
      <c r="Q13" s="4" t="inlineStr">
        <is>
          <t>2026-09-23</t>
        </is>
      </c>
    </row>
    <row r="14">
      <c r="A14" s="4" t="inlineStr">
        <is>
          <t>FL-010</t>
        </is>
      </c>
      <c r="B14" s="4" t="inlineStr">
        <is>
          <t>تله‌متری</t>
        </is>
      </c>
      <c r="C14" s="4" t="inlineStr">
        <is>
          <t>متوسط</t>
        </is>
      </c>
      <c r="D14" s="4" t="inlineStr">
        <is>
          <t>پنل ESP وصل</t>
        </is>
      </c>
      <c r="E14" s="4" t="inlineStr">
        <is>
          <t>فیلد fault_mask را در پنل ببین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FAULT_CHARGER_BAT_LOST → برچسب «باتری قطع»؛ بقیه hex خام</t>
        </is>
      </c>
      <c r="I14" s="4" t="inlineStr">
        <is>
          <t>—</t>
        </is>
      </c>
      <c r="J14" s="4" t="inlineStr">
        <is>
          <t>fault 0x40 در پنل</t>
        </is>
      </c>
      <c r="K14" s="4" t="inlineStr"/>
      <c r="L14" s="4" t="inlineStr">
        <is>
          <t>در انتظار</t>
        </is>
      </c>
      <c r="M14" s="4" t="inlineStr"/>
      <c r="N14" s="4" t="inlineStr"/>
      <c r="O14" s="4" t="inlineStr">
        <is>
          <t>TESTER: fill</t>
        </is>
      </c>
      <c r="P14" s="4" t="inlineStr"/>
      <c r="Q14" s="4" t="inlineStr">
        <is>
          <t>2026-09-23</t>
        </is>
      </c>
    </row>
    <row r="15">
      <c r="A15" t="inlineStr">
        <is>
          <t>FA-020</t>
        </is>
      </c>
      <c r="B15" t="inlineStr">
        <is>
          <t>snapshot zeroing</t>
        </is>
      </c>
      <c r="C15" t="inlineStr">
        <is>
          <t>بالا</t>
        </is>
      </c>
      <c r="D15" t="inlineStr">
        <is>
          <t>valid=false</t>
        </is>
      </c>
      <c r="E15" t="inlineStr">
        <is>
          <t>snapshot نامعتبر به Fault_Evaluate بده</t>
        </is>
      </c>
      <c r="F15" t="inlineStr">
        <is>
          <t>valid=false</t>
        </is>
      </c>
      <c r="G15" t="inlineStr">
        <is>
          <t>2s</t>
        </is>
      </c>
      <c r="H15" t="inlineStr">
        <is>
          <t>بدون Set/Clear کاذب؛ فقط valid چک شود؛ هر 9 فیلد صفر شده باشد</t>
        </is>
      </c>
      <c r="I15" t="inlineStr">
        <is>
          <t>—</t>
        </is>
      </c>
      <c r="J15" t="inlineStr">
        <is>
          <t>بدون fault کاذب</t>
        </is>
      </c>
      <c r="L15" t="inlineStr">
        <is>
          <t>نیاز به تکرار</t>
        </is>
      </c>
      <c r="O15" t="inlineStr">
        <is>
          <t>62f3782</t>
        </is>
      </c>
      <c r="Q15" t="inlineStr">
        <is>
          <t>2026-10-12</t>
        </is>
      </c>
    </row>
  </sheetData>
  <mergeCells count="3">
    <mergeCell ref="A3:Q3"/>
    <mergeCell ref="A2:Q2"/>
    <mergeCell ref="A1:Q1"/>
  </mergeCells>
  <dataValidations count="2">
    <dataValidation sqref="L5:L14" showDropDown="0" showInputMessage="0" showErrorMessage="0" allowBlank="1" type="list">
      <formula1>='فهرست‌ها'!$A$2:$A$6</formula1>
    </dataValidation>
    <dataValidation sqref="C5:C14" showDropDown="0" showInputMessage="0" showErrorMessage="0" allowBlank="1" type="list">
      <formula1>='فهرست‌ها'!$B$9:$B$11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مرجع سریع سناریوها و ثابت‌های ماژول Fault</t>
        </is>
      </c>
    </row>
    <row r="3">
      <c r="A3" s="3" t="inlineStr">
        <is>
          <t>موضوع</t>
        </is>
      </c>
      <c r="B3" s="3" t="inlineStr">
        <is>
          <t>شرط / مقدار</t>
        </is>
      </c>
      <c r="C3" s="3" t="inlineStr">
        <is>
          <t>رفتار مورد انتظار</t>
        </is>
      </c>
      <c r="D3" s="3" t="inlineStr">
        <is>
          <t>ثابت / محل کد</t>
        </is>
      </c>
      <c r="E3" s="3" t="inlineStr">
        <is>
          <t>توضیح</t>
        </is>
      </c>
    </row>
    <row r="4">
      <c r="A4" s="4" t="inlineStr">
        <is>
          <t>قاعدهٔ پمپ</t>
        </is>
      </c>
      <c r="B4" s="4" t="inlineStr">
        <is>
          <t>&gt;14.8V حین BULK/ABSORB، 150ms</t>
        </is>
      </c>
      <c r="C4" s="4" t="inlineStr">
        <is>
          <t>قفل FAULT_CHARGER_BAT_LOST</t>
        </is>
      </c>
      <c r="D4" s="4" t="inlineStr">
        <is>
          <t>FAULT_BAT_DISCONNECT_MV / FAULT_BAT_DISCONNECT_DEBOUNCE_MS</t>
        </is>
      </c>
      <c r="E4" s="4" t="inlineStr">
        <is>
          <t>فقط کانال فعال</t>
        </is>
      </c>
    </row>
    <row r="5">
      <c r="A5" s="4" t="inlineStr">
        <is>
          <t>قاعدهٔ غیبت</t>
        </is>
      </c>
      <c r="B5" s="4" t="inlineStr">
        <is>
          <t>هر نیم &lt;6V با ورودی سالم، 1s</t>
        </is>
      </c>
      <c r="C5" s="4" t="inlineStr">
        <is>
          <t>قفل FAULT_CHARGER_BAT_LOST</t>
        </is>
      </c>
      <c r="D5" s="4" t="inlineStr">
        <is>
          <t>FAULT_BAT_ABSENT_MV / FAULT_BAT_ABSENT_DEBOUNCE_MS</t>
        </is>
      </c>
      <c r="E5" s="4" t="inlineStr">
        <is>
          <t>هرکدام، نه هر دو</t>
        </is>
      </c>
    </row>
    <row r="6">
      <c r="A6" s="4" t="inlineStr">
        <is>
          <t>بازیابی</t>
        </is>
      </c>
      <c r="B6" s="4" t="inlineStr">
        <is>
          <t>هر دو نیم ≥7V بدون پمپ، 1s</t>
        </is>
      </c>
      <c r="C6" s="4" t="inlineStr">
        <is>
          <t>پاک شدن بیت</t>
        </is>
      </c>
      <c r="D6" s="4" t="inlineStr">
        <is>
          <t>FAULT_BATTERY_BACK_MV / FAULT_BAT_RECOVER_MS</t>
        </is>
      </c>
      <c r="E6" s="4" t="inlineStr">
        <is>
          <t>هیسترزیس 1V</t>
        </is>
      </c>
    </row>
    <row r="7">
      <c r="A7" s="4" t="inlineStr">
        <is>
          <t>فریز مود دستی</t>
        </is>
      </c>
      <c r="B7" s="4" t="inlineStr">
        <is>
          <t>IsManualTestModeActive</t>
        </is>
      </c>
      <c r="C7" s="4" t="inlineStr">
        <is>
          <t>بدون Set/Clear، تمپ صفر</t>
        </is>
      </c>
      <c r="D7" s="4" t="inlineStr">
        <is>
          <t>fault.c (v1.2)</t>
        </is>
      </c>
      <c r="E7" s="4" t="inlineStr">
        <is>
          <t>پمپ عمدی عادی‌سازی شد</t>
        </is>
      </c>
    </row>
    <row r="8">
      <c r="A8" s="4" t="inlineStr">
        <is>
          <t>بیت‌های ماسک</t>
        </is>
      </c>
      <c r="B8" s="4" t="inlineStr">
        <is>
          <t>0..6 در app_types.h</t>
        </is>
      </c>
      <c r="C8" s="4" t="inlineStr">
        <is>
          <t>FAULT_CHARGER_BAT_LOST (بیت ۶)</t>
        </is>
      </c>
      <c r="D8" s="4" t="inlineStr">
        <is>
          <t>FAULT_*</t>
        </is>
      </c>
      <c r="E8" s="4" t="inlineStr">
        <is>
          <t>0x40 در تله‌متری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ثبت ایرادهای مشاهده‌شده — ماژول Fault</t>
        </is>
      </c>
    </row>
    <row r="2">
      <c r="A2" s="2" t="inlineStr">
        <is>
          <t>برای هر وضعیت «رد» یا تفاوت مهم، یک ردیف با شناسهٔ یکتا ثبت و پس از اصلاح دوباره تست شود.</t>
        </is>
      </c>
    </row>
    <row r="3">
      <c r="A3" s="3" t="inlineStr">
        <is>
          <t>شماره ایراد</t>
        </is>
      </c>
      <c r="B3" s="3" t="inlineStr">
        <is>
          <t>شناسه تست</t>
        </is>
      </c>
      <c r="C3" s="3" t="inlineStr">
        <is>
          <t>تاریخ کشف</t>
        </is>
      </c>
      <c r="D3" s="3" t="inlineStr">
        <is>
          <t>شدت</t>
        </is>
      </c>
      <c r="E3" s="3" t="inlineStr">
        <is>
          <t>شرح کوتاه ایراد</t>
        </is>
      </c>
      <c r="F3" s="3" t="inlineStr">
        <is>
          <t>مراحل بازتولید</t>
        </is>
      </c>
      <c r="G3" s="3" t="inlineStr">
        <is>
          <t>انتظار</t>
        </is>
      </c>
      <c r="H3" s="3" t="inlineStr">
        <is>
          <t>واقعیت</t>
        </is>
      </c>
      <c r="I3" s="3" t="inlineStr">
        <is>
          <t>مدرک/مسیر عکس یا scope</t>
        </is>
      </c>
      <c r="J3" s="3" t="inlineStr">
        <is>
          <t>commit firmware</t>
        </is>
      </c>
      <c r="K3" s="3" t="inlineStr">
        <is>
          <t>محل احتمالی</t>
        </is>
      </c>
      <c r="L3" s="3" t="inlineStr">
        <is>
          <t>وضعیت ایراد</t>
        </is>
      </c>
      <c r="M3" s="3" t="inlineStr">
        <is>
          <t>تأیید رفع / توضیحات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</cols>
  <sheetData>
    <row r="1">
      <c r="A1" s="1" t="inlineStr">
        <is>
          <t>تأیید نهایی اعتبارسنجی — ماژول Fault</t>
        </is>
      </c>
    </row>
    <row r="2">
      <c r="A2" s="2" t="inlineStr">
        <is>
          <t>این صفحه فقط پس از تکمیل تست‌ها و بسته‌شدن ایرادها پر می‌شود.</t>
        </is>
      </c>
    </row>
    <row r="3">
      <c r="A3" s="2" t="inlineStr">
        <is>
          <t>مشخصات تست</t>
        </is>
      </c>
    </row>
    <row r="4">
      <c r="A4" s="2" t="inlineStr">
        <is>
          <t>پروژه</t>
        </is>
      </c>
      <c r="B4" s="2" t="inlineStr">
        <is>
          <t>ChangeOver</t>
        </is>
      </c>
    </row>
    <row r="5">
      <c r="A5" s="2" t="inlineStr">
        <is>
          <t>ماژول</t>
        </is>
      </c>
      <c r="B5" s="2" t="inlineStr">
        <is>
          <t>Fault — تشخیص متمرکز قطع باتری</t>
        </is>
      </c>
    </row>
    <row r="6">
      <c r="A6" s="2" t="inlineStr">
        <is>
          <t>تاریخ ساخت فرم</t>
        </is>
      </c>
      <c r="B6" s="2" t="inlineStr">
        <is>
          <t>2026-09-23 (1.0 — شامل فریز v1.2)</t>
        </is>
      </c>
    </row>
    <row r="7">
      <c r="A7" s="2" t="inlineStr">
        <is>
          <t>نسخه فرم</t>
        </is>
      </c>
      <c r="B7" s="2" t="inlineStr">
        <is>
          <t>1.0</t>
        </is>
      </c>
    </row>
    <row r="8">
      <c r="A8" s="2" t="inlineStr">
        <is>
          <t>commit firmware</t>
        </is>
      </c>
      <c r="B8" s="2" t="inlineStr">
        <is>
          <t>TESTER: fill</t>
        </is>
      </c>
    </row>
    <row r="9">
      <c r="A9" s="2" t="inlineStr">
        <is>
          <t>ابزار</t>
        </is>
      </c>
      <c r="B9" s="2" t="inlineStr">
        <is>
          <t>پنل ESP + مولتی‌متر + سیم‌کشی تست</t>
        </is>
      </c>
    </row>
    <row r="11">
      <c r="A11" s="5" t="inlineStr">
        <is>
          <t>خلاصهٔ خودکار وضعیت تست‌ها</t>
        </is>
      </c>
    </row>
    <row r="12">
      <c r="A12" s="3" t="inlineStr">
        <is>
          <t>شاخص</t>
        </is>
      </c>
      <c r="B12" s="3" t="inlineStr">
        <is>
          <t>مقدار</t>
        </is>
      </c>
      <c r="C12" s="3" t="inlineStr">
        <is>
          <t>توضیح</t>
        </is>
      </c>
    </row>
    <row r="13">
      <c r="A13" s="6" t="inlineStr">
        <is>
          <t>کل تست‌ها</t>
        </is>
      </c>
      <c r="B13" s="6" t="n">
        <v>10</v>
      </c>
      <c r="C13" s="6" t="inlineStr">
        <is>
          <t>همهٔ ردیف‌های برنامه تست</t>
        </is>
      </c>
    </row>
    <row r="14">
      <c r="A14" s="6" t="inlineStr">
        <is>
          <t>قبول</t>
        </is>
      </c>
      <c r="B14" s="6">
        <f>COUNTIF('برنامه تست'!L:L,"قبول")</f>
        <v/>
      </c>
      <c r="C14" s="6" t="inlineStr">
        <is>
          <t>COUNTIF برنامه تست</t>
        </is>
      </c>
    </row>
    <row r="15">
      <c r="A15" s="6" t="inlineStr">
        <is>
          <t>رد</t>
        </is>
      </c>
      <c r="B15" s="6">
        <f>COUNTIF('برنامه تست'!L:L,"رد")</f>
        <v/>
      </c>
      <c r="C15" s="6" t="inlineStr">
        <is>
          <t>COUNTIF رد</t>
        </is>
      </c>
    </row>
    <row r="16">
      <c r="A16" s="6" t="inlineStr">
        <is>
          <t>در انتظار</t>
        </is>
      </c>
      <c r="B16" s="6">
        <f>COUNTIF('برنامه تست'!L:L,"در انتظار")</f>
        <v/>
      </c>
      <c r="C16" s="6" t="inlineStr">
        <is>
          <t>پیش از تست برد</t>
        </is>
      </c>
    </row>
    <row r="17">
      <c r="A17" s="6" t="inlineStr">
        <is>
          <t>نرخ قبولی</t>
        </is>
      </c>
      <c r="B17" s="6">
        <f>IF(10=0,0,COUNTIF('برنامه تست'!L:L,"قبول")/10)</f>
        <v/>
      </c>
      <c r="C17" s="6" t="inlineStr">
        <is>
          <t>قبول/کل</t>
        </is>
      </c>
    </row>
    <row r="19">
      <c r="A19" s="5" t="inlineStr">
        <is>
          <t>امضا و تأیید: تست‌کننده ______  بازبین ______  تاریخ ______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7" t="inlineStr">
        <is>
          <t>وضعیت</t>
        </is>
      </c>
    </row>
    <row r="2">
      <c r="A2" t="inlineStr">
        <is>
          <t>در انتظار</t>
        </is>
      </c>
    </row>
    <row r="3">
      <c r="A3" t="inlineStr">
        <is>
          <t>قبول</t>
        </is>
      </c>
    </row>
    <row r="4">
      <c r="A4" t="inlineStr">
        <is>
          <t>رد</t>
        </is>
      </c>
    </row>
    <row r="5">
      <c r="A5" t="inlineStr">
        <is>
          <t>مسدود</t>
        </is>
      </c>
    </row>
    <row r="6">
      <c r="A6" t="inlineStr">
        <is>
          <t>نیاز به تکرار</t>
        </is>
      </c>
    </row>
    <row r="8">
      <c r="A8" s="7" t="inlineStr">
        <is>
          <t>اولویت</t>
        </is>
      </c>
    </row>
    <row r="9">
      <c r="B9" t="inlineStr">
        <is>
          <t>بالا</t>
        </is>
      </c>
    </row>
    <row r="10">
      <c r="B10" t="inlineStr">
        <is>
          <t>متوسط</t>
        </is>
      </c>
    </row>
    <row r="11">
      <c r="B11" t="inlineStr">
        <is>
          <t>پایین</t>
        </is>
      </c>
    </row>
    <row r="13">
      <c r="A13" s="7" t="inlineStr">
        <is>
          <t>شدت</t>
        </is>
      </c>
    </row>
    <row r="14">
      <c r="A14" t="inlineStr">
        <is>
          <t>بحرانی</t>
        </is>
      </c>
    </row>
    <row r="15">
      <c r="A15" t="inlineStr">
        <is>
          <t>بالا</t>
        </is>
      </c>
    </row>
    <row r="16">
      <c r="A16" t="inlineStr">
        <is>
          <t>متوسط</t>
        </is>
      </c>
    </row>
    <row r="17">
      <c r="A17" t="inlineStr">
        <is>
          <t>پایین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8" t="inlineStr">
        <is>
          <t>ماشین حالت ماژول خطا (Fault)</t>
        </is>
      </c>
    </row>
    <row r="3" ht="24" customHeight="1">
      <c r="A3" s="9" t="inlineStr">
        <is>
          <t>حالت‌ها و گذارهای همین ماژول</t>
        </is>
      </c>
      <c r="B3" s="10" t="inlineStr">
        <is>
          <t>Fault_State_Machine.xlsx</t>
        </is>
      </c>
    </row>
    <row r="4" ht="24" customHeight="1">
      <c r="A4" s="9" t="inlineStr">
        <is>
          <t>ماشین حالت کل برنامه (نمای سیستمی)</t>
        </is>
      </c>
      <c r="B4" s="10" t="inlineStr">
        <is>
          <t>../../../Documentation/System_State_Machine.xlsx</t>
        </is>
      </c>
    </row>
    <row r="5" ht="24" customHeight="1">
      <c r="A5" s="9" t="inlineStr">
        <is>
          <t>راهنمای رنگ‌ها</t>
        </is>
      </c>
      <c r="B5" s="11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9" t="inlineStr">
        <is>
          <t>بازتولید</t>
        </is>
      </c>
      <c r="B6" s="11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2026-09-23T12:47:22Z</dcterms:created>
  <dcterms:modified xsi:type="dcterms:W3CDTF">2026-10-16T05:02:07Z</dcterms:modified>
</cp:coreProperties>
</file>