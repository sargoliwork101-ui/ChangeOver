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1">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3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1"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84"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88"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88"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89" t="inlineStr">
        <is>
          <t>تاریخچه نسخه</t>
        </is>
      </c>
    </row>
    <row r="21">
      <c r="A21" s="90" t="inlineStr">
        <is>
          <t>تاریخ</t>
        </is>
      </c>
      <c r="B21" s="90" t="inlineStr">
        <is>
          <t>نسخه</t>
        </is>
      </c>
      <c r="C21" s="90" t="inlineStr">
        <is>
          <t>شرح تغییر</t>
        </is>
      </c>
      <c r="D21" s="90" t="inlineStr">
        <is>
          <t>نسخهٔ برنامه</t>
        </is>
      </c>
      <c r="E21" s="91"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95" t="inlineStr">
        <is>
          <t>برنامه تست عملی — ماژول Changeover (قطع/وصل باتری با 3000ms)</t>
        </is>
      </c>
      <c r="Q1" s="82" t="n"/>
    </row>
    <row r="2" ht="30" customHeight="1">
      <c r="A2" s="96" t="inlineStr">
        <is>
          <t>ورودی‌ها بر حسب mV؛ زمان‌ها بر حسب ms. PB11 فقط از BSP_GPIO_PROTECT_BATTERY (فعال Low) — PB5/PB7 ممنوع. ورودی‌ها: valid، v_bat، input_present، flag، fault.</t>
        </is>
      </c>
      <c r="Q2" s="82" t="n"/>
    </row>
    <row r="3" ht="32" customHeight="1">
      <c r="A3" s="97" t="inlineStr">
        <is>
          <t>snapshot نامعتبر → «state فعلی حفظ شود» (نه IDLE ثابت). CO-010/012 باید INPUT باشد. معیار قبولی هر ردیف توضیح می‌دهد PASS چیست و FAIL چیست.</t>
        </is>
      </c>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چه چیزی باید ببینید تا بگویید درست است</t>
        </is>
      </c>
      <c r="J4" s="84" t="inlineStr">
        <is>
          <t>نتیجه واقعی</t>
        </is>
      </c>
      <c r="K4" s="84" t="inlineStr">
        <is>
          <t>وضعیت</t>
        </is>
      </c>
      <c r="L4" s="84" t="inlineStr">
        <is>
          <t>شرح ایراد</t>
        </is>
      </c>
      <c r="M4" s="84" t="inlineStr">
        <is>
          <t>مدرک تست</t>
        </is>
      </c>
      <c r="N4" s="84" t="inlineStr">
        <is>
          <t>نسخهٔ برنامه</t>
        </is>
      </c>
      <c r="O4" s="84" t="inlineStr">
        <is>
          <t>نام تست‌کننده</t>
        </is>
      </c>
      <c r="P4" s="84" t="inlineStr">
        <is>
          <t>تاریخ</t>
        </is>
      </c>
      <c r="Q4" s="84" t="n"/>
    </row>
    <row r="5" ht="54" customHeight="1">
      <c r="A5" s="99" t="inlineStr">
        <is>
          <t>CO-025</t>
        </is>
      </c>
      <c r="B5" s="100" t="inlineStr">
        <is>
          <t>عملکرد واقعی خروجی</t>
        </is>
      </c>
      <c r="C5" s="101" t="inlineStr">
        <is>
          <t>بالا</t>
        </is>
      </c>
      <c r="D5" s="100" t="inlineStr">
        <is>
          <t>دستگاه روشن، باتری وصل و یک بار (مثلاً لامپ) روی خروجی</t>
        </is>
      </c>
      <c r="E5" s="100"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0" t="inlineStr">
        <is>
          <t>باتری از 24 ولت تا زیر 21 ولت</t>
        </is>
      </c>
      <c r="G5" s="101" t="inlineStr">
        <is>
          <t>چند ثانیه</t>
        </is>
      </c>
      <c r="H5" s="100" t="inlineStr">
        <is>
          <t>با افت باتری زیر حد، خروجی بعد از چند ثانیه قطع و بار خاموش می‌شود</t>
        </is>
      </c>
      <c r="I5" s="100"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0" t="inlineStr">
        <is>
          <t>بار قطع شود؛ قطع زودهنگام وقتی باتری هنوز بالای حد است = رد</t>
        </is>
      </c>
      <c r="K5" s="100" t="n"/>
      <c r="L5" s="102" t="inlineStr">
        <is>
          <t>در انتظار</t>
        </is>
      </c>
      <c r="M5" s="100" t="n"/>
      <c r="N5" s="100" t="n"/>
      <c r="O5" s="101" t="n"/>
      <c r="P5" s="101">
        <f>IF(OR(K5="",K5="در انتظار"),"",IF(P5="",TODAY(),P5))</f>
        <v/>
      </c>
      <c r="Q5" s="103" t="n"/>
    </row>
    <row r="6" ht="54" customHeight="1">
      <c r="A6" s="99" t="inlineStr">
        <is>
          <t>CO-026</t>
        </is>
      </c>
      <c r="B6" s="104" t="inlineStr">
        <is>
          <t>عملکرد واقعی خروجی</t>
        </is>
      </c>
      <c r="C6" s="105" t="inlineStr">
        <is>
          <t>بالا</t>
        </is>
      </c>
      <c r="D6" s="106" t="inlineStr">
        <is>
          <t>پایان CO-025 (خروجی قطع است)</t>
        </is>
      </c>
      <c r="E6" s="106"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04" t="inlineStr">
        <is>
          <t>ورودی حاضر + باتری بالای 21.2 ولت</t>
        </is>
      </c>
      <c r="G6" s="105" t="inlineStr">
        <is>
          <t>چند ثانیه</t>
        </is>
      </c>
      <c r="H6" s="104" t="inlineStr">
        <is>
          <t>خروجی وصل و بار روشن می‌شود</t>
        </is>
      </c>
      <c r="I6" s="104" t="inlineStr">
        <is>
          <t>باید ببینید: با برگشت ورودی و باتریِ کافی، خروجی وصل و بار روشن می‌شود. اگر با باتری پایین وصل شد یا اصلاً وصل نشد، قبول نیست.</t>
        </is>
      </c>
      <c r="J6" s="104" t="inlineStr">
        <is>
          <t>بار دوباره روشن شود؛ وصل شدن با باتری پایین = رد</t>
        </is>
      </c>
      <c r="K6" s="104" t="n"/>
      <c r="L6" s="102" t="inlineStr">
        <is>
          <t>در انتظار</t>
        </is>
      </c>
      <c r="M6" s="104" t="n"/>
      <c r="N6" s="104" t="n"/>
      <c r="O6" s="105" t="n"/>
      <c r="P6" s="105">
        <f>IF(OR(K6="",K6="در انتظار"),"",IF(P6="",TODAY(),P6))</f>
        <v/>
      </c>
      <c r="Q6" s="107" t="n"/>
    </row>
    <row r="7" ht="54" customHeight="1">
      <c r="A7" s="99" t="inlineStr">
        <is>
          <t>CO-027</t>
        </is>
      </c>
      <c r="B7" s="100" t="inlineStr">
        <is>
          <t>عملکرد واقعی خروجی</t>
        </is>
      </c>
      <c r="C7" s="101" t="inlineStr">
        <is>
          <t>بالا</t>
        </is>
      </c>
      <c r="D7" s="100" t="inlineStr">
        <is>
          <t>دستگاه با برق شهر و باتری وصل، بار روشن</t>
        </is>
      </c>
      <c r="E7" s="100"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0" t="inlineStr">
        <is>
          <t>قطع و وصل برق شهر</t>
        </is>
      </c>
      <c r="G7" s="101" t="inlineStr">
        <is>
          <t>چند ثانیه</t>
        </is>
      </c>
      <c r="H7" s="100" t="inlineStr">
        <is>
          <t>ادامهٔ بی‌وقفهٔ کار بار و برگشت عادی</t>
        </is>
      </c>
      <c r="I7" s="100" t="inlineStr">
        <is>
          <t>باید ببینید: با قطع و وصل برق شهر، بار هرگز خاموش نمی‌شود و دستگاه بعد از برگشت شهر عادی کار می‌کند. اگر بار لحظه‌ای هم خاموش شد، قبول نیست.</t>
        </is>
      </c>
      <c r="J7" s="100" t="inlineStr">
        <is>
          <t>بار هرگز خاموش نشود و دستگاه بعد از برگشت شهر عادی کار کند</t>
        </is>
      </c>
      <c r="K7" s="100" t="n"/>
      <c r="L7" s="102" t="inlineStr">
        <is>
          <t>در انتظار</t>
        </is>
      </c>
      <c r="M7" s="100" t="n"/>
      <c r="N7" s="100" t="n"/>
      <c r="O7" s="101" t="n"/>
      <c r="P7" s="101">
        <f>IF(OR(K7="",K7="در انتظار"),"",IF(P7="",TODAY(),P7))</f>
        <v/>
      </c>
      <c r="Q7" s="103" t="n"/>
    </row>
    <row r="8" ht="54" customHeight="1">
      <c r="A8" s="99" t="inlineStr">
        <is>
          <t>CO-028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هیچ تکانی روشن بماند</t>
        </is>
      </c>
      <c r="K8" s="104" t="n"/>
      <c r="L8" s="102" t="inlineStr">
        <is>
          <t>در انتظار</t>
        </is>
      </c>
      <c r="M8" s="104" t="n"/>
      <c r="N8" s="104" t="n"/>
      <c r="O8" s="105" t="n"/>
      <c r="P8" s="105">
        <f>IF(OR(K8="",K8="در انتظار"),"",IF(P8="",TODAY(),P8))</f>
        <v/>
      </c>
      <c r="Q8" s="107" t="n"/>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3">
    <mergeCell ref="A1:P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نسخهٔ برنامه</t>
        </is>
      </c>
      <c r="O4" s="84" t="inlineStr">
        <is>
          <t>نام تست‌کننده</t>
        </is>
      </c>
      <c r="P4" s="84" t="inlineStr">
        <is>
          <t>تاریخ</t>
        </is>
      </c>
      <c r="Q4" s="84" t="n"/>
    </row>
    <row r="5" ht="54" customHeight="1">
      <c r="A5" s="99" t="inlineStr">
        <is>
          <t>CO-001</t>
        </is>
      </c>
      <c r="B5" s="100" t="inlineStr">
        <is>
          <t>Snapshot نامعتبر / حفظ</t>
        </is>
      </c>
      <c r="C5" s="110" t="inlineStr">
        <is>
          <t>بالا</t>
        </is>
      </c>
      <c r="D5" s="100" t="inlineStr">
        <is>
          <t>Init → BOOT, PB11 High-safe</t>
        </is>
      </c>
      <c r="E5" s="100"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1" t="inlineStr">
        <is>
          <t>valid=false, v=24000, input=false, flag false, fault0</t>
        </is>
      </c>
      <c r="G5" s="101" t="inlineStr">
        <is>
          <t>500ms</t>
        </is>
      </c>
      <c r="H5" s="100" t="inlineStr">
        <is>
          <t>state حفظ شود: «state فعلی حفظ شود» (BOOT/BATTERY/INPUT/SAFE قبلی) و PB11 حفظ (High-safe). PASS: state و PB11 بدون تغییر. FAIL: هر تغییر به FAULT یا IDLE یا تغییر PB11.</t>
        </is>
      </c>
      <c r="I5" s="100" t="inlineStr">
        <is>
          <t>PASS: state فعلی حفظ. FAIL: تغییر خودبه‌خود.</t>
        </is>
      </c>
      <c r="J5" s="111" t="n"/>
      <c r="K5" s="112" t="inlineStr">
        <is>
          <t>در انتظار</t>
        </is>
      </c>
      <c r="L5" s="113" t="n"/>
      <c r="M5" s="100" t="n"/>
      <c r="N5" s="100" t="inlineStr">
        <is>
          <t>c6b084f28f2c507cfd342e5dbd0dbd8e45686772</t>
        </is>
      </c>
      <c r="O5" s="101" t="n"/>
      <c r="P5" s="101" t="n"/>
      <c r="Q5" s="103">
        <f>IF(OR(L5="",L5="در انتظار"),"",IF(Q5="",TODAY(),Q5))</f>
        <v/>
      </c>
    </row>
    <row r="6" ht="67.5" customHeight="1">
      <c r="A6" s="99" t="inlineStr">
        <is>
          <t>CO-002</t>
        </is>
      </c>
      <c r="B6" s="104" t="inlineStr">
        <is>
          <t>Snapshot نامعتبر / تایمر reset</t>
        </is>
      </c>
      <c r="C6" s="114" t="inlineStr">
        <is>
          <t>بالا</t>
        </is>
      </c>
      <c r="D6" s="104" t="inlineStr">
        <is>
          <t>BATTERY با شرط قطع نیمه‌کاره</t>
        </is>
      </c>
      <c r="E6" s="104"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05" t="inlineStr">
        <is>
          <t>valid true 2s → false 1s → true 2s, v20900 flag true</t>
        </is>
      </c>
      <c r="G6" s="105" t="inlineStr">
        <is>
          <t>2+1+2s</t>
        </is>
      </c>
      <c r="H6" s="104"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04" t="inlineStr">
        <is>
          <t>PASS: reset پس از invalid. FAIL: قطع زود.</t>
        </is>
      </c>
      <c r="J6" s="104" t="n"/>
      <c r="K6" s="104" t="inlineStr">
        <is>
          <t>در انتظار</t>
        </is>
      </c>
      <c r="L6" s="115" t="n"/>
      <c r="M6" s="104" t="n"/>
      <c r="N6" s="104" t="inlineStr">
        <is>
          <t>c6b084f28f2c507cfd342e5dbd0dbd8e45686772</t>
        </is>
      </c>
      <c r="O6" s="105" t="n"/>
      <c r="P6" s="105" t="n"/>
      <c r="Q6" s="107">
        <f>IF(OR(L6="",L6="در انتظار"),"",IF(Q6="",TODAY(),Q6))</f>
        <v/>
      </c>
    </row>
    <row r="7" ht="54" customHeight="1">
      <c r="A7" s="99" t="inlineStr">
        <is>
          <t>CO-003</t>
        </is>
      </c>
      <c r="B7" s="100" t="inlineStr">
        <is>
          <t>Snapshot نامعتبر + Fault</t>
        </is>
      </c>
      <c r="C7" s="110" t="inlineStr">
        <is>
          <t>بالا</t>
        </is>
      </c>
      <c r="D7" s="100" t="inlineStr">
        <is>
          <t>BATTERY</t>
        </is>
      </c>
      <c r="E7" s="100"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1" t="inlineStr">
        <is>
          <t>valid=false, fault=1 (ADC), v25000</t>
        </is>
      </c>
      <c r="G7" s="101" t="inlineStr">
        <is>
          <t>500ms</t>
        </is>
      </c>
      <c r="H7" s="100" t="inlineStr">
        <is>
          <t>state حفظ شود (نه FAULT)، PB11 حفظ، تایمر reset. PASS: fault همراه invalid نباید FAULT شود. FAIL: FAULT شدن.</t>
        </is>
      </c>
      <c r="I7" s="100" t="inlineStr">
        <is>
          <t>PASS: حفظ state قبلی. FAIL: FAULT.</t>
        </is>
      </c>
      <c r="J7" s="111" t="n"/>
      <c r="K7" s="112" t="inlineStr">
        <is>
          <t>در انتظار</t>
        </is>
      </c>
      <c r="L7" s="113" t="n"/>
      <c r="M7" s="100" t="n"/>
      <c r="N7" s="100" t="inlineStr">
        <is>
          <t>c6b084f28f2c507cfd342e5dbd0dbd8e45686772</t>
        </is>
      </c>
      <c r="O7" s="101" t="n"/>
      <c r="P7" s="101" t="n"/>
      <c r="Q7" s="103">
        <f>IF(OR(L7="",L7="در انتظار"),"",IF(Q7="",TODAY(),Q7))</f>
        <v/>
      </c>
    </row>
    <row r="8" ht="54" customHeight="1">
      <c r="A8" s="99" t="inlineStr">
        <is>
          <t>CO-004</t>
        </is>
      </c>
      <c r="B8" s="104" t="inlineStr">
        <is>
          <t>Fault با snapshot معتبر</t>
        </is>
      </c>
      <c r="C8" s="114" t="inlineStr">
        <is>
          <t>بالا</t>
        </is>
      </c>
      <c r="D8" s="104" t="inlineStr">
        <is>
          <t>INPUT/BATTERY</t>
        </is>
      </c>
      <c r="E8" s="104"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05" t="inlineStr">
        <is>
          <t>valid=true, v24000, input true, fault 1</t>
        </is>
      </c>
      <c r="G8" s="105" t="inlineStr">
        <is>
          <t>500ms</t>
        </is>
      </c>
      <c r="H8" s="104" t="inlineStr">
        <is>
          <t>state=FAULT، PB11 حفظ (بدون تغییر High→Low)، تایمر reset. PASS: FAULT بدون تغییر PB11. FAIL: تغییر PB11 یا ماندن در INPUT.</t>
        </is>
      </c>
      <c r="I8" s="104" t="inlineStr">
        <is>
          <t>PASS: FAULT و PB11 حفظ. FAIL: تغییر PB11.</t>
        </is>
      </c>
      <c r="J8" s="104" t="n"/>
      <c r="K8" s="104" t="inlineStr">
        <is>
          <t>در انتظار</t>
        </is>
      </c>
      <c r="L8" s="115" t="n"/>
      <c r="M8" s="104" t="n"/>
      <c r="N8" s="104" t="inlineStr">
        <is>
          <t>c6b084f28f2c507cfd342e5dbd0dbd8e45686772</t>
        </is>
      </c>
      <c r="O8" s="105" t="n"/>
      <c r="P8" s="105" t="n"/>
      <c r="Q8" s="107">
        <f>IF(OR(L8="",L8="در انتظار"),"",IF(Q8="",TODAY(),Q8))</f>
        <v/>
      </c>
    </row>
    <row r="9" ht="54" customHeight="1">
      <c r="A9" s="99" t="inlineStr">
        <is>
          <t>CO-005</t>
        </is>
      </c>
      <c r="B9" s="100" t="inlineStr">
        <is>
          <t>Fault چند بیتی</t>
        </is>
      </c>
      <c r="C9" s="101" t="inlineStr">
        <is>
          <t>متوسط</t>
        </is>
      </c>
      <c r="D9" s="100" t="inlineStr">
        <is>
          <t>FAULT قبلی</t>
        </is>
      </c>
      <c r="E9" s="100"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1" t="inlineStr">
        <is>
          <t>valid true, fault ALL</t>
        </is>
      </c>
      <c r="G9" s="101" t="inlineStr">
        <is>
          <t>500ms</t>
        </is>
      </c>
      <c r="H9" s="100" t="inlineStr">
        <is>
          <t>state=FAULT، هیچ pin (PB11/PB5/PB7) تغییر نکند. PASS: همه fault‌ها → FAULT بدون pin. FAIL: هر تغییر pin.</t>
        </is>
      </c>
      <c r="I9" s="100" t="inlineStr">
        <is>
          <t>PASS: همه fault → FAULT no pin. FAIL: pin change.</t>
        </is>
      </c>
      <c r="J9" s="111" t="n"/>
      <c r="K9" s="112" t="inlineStr">
        <is>
          <t>در انتظار</t>
        </is>
      </c>
      <c r="L9" s="113" t="n"/>
      <c r="M9" s="100" t="n"/>
      <c r="N9" s="100" t="inlineStr">
        <is>
          <t>c6b084f28f2c507cfd342e5dbd0dbd8e45686772</t>
        </is>
      </c>
      <c r="O9" s="101" t="n"/>
      <c r="P9" s="101" t="n"/>
      <c r="Q9" s="103">
        <f>IF(OR(L9="",L9="در انتظار"),"",IF(Q9="",TODAY(),Q9))</f>
        <v/>
      </c>
    </row>
    <row r="10" ht="54" customHeight="1">
      <c r="A10" s="99" t="inlineStr">
        <is>
          <t>CO-006</t>
        </is>
      </c>
      <c r="B10" s="104" t="inlineStr">
        <is>
          <t>ورودی قطع → BATTERY</t>
        </is>
      </c>
      <c r="C10" s="114" t="inlineStr">
        <is>
          <t>بالا</t>
        </is>
      </c>
      <c r="D10" s="104" t="inlineStr">
        <is>
          <t>BOOT با snapshot معتبر</t>
        </is>
      </c>
      <c r="E10" s="104"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05" t="inlineStr">
        <is>
          <t>valid true, v24000, input false</t>
        </is>
      </c>
      <c r="G10" s="105" t="inlineStr">
        <is>
          <t>500ms</t>
        </is>
      </c>
      <c r="H10" s="104" t="inlineStr">
        <is>
          <t>state=BATTERY, PB11 High-safe (متصل). PASS: BATTERY. FAIL: INPUT یا SAFE یا FAULT.</t>
        </is>
      </c>
      <c r="I10" s="104" t="inlineStr">
        <is>
          <t>PASS: BATTERY. FAIL: otherwise.</t>
        </is>
      </c>
      <c r="J10" s="104" t="n"/>
      <c r="K10" s="104" t="inlineStr">
        <is>
          <t>در انتظار</t>
        </is>
      </c>
      <c r="L10" s="115" t="n"/>
      <c r="M10" s="104" t="n"/>
      <c r="N10" s="104" t="inlineStr">
        <is>
          <t>c6b084f28f2c507cfd342e5dbd0dbd8e45686772</t>
        </is>
      </c>
      <c r="O10" s="105" t="n"/>
      <c r="P10" s="105" t="n"/>
      <c r="Q10" s="107">
        <f>IF(OR(L10="",L10="در انتظار"),"",IF(Q10="",TODAY(),Q10))</f>
        <v/>
      </c>
    </row>
    <row r="11" ht="54" customHeight="1">
      <c r="A11" s="99" t="inlineStr">
        <is>
          <t>CO-007</t>
        </is>
      </c>
      <c r="B11" s="100" t="inlineStr">
        <is>
          <t>ورودی حاضر → INPUT</t>
        </is>
      </c>
      <c r="C11" s="110" t="inlineStr">
        <is>
          <t>بالا</t>
        </is>
      </c>
      <c r="D11" s="100" t="inlineStr">
        <is>
          <t>BOOT/BATTERY</t>
        </is>
      </c>
      <c r="E11" s="100"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1" t="inlineStr">
        <is>
          <t>valid true, v24000, input true</t>
        </is>
      </c>
      <c r="G11" s="101" t="inlineStr">
        <is>
          <t>500ms</t>
        </is>
      </c>
      <c r="H11" s="100" t="inlineStr">
        <is>
          <t>state=INPUT, PB11 High-safe. PASS: INPUT. FAIL: BATTERY یا SAFE.</t>
        </is>
      </c>
      <c r="I11" s="100" t="inlineStr">
        <is>
          <t>PASS: INPUT. FAIL: otherwise.</t>
        </is>
      </c>
      <c r="J11" s="111" t="n"/>
      <c r="K11" s="112" t="inlineStr">
        <is>
          <t>در انتظار</t>
        </is>
      </c>
      <c r="L11" s="113" t="n"/>
      <c r="M11" s="100" t="n"/>
      <c r="N11" s="100" t="inlineStr">
        <is>
          <t>c6b084f28f2c507cfd342e5dbd0dbd8e45686772</t>
        </is>
      </c>
      <c r="O11" s="101" t="n"/>
      <c r="P11" s="101" t="n"/>
      <c r="Q11" s="103">
        <f>IF(OR(L11="",L11="در انتظار"),"",IF(Q11="",TODAY(),Q11))</f>
        <v/>
      </c>
    </row>
    <row r="12" ht="54" customHeight="1">
      <c r="A12" s="99" t="inlineStr">
        <is>
          <t>CO-008</t>
        </is>
      </c>
      <c r="B12" s="104" t="inlineStr">
        <is>
          <t>قطع با گیت / 21000 + flag</t>
        </is>
      </c>
      <c r="C12" s="114" t="inlineStr">
        <is>
          <t>بالا</t>
        </is>
      </c>
      <c r="D12" s="104" t="inlineStr">
        <is>
          <t>BATTERY/INPUT, PB11 High</t>
        </is>
      </c>
      <c r="E12" s="104"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05" t="inlineStr">
        <is>
          <t>v20900 (&lt;21000) flag true</t>
        </is>
      </c>
      <c r="G12" s="105" t="inlineStr">
        <is>
          <t>3500ms (≥3000)</t>
        </is>
      </c>
      <c r="H12" s="104" t="inlineStr">
        <is>
          <t>پس از 2500ms هنوز BATTERY/INPUT و PB11 High؛ پس از 3000ms PB11 Low (قطع) و state=SAFE. PASS: قطع فقط پس از 3000ms پیوسته. FAIL: قطع زود یا عدم قطع.</t>
        </is>
      </c>
      <c r="I12" s="104" t="inlineStr">
        <is>
          <t>PASS: 2500 still no cut, 3000 SAFE. FAIL: early or no cut.</t>
        </is>
      </c>
      <c r="J12" s="104" t="n"/>
      <c r="K12" s="104" t="inlineStr">
        <is>
          <t>در انتظار</t>
        </is>
      </c>
      <c r="L12" s="115" t="n"/>
      <c r="M12" s="104" t="n"/>
      <c r="N12" s="104" t="inlineStr">
        <is>
          <t>c6b084f28f2c507cfd342e5dbd0dbd8e45686772</t>
        </is>
      </c>
      <c r="O12" s="105" t="n"/>
      <c r="P12" s="105" t="n"/>
      <c r="Q12" s="107">
        <f>IF(OR(L12="",L12="در انتظار"),"",IF(Q12="",TODAY(),Q12))</f>
        <v/>
      </c>
    </row>
    <row r="13" ht="54" customHeight="1">
      <c r="A13" s="99" t="inlineStr">
        <is>
          <t>CO-009</t>
        </is>
      </c>
      <c r="B13" s="100" t="inlineStr">
        <is>
          <t>قطع مستقل / 20800</t>
        </is>
      </c>
      <c r="C13" s="110" t="inlineStr">
        <is>
          <t>بالا</t>
        </is>
      </c>
      <c r="D13" s="100" t="inlineStr">
        <is>
          <t>BATTERY, flag false</t>
        </is>
      </c>
      <c r="E13" s="100"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1" t="inlineStr">
        <is>
          <t>v20700 (&lt;20800) flag false</t>
        </is>
      </c>
      <c r="G13" s="101" t="inlineStr">
        <is>
          <t>3500ms</t>
        </is>
      </c>
      <c r="H13" s="100" t="inlineStr">
        <is>
          <t>پس از 3000ms SAFE با PB11 Low مستقل از flag. PASS: مستقل cuts. FAIL: عدم قطع به علت flag false.</t>
        </is>
      </c>
      <c r="I13" s="100" t="inlineStr">
        <is>
          <t>PASS: independent cut. FAIL: no cut due flag.</t>
        </is>
      </c>
      <c r="J13" s="111" t="n"/>
      <c r="K13" s="112" t="inlineStr">
        <is>
          <t>در انتظار</t>
        </is>
      </c>
      <c r="L13" s="113" t="n"/>
      <c r="M13" s="100" t="n"/>
      <c r="N13" s="100" t="inlineStr">
        <is>
          <t>c6b084f28f2c507cfd342e5dbd0dbd8e45686772</t>
        </is>
      </c>
      <c r="O13" s="101" t="n"/>
      <c r="P13" s="101" t="n"/>
      <c r="Q13" s="103">
        <f>IF(OR(L13="",L13="در انتظار"),"",IF(Q13="",TODAY(),Q13))</f>
        <v/>
      </c>
    </row>
    <row r="14" ht="54" customHeight="1">
      <c r="A14" s="99" t="inlineStr">
        <is>
          <t>CO-010</t>
        </is>
      </c>
      <c r="B14" s="104" t="inlineStr">
        <is>
          <t>مرز دقیق 21000 نباید cut</t>
        </is>
      </c>
      <c r="C14" s="114" t="inlineStr">
        <is>
          <t>بالا</t>
        </is>
      </c>
      <c r="D14" s="104" t="inlineStr">
        <is>
          <t>BATTERY</t>
        </is>
      </c>
      <c r="E14" s="104"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05" t="inlineStr">
        <is>
          <t>valid=true, v=21000 (دقیق) flag=true, input=true (Vin≥21V)</t>
        </is>
      </c>
      <c r="G14" s="105" t="inlineStr">
        <is>
          <t>3500ms</t>
        </is>
      </c>
      <c r="H14" s="104" t="inlineStr">
        <is>
          <t>هیچ قطع رخ ندهد، state=INPUT (چون input_present=true و بدون cut) و PB11 High-safe بماند. PASS: با input حاضر، بدون قطع باید INPUT باشد، نه BATTERY یا SAFE. FAIL: BATTERY/SAFE یا تغییر PB11.</t>
        </is>
      </c>
      <c r="I14" s="104" t="inlineStr">
        <is>
          <t>PASS: با v=21000 و input true، state=INPUT و PB11 High. FAIL: هر cut یا BATTERY.</t>
        </is>
      </c>
      <c r="J14" s="104" t="n"/>
      <c r="K14" s="104" t="inlineStr">
        <is>
          <t>در انتظار</t>
        </is>
      </c>
      <c r="L14" s="115" t="n"/>
      <c r="M14" s="104" t="n"/>
      <c r="N14" s="104" t="inlineStr">
        <is>
          <t>c6b084f28f2c507cfd342e5dbd0dbd8e45686772</t>
        </is>
      </c>
      <c r="O14" s="105" t="n"/>
      <c r="P14" s="105" t="n"/>
      <c r="Q14" s="107">
        <f>IF(OR(L14="",L14="در انتظار"),"",IF(Q14="",TODAY(),Q14))</f>
        <v/>
      </c>
    </row>
    <row r="15" ht="54" customHeight="1">
      <c r="A15" s="99" t="inlineStr">
        <is>
          <t>CO-011</t>
        </is>
      </c>
      <c r="B15" s="100" t="inlineStr">
        <is>
          <t>مرز دقیق 20800 نباید cut</t>
        </is>
      </c>
      <c r="C15" s="110" t="inlineStr">
        <is>
          <t>بالا</t>
        </is>
      </c>
      <c r="D15" s="100" t="inlineStr">
        <is>
          <t>BATTERY</t>
        </is>
      </c>
      <c r="E15" s="100"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1" t="inlineStr">
        <is>
          <t>v=20800 flag false</t>
        </is>
      </c>
      <c r="G15" s="101" t="inlineStr">
        <is>
          <t>3500ms</t>
        </is>
      </c>
      <c r="H15" s="100" t="inlineStr">
        <is>
          <t>هیچ قطع نشود. PASS: need &lt;20800. FAIL: cut at exact.</t>
        </is>
      </c>
      <c r="I15" s="100" t="inlineStr">
        <is>
          <t>PASS: 20800 no independent cut. FAIL: cut.</t>
        </is>
      </c>
      <c r="J15" s="111" t="n"/>
      <c r="K15" s="112" t="inlineStr">
        <is>
          <t>در انتظار</t>
        </is>
      </c>
      <c r="L15" s="113" t="n"/>
      <c r="M15" s="100" t="n"/>
      <c r="N15" s="100" t="inlineStr">
        <is>
          <t>c6b084f28f2c507cfd342e5dbd0dbd8e45686772</t>
        </is>
      </c>
      <c r="O15" s="101" t="n"/>
      <c r="P15" s="101" t="n"/>
      <c r="Q15" s="103">
        <f>IF(OR(L15="",L15="در انتظار"),"",IF(Q15="",TODAY(),Q15))</f>
        <v/>
      </c>
    </row>
    <row r="16" ht="54" customHeight="1">
      <c r="A16" s="99" t="inlineStr">
        <is>
          <t>CO-012</t>
        </is>
      </c>
      <c r="B16" s="104" t="inlineStr">
        <is>
          <t>قطع &lt;3000ms نباید</t>
        </is>
      </c>
      <c r="C16" s="114" t="inlineStr">
        <is>
          <t>بالا</t>
        </is>
      </c>
      <c r="D16" s="104" t="inlineStr">
        <is>
          <t>BATTERY</t>
        </is>
      </c>
      <c r="E16" s="104"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05" t="inlineStr">
        <is>
          <t>valid=true, v=20900 (&lt;21000) flag=true, input=true, فقط 2500ms (&lt;3000)</t>
        </is>
      </c>
      <c r="G16" s="105" t="inlineStr">
        <is>
          <t>2500ms</t>
        </is>
      </c>
      <c r="H16" s="104" t="inlineStr">
        <is>
          <t>پس از 2500ms هنوز state=INPUT (چون input true و هنوز SAFE نشده) و PB11 High. PASS: &lt;3000ms هنوز INPUT، نه SAFE. FAIL: SAFE زود یا BATTERY.</t>
        </is>
      </c>
      <c r="I16" s="104" t="inlineStr">
        <is>
          <t>PASS: 2500ms still INPUT (no cut). FAIL: early SAFE یا BATTERY.</t>
        </is>
      </c>
      <c r="J16" s="104" t="n"/>
      <c r="K16" s="104" t="inlineStr">
        <is>
          <t>در انتظار</t>
        </is>
      </c>
      <c r="L16" s="115" t="n"/>
      <c r="M16" s="104" t="n"/>
      <c r="N16" s="104" t="inlineStr">
        <is>
          <t>c6b084f28f2c507cfd342e5dbd0dbd8e45686772</t>
        </is>
      </c>
      <c r="O16" s="105" t="n"/>
      <c r="P16" s="105" t="n"/>
      <c r="Q16" s="107">
        <f>IF(OR(L16="",L16="در انتظار"),"",IF(Q16="",TODAY(),Q16))</f>
        <v/>
      </c>
    </row>
    <row r="17" ht="54" customHeight="1">
      <c r="A17" s="99" t="inlineStr">
        <is>
          <t>CO-013</t>
        </is>
      </c>
      <c r="B17" s="100" t="inlineStr">
        <is>
          <t>وصل مجدد / 21200 + input</t>
        </is>
      </c>
      <c r="C17" s="110" t="inlineStr">
        <is>
          <t>بالا</t>
        </is>
      </c>
      <c r="D17" s="100" t="inlineStr">
        <is>
          <t>SAFE, PB11 Low</t>
        </is>
      </c>
      <c r="E17" s="11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1" t="inlineStr">
        <is>
          <t>SAFE, input true, v21300</t>
        </is>
      </c>
      <c r="G17" s="101" t="inlineStr">
        <is>
          <t>3500ms</t>
        </is>
      </c>
      <c r="H17" s="100" t="inlineStr">
        <is>
          <t>قبل از 3000ms: SAFE و PB11 Low؛ بعد از 3000ms: INPUT و PB11 High. PASS: reconnect پس از 3000ms با PB11 High. FAIL: reconnect زود یا PB11 Low ماندن.</t>
        </is>
      </c>
      <c r="I17" s="100" t="inlineStr">
        <is>
          <t>PASS: قبل 3000 SAFE Low، بعد 3000 INPUT High. FAIL: early or no reconnect.</t>
        </is>
      </c>
      <c r="J17" s="111" t="n"/>
      <c r="K17" s="112" t="inlineStr">
        <is>
          <t>در انتظار</t>
        </is>
      </c>
      <c r="L17" s="113" t="n"/>
      <c r="M17" s="100" t="n"/>
      <c r="N17" s="100" t="inlineStr">
        <is>
          <t>c6b084f28f2c507cfd342e5dbd0dbd8e45686772</t>
        </is>
      </c>
      <c r="O17" s="101" t="n"/>
      <c r="P17" s="101" t="n"/>
      <c r="Q17" s="103">
        <f>IF(OR(L17="",L17="در انتظار"),"",IF(Q17="",TODAY(),Q17))</f>
        <v/>
      </c>
    </row>
    <row r="18" ht="54" customHeight="1">
      <c r="A18" s="99" t="inlineStr">
        <is>
          <t>CO-014</t>
        </is>
      </c>
      <c r="B18" s="104" t="inlineStr">
        <is>
          <t>مرز دقیق 21200 باید reconnect</t>
        </is>
      </c>
      <c r="C18" s="114" t="inlineStr">
        <is>
          <t>بالا</t>
        </is>
      </c>
      <c r="D18" s="104" t="inlineStr">
        <is>
          <t>SAFE</t>
        </is>
      </c>
      <c r="E18" s="104"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05" t="inlineStr">
        <is>
          <t>v=21200 input true</t>
        </is>
      </c>
      <c r="G18" s="105" t="inlineStr">
        <is>
          <t>3500ms</t>
        </is>
      </c>
      <c r="H18" s="104" t="inlineStr">
        <is>
          <t>پس از 3000ms INPUT و PB11 High. PASS: ≥21200 reconnect. FAIL: no reconnect at 21200.</t>
        </is>
      </c>
      <c r="I18" s="104" t="inlineStr">
        <is>
          <t>PASS: 21200 reconnects (need ≥). FAIL: no.</t>
        </is>
      </c>
      <c r="J18" s="104" t="n"/>
      <c r="K18" s="104" t="inlineStr">
        <is>
          <t>در انتظار</t>
        </is>
      </c>
      <c r="L18" s="115" t="n"/>
      <c r="M18" s="104" t="n"/>
      <c r="N18" s="104" t="inlineStr">
        <is>
          <t>c6b084f28f2c507cfd342e5dbd0dbd8e45686772</t>
        </is>
      </c>
      <c r="O18" s="105" t="n"/>
      <c r="P18" s="105" t="n"/>
      <c r="Q18" s="107">
        <f>IF(OR(L18="",L18="در انتظار"),"",IF(Q18="",TODAY(),Q18))</f>
        <v/>
      </c>
    </row>
    <row r="19" ht="54" customHeight="1">
      <c r="A19" s="99" t="inlineStr">
        <is>
          <t>CO-015</t>
        </is>
      </c>
      <c r="B19" s="100" t="inlineStr">
        <is>
          <t>reconnect &lt;3000 نباید</t>
        </is>
      </c>
      <c r="C19" s="110" t="inlineStr">
        <is>
          <t>بالا</t>
        </is>
      </c>
      <c r="D19" s="100" t="inlineStr">
        <is>
          <t>SAFE</t>
        </is>
      </c>
      <c r="E19" s="100"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1" t="inlineStr">
        <is>
          <t>v21300 input true</t>
        </is>
      </c>
      <c r="G19" s="101" t="inlineStr">
        <is>
          <t>2500ms</t>
        </is>
      </c>
      <c r="H19" s="100" t="inlineStr">
        <is>
          <t>هنوز SAFE و PB11 Low. PASS: &lt;3s no reconnect. FAIL: زود وصل.</t>
        </is>
      </c>
      <c r="I19" s="100" t="inlineStr">
        <is>
          <t>PASS: 2500 still SAFE. FAIL: INPUT early.</t>
        </is>
      </c>
      <c r="J19" s="111" t="n"/>
      <c r="K19" s="112" t="inlineStr">
        <is>
          <t>در انتظار</t>
        </is>
      </c>
      <c r="L19" s="113" t="n"/>
      <c r="M19" s="100" t="n"/>
      <c r="N19" s="100" t="inlineStr">
        <is>
          <t>c6b084f28f2c507cfd342e5dbd0dbd8e45686772</t>
        </is>
      </c>
      <c r="O19" s="101" t="n"/>
      <c r="P19" s="101" t="n"/>
      <c r="Q19" s="103">
        <f>IF(OR(L19="",L19="در انتظار"),"",IF(Q19="",TODAY(),Q19))</f>
        <v/>
      </c>
    </row>
    <row r="20" ht="40.5" customHeight="1">
      <c r="A20" s="99" t="inlineStr">
        <is>
          <t>CO-016</t>
        </is>
      </c>
      <c r="B20" s="104" t="inlineStr">
        <is>
          <t>پس از reconnect state INPUT</t>
        </is>
      </c>
      <c r="C20" s="114" t="inlineStr">
        <is>
          <t>بالا</t>
        </is>
      </c>
      <c r="D20" s="106" t="inlineStr">
        <is>
          <t>پس از CO-013</t>
        </is>
      </c>
      <c r="E20" s="106"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05" t="inlineStr">
        <is>
          <t>post-reconnect</t>
        </is>
      </c>
      <c r="G20" s="105" t="inlineStr">
        <is>
          <t>100ms</t>
        </is>
      </c>
      <c r="H20" s="104" t="inlineStr">
        <is>
          <t>state=INPUT باشد، نه IDLE (IDLE برای معتبر ممنوع). PASS: INPUT. FAIL: IDLE.</t>
        </is>
      </c>
      <c r="I20" s="104" t="inlineStr">
        <is>
          <t>PASS: INPUT not IDLE. FAIL: IDLE.</t>
        </is>
      </c>
      <c r="J20" s="104" t="n"/>
      <c r="K20" s="104" t="inlineStr">
        <is>
          <t>در انتظار</t>
        </is>
      </c>
      <c r="L20" s="115" t="n"/>
      <c r="M20" s="104" t="n"/>
      <c r="N20" s="104" t="inlineStr">
        <is>
          <t>c6b084f28f2c507cfd342e5dbd0dbd8e45686772</t>
        </is>
      </c>
      <c r="O20" s="105" t="n"/>
      <c r="P20" s="105" t="n"/>
      <c r="Q20" s="107">
        <f>IF(OR(L20="",L20="در انتظار"),"",IF(Q20="",TODAY(),Q20))</f>
        <v/>
      </c>
    </row>
    <row r="21" ht="40.5" customHeight="1">
      <c r="A21" s="99" t="inlineStr">
        <is>
          <t>CO-017</t>
        </is>
      </c>
      <c r="B21" s="100" t="inlineStr">
        <is>
          <t>PB11 در invalid حفظ</t>
        </is>
      </c>
      <c r="C21" s="110" t="inlineStr">
        <is>
          <t>بالا</t>
        </is>
      </c>
      <c r="D21" s="100" t="inlineStr">
        <is>
          <t>INPUT با PB11 High</t>
        </is>
      </c>
      <c r="E21" s="100"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1" t="inlineStr">
        <is>
          <t>valid true→false</t>
        </is>
      </c>
      <c r="G21" s="101" t="inlineStr">
        <is>
          <t>500ms</t>
        </is>
      </c>
      <c r="H21" s="100" t="inlineStr">
        <is>
          <t>PB11 Low-High بدون تغییر بماند (High). PASS: حفظ. FAIL: تغییر.</t>
        </is>
      </c>
      <c r="I21" s="100" t="inlineStr">
        <is>
          <t>PASS: PB11 preserved in invalid. FAIL: change.</t>
        </is>
      </c>
      <c r="J21" s="111" t="n"/>
      <c r="K21" s="112" t="inlineStr">
        <is>
          <t>در انتظار</t>
        </is>
      </c>
      <c r="L21" s="113" t="n"/>
      <c r="M21" s="100" t="n"/>
      <c r="N21" s="100" t="inlineStr">
        <is>
          <t>c6b084f28f2c507cfd342e5dbd0dbd8e45686772</t>
        </is>
      </c>
      <c r="O21" s="101" t="n"/>
      <c r="P21" s="101" t="n"/>
      <c r="Q21" s="103">
        <f>IF(OR(L21="",L21="در انتظار"),"",IF(Q21="",TODAY(),Q21))</f>
        <v/>
      </c>
    </row>
    <row r="22" ht="54" customHeight="1">
      <c r="A22" s="99" t="inlineStr">
        <is>
          <t>CO-018</t>
        </is>
      </c>
      <c r="B22" s="104" t="inlineStr">
        <is>
          <t>PB11 در fault حفظ</t>
        </is>
      </c>
      <c r="C22" s="114" t="inlineStr">
        <is>
          <t>بالا</t>
        </is>
      </c>
      <c r="D22" s="104" t="inlineStr">
        <is>
          <t>INPUT</t>
        </is>
      </c>
      <c r="E22" s="104"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05" t="inlineStr">
        <is>
          <t>valid true fault1</t>
        </is>
      </c>
      <c r="G22" s="105" t="inlineStr">
        <is>
          <t>500ms</t>
        </is>
      </c>
      <c r="H22" s="104" t="inlineStr">
        <is>
          <t>PB11 حفظ (High). PASS. FAIL: Low شدن.</t>
        </is>
      </c>
      <c r="I22" s="104" t="inlineStr">
        <is>
          <t>PASS: PB11 preserved in fault. FAIL: change.</t>
        </is>
      </c>
      <c r="J22" s="104" t="n"/>
      <c r="K22" s="104" t="inlineStr">
        <is>
          <t>در انتظار</t>
        </is>
      </c>
      <c r="L22" s="115" t="n"/>
      <c r="M22" s="104" t="n"/>
      <c r="N22" s="104" t="inlineStr">
        <is>
          <t>c6b084f28f2c507cfd342e5dbd0dbd8e45686772</t>
        </is>
      </c>
      <c r="O22" s="105" t="n"/>
      <c r="P22" s="105" t="n"/>
      <c r="Q22" s="107">
        <f>IF(OR(L22="",L22="در انتظار"),"",IF(Q22="",TODAY(),Q22))</f>
        <v/>
      </c>
    </row>
    <row r="23" ht="40.5" customHeight="1">
      <c r="A23" s="99" t="inlineStr">
        <is>
          <t>CO-019</t>
        </is>
      </c>
      <c r="B23" s="100" t="inlineStr">
        <is>
          <t>PB5 و PB7 هیچ‌گاه تغییر نکنند</t>
        </is>
      </c>
      <c r="C23" s="110" t="inlineStr">
        <is>
          <t>بالا</t>
        </is>
      </c>
      <c r="D23" s="100" t="inlineStr">
        <is>
          <t>هر حالت</t>
        </is>
      </c>
      <c r="E23" s="11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1" t="inlineStr">
        <is>
          <t>تمام حالات</t>
        </is>
      </c>
      <c r="G23" s="101" t="inlineStr">
        <is>
          <t>هر تست</t>
        </is>
      </c>
      <c r="H23" s="100" t="inlineStr">
        <is>
          <t>PB5 و PB7 ثابت بمانند (PB5 High-safe active-low، PB7 Low). PASS: بدون تغییر. FAIL: هر toggle.</t>
        </is>
      </c>
      <c r="I23" s="100" t="inlineStr">
        <is>
          <t>PASS: PB5/PB7 never change. FAIL: any toggle.</t>
        </is>
      </c>
      <c r="J23" s="111" t="n"/>
      <c r="K23" s="112" t="inlineStr">
        <is>
          <t>در انتظار</t>
        </is>
      </c>
      <c r="L23" s="113" t="n"/>
      <c r="M23" s="100" t="n"/>
      <c r="N23" s="100" t="inlineStr">
        <is>
          <t>c6b084f28f2c507cfd342e5dbd0dbd8e45686772</t>
        </is>
      </c>
      <c r="O23" s="101" t="n"/>
      <c r="P23" s="101" t="n"/>
      <c r="Q23" s="103">
        <f>IF(OR(L23="",L23="در انتظار"),"",IF(Q23="",TODAY(),Q23))</f>
        <v/>
      </c>
    </row>
    <row r="24" ht="54" customHeight="1">
      <c r="A24" s="99" t="inlineStr">
        <is>
          <t>CO-024</t>
        </is>
      </c>
      <c r="B24" s="104" t="inlineStr">
        <is>
          <t>وصل مجدد 30s پایداری ورودی</t>
        </is>
      </c>
      <c r="C24" s="114" t="inlineStr">
        <is>
          <t>بالا</t>
        </is>
      </c>
      <c r="D24" s="104" t="inlineStr">
        <is>
          <t>برد در SAFE پس از قطع، v_bat=24V</t>
        </is>
      </c>
      <c r="E24" s="106"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05" t="inlineStr">
        <is>
          <t>input=true v=24000</t>
        </is>
      </c>
      <c r="G24" s="105" t="inlineStr">
        <is>
          <t>33s</t>
        </is>
      </c>
      <c r="H24" s="104" t="inlineStr">
        <is>
          <t>بعد از 30 ثانیه پایداری ورودی و 3 ثانیه ولتاژ 21200، PB11 از Low به High و وضعیت INPUT شود</t>
        </is>
      </c>
      <c r="I24" s="104" t="inlineStr">
        <is>
          <t>PASS: PB11 بعد 33s وصل، قبلش SAFE. FAIL: وصل زودتر از 30s</t>
        </is>
      </c>
      <c r="J24" s="104" t="n"/>
      <c r="K24" s="104" t="inlineStr">
        <is>
          <t>نیاز به تکرار</t>
        </is>
      </c>
      <c r="L24" s="115" t="n"/>
      <c r="M24" s="104" t="n"/>
      <c r="N24" s="104" t="inlineStr">
        <is>
          <t>thermal+30s</t>
        </is>
      </c>
      <c r="O24" s="105" t="n"/>
      <c r="P24" s="105" t="n"/>
      <c r="Q24" s="107">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نسخهٔ برنامه</t>
        </is>
      </c>
      <c r="O4" s="84" t="inlineStr">
        <is>
          <t>نام تست‌کننده</t>
        </is>
      </c>
      <c r="P4" s="84" t="inlineStr">
        <is>
          <t>تاریخ</t>
        </is>
      </c>
      <c r="Q4" s="84"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00" t="inlineStr">
        <is>
          <t>زمان از rtos_time</t>
        </is>
      </c>
      <c r="C6" s="101" t="inlineStr">
        <is>
          <t>متوسط</t>
        </is>
      </c>
      <c r="D6" s="100" t="inlineStr">
        <is>
          <t>هر زمان</t>
        </is>
      </c>
      <c r="E6" s="100"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01" t="inlineStr">
        <is>
          <t>کد review</t>
        </is>
      </c>
      <c r="G6" s="101" t="inlineStr">
        <is>
          <t>—</t>
        </is>
      </c>
      <c r="H6" s="100" t="inlineStr">
        <is>
          <t>زمان با rtos_time قابل‌حمل باشد، 3000ms با هر فرکانس تیک درست کار کند. PASS: portable. FAIL: فرض 1ms.</t>
        </is>
      </c>
      <c r="I6" s="100" t="inlineStr">
        <is>
          <t>PASS: portable via rtos_time. FAIL: hardcoded 1ms.</t>
        </is>
      </c>
      <c r="J6" s="111" t="n"/>
      <c r="K6" s="112" t="inlineStr">
        <is>
          <t>در انتظار</t>
        </is>
      </c>
      <c r="L6" s="113" t="n"/>
      <c r="M6" s="100" t="n"/>
      <c r="N6" s="100" t="inlineStr">
        <is>
          <t>c6b084f28f2c507cfd342e5dbd0dbd8e45686772</t>
        </is>
      </c>
      <c r="O6" s="101" t="n"/>
      <c r="P6" s="101" t="n"/>
      <c r="Q6" s="103">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00" t="inlineStr">
        <is>
          <t>snapshot zeroing task_control</t>
        </is>
      </c>
      <c r="C8" s="110" t="inlineStr">
        <is>
          <t>بالا</t>
        </is>
      </c>
      <c r="D8" s="100" t="inlineStr">
        <is>
          <t>MODULE_MEASUREMENT=0 یا GetSnapshot=false</t>
        </is>
      </c>
      <c r="E8" s="100"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01" t="inlineStr">
        <is>
          <t>valid=false</t>
        </is>
      </c>
      <c r="G8" s="101" t="inlineStr">
        <is>
          <t>3500ms</t>
        </is>
      </c>
      <c r="H8" s="100"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00" t="inlineStr">
        <is>
          <t>امن</t>
        </is>
      </c>
      <c r="J8" s="100" t="inlineStr">
        <is>
          <t>بدون تصمیم بر اساس زباله؛ PB11 حفظ</t>
        </is>
      </c>
      <c r="K8" s="100" t="n"/>
      <c r="L8" s="117" t="inlineStr">
        <is>
          <t>نیاز به تکرار</t>
        </is>
      </c>
      <c r="M8" s="100" t="n"/>
      <c r="N8" s="100" t="n"/>
      <c r="O8" s="101" t="inlineStr">
        <is>
          <t>62f3782</t>
        </is>
      </c>
      <c r="P8" s="101" t="n"/>
      <c r="Q8" s="103"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84"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90" t="inlineStr">
        <is>
          <t>موضوع</t>
        </is>
      </c>
      <c r="B3" s="90" t="inlineStr">
        <is>
          <t>شرط / مقدار (از کد)</t>
        </is>
      </c>
      <c r="C3" s="90" t="inlineStr">
        <is>
          <t>رفتار مورد انتظار</t>
        </is>
      </c>
      <c r="D3" s="90" t="inlineStr">
        <is>
          <t>ثابت / محل کد</t>
        </is>
      </c>
      <c r="E3" s="90" t="inlineStr">
        <is>
          <t>توضیح تکمیلی</t>
        </is>
      </c>
      <c r="F3" s="90"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1" t="inlineStr">
        <is>
          <t>ثبت ایرادهای مشاهده‌شده روی برد</t>
        </is>
      </c>
    </row>
    <row r="2" ht="30" customHeight="1">
      <c r="A2" s="84"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0" t="inlineStr">
        <is>
          <t>شماره ایراد</t>
        </is>
      </c>
      <c r="B3" s="90" t="inlineStr">
        <is>
          <t>شناسه تست</t>
        </is>
      </c>
      <c r="C3" s="90" t="inlineStr">
        <is>
          <t>تاریخ کشف</t>
        </is>
      </c>
      <c r="D3" s="90" t="inlineStr">
        <is>
          <t>شدت</t>
        </is>
      </c>
      <c r="E3" s="90" t="inlineStr">
        <is>
          <t>شرح کوتاه ایراد</t>
        </is>
      </c>
      <c r="F3" s="90" t="inlineStr">
        <is>
          <t>مراحل بازتولید</t>
        </is>
      </c>
      <c r="G3" s="90" t="inlineStr">
        <is>
          <t>انتظار</t>
        </is>
      </c>
      <c r="H3" s="90" t="inlineStr">
        <is>
          <t>واقعیت</t>
        </is>
      </c>
      <c r="I3" s="90" t="inlineStr">
        <is>
          <t>مدرک / مسیر عکس یا scope</t>
        </is>
      </c>
      <c r="J3" s="90" t="inlineStr">
        <is>
          <t>نسخهٔ برنامه</t>
        </is>
      </c>
      <c r="K3" s="90" t="inlineStr">
        <is>
          <t>محل احتمالی</t>
        </is>
      </c>
      <c r="L3" s="90" t="inlineStr">
        <is>
          <t>وضعیت ایراد</t>
        </is>
      </c>
      <c r="M3" s="90" t="inlineStr">
        <is>
          <t>تأیید رفع / توضیحات</t>
        </is>
      </c>
    </row>
    <row r="4" ht="14" customHeight="1">
      <c r="A4" s="122" t="inlineStr"/>
      <c r="B4" s="122" t="inlineStr"/>
      <c r="C4" s="122" t="inlineStr"/>
      <c r="D4" s="122" t="inlineStr"/>
      <c r="E4" s="122" t="inlineStr"/>
      <c r="F4" s="122" t="inlineStr"/>
      <c r="G4" s="122" t="inlineStr"/>
      <c r="H4" s="122" t="inlineStr"/>
      <c r="I4" s="122" t="inlineStr"/>
      <c r="J4" s="122" t="inlineStr"/>
      <c r="K4" s="122" t="inlineStr"/>
      <c r="L4" s="122" t="inlineStr"/>
      <c r="M4" s="122"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22" t="inlineStr"/>
      <c r="B6" s="122" t="inlineStr"/>
      <c r="C6" s="122" t="inlineStr"/>
      <c r="D6" s="122" t="inlineStr"/>
      <c r="E6" s="122" t="inlineStr"/>
      <c r="F6" s="122" t="inlineStr"/>
      <c r="G6" s="122" t="inlineStr"/>
      <c r="H6" s="122" t="inlineStr"/>
      <c r="I6" s="122" t="inlineStr"/>
      <c r="J6" s="122" t="inlineStr"/>
      <c r="K6" s="122" t="inlineStr"/>
      <c r="L6" s="122" t="inlineStr"/>
      <c r="M6" s="122"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22" t="inlineStr"/>
      <c r="B8" s="122" t="inlineStr"/>
      <c r="C8" s="122" t="inlineStr"/>
      <c r="D8" s="122" t="inlineStr"/>
      <c r="E8" s="122" t="inlineStr"/>
      <c r="F8" s="122" t="inlineStr"/>
      <c r="G8" s="122" t="inlineStr"/>
      <c r="H8" s="122" t="inlineStr"/>
      <c r="I8" s="122" t="inlineStr"/>
      <c r="J8" s="122" t="inlineStr"/>
      <c r="K8" s="122" t="inlineStr"/>
      <c r="L8" s="122" t="inlineStr"/>
      <c r="M8" s="122"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22" t="inlineStr"/>
      <c r="B10" s="122" t="inlineStr"/>
      <c r="C10" s="122" t="inlineStr"/>
      <c r="D10" s="122" t="inlineStr"/>
      <c r="E10" s="122" t="inlineStr"/>
      <c r="F10" s="122" t="inlineStr"/>
      <c r="G10" s="122" t="inlineStr"/>
      <c r="H10" s="122" t="inlineStr"/>
      <c r="I10" s="122" t="inlineStr"/>
      <c r="J10" s="122" t="inlineStr"/>
      <c r="K10" s="122" t="inlineStr"/>
      <c r="L10" s="122" t="inlineStr"/>
      <c r="M10" s="122"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22" t="inlineStr"/>
      <c r="B12" s="122" t="inlineStr"/>
      <c r="C12" s="122" t="inlineStr"/>
      <c r="D12" s="122" t="inlineStr"/>
      <c r="E12" s="122" t="inlineStr"/>
      <c r="F12" s="122" t="inlineStr"/>
      <c r="G12" s="122" t="inlineStr"/>
      <c r="H12" s="122" t="inlineStr"/>
      <c r="I12" s="122" t="inlineStr"/>
      <c r="J12" s="122" t="inlineStr"/>
      <c r="K12" s="122" t="inlineStr"/>
      <c r="L12" s="122" t="inlineStr"/>
      <c r="M12" s="122"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4"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89" t="inlineStr">
        <is>
          <t>مشخصات تست</t>
        </is>
      </c>
    </row>
    <row r="4" ht="14" customHeight="1">
      <c r="A4" s="126" t="inlineStr">
        <is>
          <t>پروژه</t>
        </is>
      </c>
      <c r="B4" s="92" t="inlineStr">
        <is>
          <t>ChangeOver</t>
        </is>
      </c>
      <c r="C4" s="126" t="inlineStr">
        <is>
          <t>ماژول</t>
        </is>
      </c>
      <c r="D4" s="92" t="inlineStr">
        <is>
          <t>Changeover — PB11</t>
        </is>
      </c>
      <c r="E4" s="93" t="n"/>
      <c r="F4" s="9" t="n"/>
    </row>
    <row r="5" ht="14" customHeight="1">
      <c r="A5" s="126" t="inlineStr">
        <is>
          <t>تاریخ ساخت فرم</t>
        </is>
      </c>
      <c r="B5" s="92" t="inlineStr">
        <is>
          <t>2026-09-16 (2.1 — فیلتر 3000ms)</t>
        </is>
      </c>
      <c r="C5" s="126" t="inlineStr">
        <is>
          <t>نسخه فرم</t>
        </is>
      </c>
      <c r="D5" s="92" t="inlineStr">
        <is>
          <t>2.1 — فیلتر 3000ms</t>
        </is>
      </c>
      <c r="E5" s="93" t="n"/>
      <c r="F5" s="9" t="n"/>
    </row>
    <row r="6" ht="14" customHeight="1">
      <c r="A6" s="126" t="inlineStr">
        <is>
          <t>نسخهٔ برنامه</t>
        </is>
      </c>
      <c r="B6" s="92" t="inlineStr">
        <is>
          <t>نسخهٔ برنامهٔ فلش‌شده (تست‌کننده پر کند)</t>
        </is>
      </c>
      <c r="C6" s="126" t="inlineStr">
        <is>
          <t>شناسه برد</t>
        </is>
      </c>
      <c r="D6" s="127" t="inlineStr"/>
      <c r="E6" s="93" t="n"/>
      <c r="F6" s="9" t="n"/>
    </row>
    <row r="7" ht="14" customHeight="1">
      <c r="A7" s="126" t="inlineStr">
        <is>
          <t>تست‌کننده اصلی</t>
        </is>
      </c>
      <c r="B7" s="127" t="inlineStr"/>
      <c r="C7" s="126" t="inlineStr">
        <is>
          <t>تاریخ شروع</t>
        </is>
      </c>
      <c r="D7" s="127" t="inlineStr"/>
      <c r="E7" s="93" t="n"/>
      <c r="F7" s="9" t="n"/>
    </row>
    <row r="8" ht="14" customHeight="1">
      <c r="A8" s="126" t="inlineStr">
        <is>
          <t>تاریخ پایان</t>
        </is>
      </c>
      <c r="B8" s="127" t="inlineStr"/>
      <c r="C8" s="126" t="inlineStr">
        <is>
          <t>ابزار اندازه‌گیری</t>
        </is>
      </c>
      <c r="D8" s="92" t="inlineStr">
        <is>
          <t>منبع آزمایشگاهی + DMM + اسیلوسکوپ + تایمر RTOS</t>
        </is>
      </c>
      <c r="E8" s="93" t="n"/>
      <c r="F8" s="9" t="n"/>
    </row>
    <row r="9" ht="14" customHeight="1">
      <c r="A9" s="126" t="inlineStr">
        <is>
          <t>فرکانس تیک</t>
        </is>
      </c>
      <c r="B9" s="92" t="inlineStr">
        <is>
          <t>از osKernelGetTickFreq (قابل‌حمل)</t>
        </is>
      </c>
      <c r="C9" s="126" t="inlineStr"/>
      <c r="D9" s="127" t="inlineStr"/>
      <c r="E9" s="93" t="n"/>
      <c r="F9" s="9" t="n"/>
    </row>
    <row r="10" ht="14" customHeight="1">
      <c r="A10" s="126" t="inlineStr">
        <is>
          <t>فرکانس تیک</t>
        </is>
      </c>
      <c r="B10" s="92" t="inlineStr">
        <is>
          <t>از osKernelGetTickFreq (قابل‌حمل)</t>
        </is>
      </c>
      <c r="C10" s="126" t="inlineStr"/>
      <c r="D10" s="127" t="inlineStr"/>
      <c r="E10" s="93" t="n"/>
      <c r="F10" s="93" t="n"/>
    </row>
    <row r="11" ht="14" customHeight="1">
      <c r="A11" s="126" t="inlineStr">
        <is>
          <t>آستانه‌ها</t>
        </is>
      </c>
      <c r="B11" s="92" t="inlineStr">
        <is>
          <t>21000/20800/21200</t>
        </is>
      </c>
      <c r="C11" s="126" t="inlineStr"/>
      <c r="D11" s="127" t="inlineStr"/>
      <c r="E11" s="93" t="n"/>
      <c r="F11" s="93" t="n"/>
    </row>
    <row r="12" ht="14" customHeight="1">
      <c r="A12" s="126" t="inlineStr">
        <is>
          <t>فیلتر</t>
        </is>
      </c>
      <c r="B12" s="92" t="inlineStr">
        <is>
          <t>3000ms</t>
        </is>
      </c>
      <c r="C12" s="126" t="inlineStr"/>
      <c r="D12" s="127" t="inlineStr"/>
      <c r="E12" s="93" t="n"/>
      <c r="F12" s="93" t="n"/>
    </row>
    <row r="13" ht="14" customHeight="1">
      <c r="A13" s="126" t="inlineStr">
        <is>
          <t>مجاز pin</t>
        </is>
      </c>
      <c r="B13" s="92" t="inlineStr">
        <is>
          <t>فقط BSP_GPIO_PROTECT_BATTERY</t>
        </is>
      </c>
      <c r="C13" s="126" t="inlineStr"/>
      <c r="D13" s="127" t="inlineStr"/>
      <c r="E13" s="93" t="n"/>
      <c r="F13" s="93" t="n"/>
    </row>
    <row r="14" ht="14" customHeight="1">
      <c r="A14" s="126" t="inlineStr">
        <is>
          <t>ممنوع</t>
        </is>
      </c>
      <c r="B14" s="92" t="inlineStr">
        <is>
          <t>PB5/PB7/HAL/board_pins</t>
        </is>
      </c>
      <c r="C14" s="126" t="inlineStr"/>
      <c r="D14" s="127" t="inlineStr"/>
      <c r="E14" s="93" t="n"/>
      <c r="F14" s="93" t="n"/>
    </row>
    <row r="15">
      <c r="A15" s="89" t="inlineStr">
        <is>
          <t>خلاصه خودکار وضعیت تست‌ها (پس از تست برد پر شود)</t>
        </is>
      </c>
    </row>
    <row r="16">
      <c r="A16" s="90" t="inlineStr">
        <is>
          <t>شاخص</t>
        </is>
      </c>
      <c r="B16" s="90" t="inlineStr">
        <is>
          <t>مقدار</t>
        </is>
      </c>
      <c r="C16" s="90" t="inlineStr">
        <is>
          <t>توضیح</t>
        </is>
      </c>
      <c r="D16" s="90" t="inlineStr">
        <is>
          <t>فرمول پیشنهادی</t>
        </is>
      </c>
      <c r="E16" s="8" t="n"/>
      <c r="F16" s="9" t="n"/>
    </row>
    <row r="17" ht="13" customHeight="1">
      <c r="A17" s="92" t="inlineStr">
        <is>
          <t>تعداد کل تست‌ها</t>
        </is>
      </c>
      <c r="B17" s="128">
        <f>COUNTA('برنامه تست'!A5:A200)</f>
        <v/>
      </c>
      <c r="C17" s="92" t="inlineStr">
        <is>
          <t>کل ردیف‌های برنامه تست</t>
        </is>
      </c>
      <c r="D17" s="92" t="inlineStr"/>
      <c r="E17" s="8" t="n"/>
      <c r="F17" s="9" t="n"/>
    </row>
    <row r="18" ht="13" customHeight="1">
      <c r="A18" s="92" t="inlineStr">
        <is>
          <t>تعداد قبول (PASS)</t>
        </is>
      </c>
      <c r="B18" s="128">
        <f>COUNTIF('برنامه تست'!K5:K200,"قبول")</f>
        <v/>
      </c>
      <c r="C18" s="92" t="inlineStr">
        <is>
          <t>تعداد ردیف با وضعیت = قبول</t>
        </is>
      </c>
      <c r="D18" s="92" t="inlineStr">
        <is>
          <t>COUNTIF('برنامه تست'!K5:K200,"قبول")</t>
        </is>
      </c>
      <c r="E18" s="8" t="n"/>
      <c r="F18" s="9" t="n"/>
    </row>
    <row r="19" ht="13" customHeight="1">
      <c r="A19" s="92" t="inlineStr">
        <is>
          <t>تعداد رد (FAIL)</t>
        </is>
      </c>
      <c r="B19" s="128">
        <f>COUNTIF('برنامه تست'!K5:K200,"رد")</f>
        <v/>
      </c>
      <c r="C19" s="92" t="inlineStr">
        <is>
          <t>تعداد ردیف با وضعیت = رد</t>
        </is>
      </c>
      <c r="D19" s="92" t="inlineStr">
        <is>
          <t>COUNTIF('برنامه تست'!K5:K200,"رد")</t>
        </is>
      </c>
      <c r="E19" s="8" t="n"/>
      <c r="F19" s="9" t="n"/>
    </row>
    <row r="20" ht="13" customHeight="1">
      <c r="A20" s="92" t="inlineStr">
        <is>
          <t>تعداد در انتظار</t>
        </is>
      </c>
      <c r="B20" s="128">
        <f>COUNTIF('برنامه تست'!K5:K200,"در انتظار")</f>
        <v/>
      </c>
      <c r="C20" s="92" t="inlineStr">
        <is>
          <t>تعداد ردیف با وضعیت = در انتظار</t>
        </is>
      </c>
      <c r="D20" s="92" t="inlineStr">
        <is>
          <t>COUNTIF('برنامه تست'!K5:K200,"در انتظار")</t>
        </is>
      </c>
      <c r="E20" s="8" t="n"/>
      <c r="F20" s="9" t="n"/>
    </row>
    <row r="21" ht="13" customHeight="1">
      <c r="A21" s="92" t="inlineStr">
        <is>
          <t>تعداد مسدود</t>
        </is>
      </c>
      <c r="B21" s="128">
        <f>COUNTIF('برنامه تست'!K5:K200,"مسدود")</f>
        <v/>
      </c>
      <c r="C21" s="92" t="inlineStr">
        <is>
          <t>تعداد ردیف با وضعیت = مسدود</t>
        </is>
      </c>
      <c r="D21" s="92" t="inlineStr"/>
      <c r="E21" s="8" t="n"/>
      <c r="F21" s="9" t="n"/>
    </row>
    <row r="22" ht="13" customHeight="1">
      <c r="A22" s="92" t="inlineStr">
        <is>
          <t>نرخ قبولی</t>
        </is>
      </c>
      <c r="B22" s="128">
        <f>IF(B17=0,"",TEXT(B18/B17,"0%"))</f>
        <v/>
      </c>
      <c r="C22" s="92" t="inlineStr">
        <is>
          <t>PASS / TOTAL</t>
        </is>
      </c>
      <c r="D22" s="92" t="inlineStr"/>
      <c r="E22" s="8" t="n"/>
      <c r="F22" s="9" t="n"/>
    </row>
    <row r="23">
      <c r="A23" s="89" t="inlineStr">
        <is>
          <t>امضاها</t>
        </is>
      </c>
    </row>
    <row r="24" ht="18" customHeight="1">
      <c r="A24" s="90" t="inlineStr">
        <is>
          <t>نقش</t>
        </is>
      </c>
      <c r="B24" s="90" t="inlineStr">
        <is>
          <t>نام و نام خانوادگی</t>
        </is>
      </c>
      <c r="C24" s="90" t="inlineStr">
        <is>
          <t>تاریخ</t>
        </is>
      </c>
      <c r="D24" s="90" t="inlineStr">
        <is>
          <t>امضا</t>
        </is>
      </c>
      <c r="E24" s="90" t="inlineStr">
        <is>
          <t>توضیحات</t>
        </is>
      </c>
      <c r="F24" s="9" t="n"/>
    </row>
    <row r="25" ht="22" customHeight="1">
      <c r="A25" s="92" t="inlineStr">
        <is>
          <t>تست‌کننده</t>
        </is>
      </c>
      <c r="B25" s="92" t="inlineStr"/>
      <c r="C25" s="92" t="inlineStr"/>
      <c r="D25" s="92" t="inlineStr"/>
      <c r="E25" s="92" t="inlineStr"/>
      <c r="F25" s="9" t="n"/>
    </row>
    <row r="26" ht="22" customHeight="1">
      <c r="A26" s="92" t="inlineStr">
        <is>
          <t>بازبین فنی</t>
        </is>
      </c>
      <c r="B26" s="92" t="inlineStr"/>
      <c r="C26" s="92" t="inlineStr"/>
      <c r="D26" s="92" t="inlineStr"/>
      <c r="E26" s="92" t="inlineStr"/>
      <c r="F26" s="9" t="n"/>
    </row>
    <row r="27" ht="22" customHeight="1">
      <c r="A27" s="92" t="inlineStr">
        <is>
          <t>تأیید نهایی</t>
        </is>
      </c>
      <c r="B27" s="92" t="inlineStr"/>
      <c r="C27" s="92" t="inlineStr"/>
      <c r="D27" s="92" t="inlineStr"/>
      <c r="E27" s="92" t="inlineStr"/>
      <c r="F27" s="9" t="n"/>
    </row>
    <row r="28">
      <c r="A28" s="125"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89"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89"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89"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89"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2">
      <c r="A2" s="82" t="n"/>
      <c r="B2" s="82" t="n"/>
      <c r="C2" s="82" t="n"/>
    </row>
    <row r="3" ht="24" customHeight="1">
      <c r="A3" s="32" t="inlineStr">
        <is>
          <t>حالت‌ها و گذارهای همین ماژول</t>
        </is>
      </c>
      <c r="B3" s="33" t="inlineStr">
        <is>
          <t>Changeover_State_Machine.xlsx</t>
        </is>
      </c>
      <c r="C3" s="82" t="n"/>
    </row>
    <row r="4" ht="24" customHeight="1">
      <c r="A4" s="32" t="inlineStr">
        <is>
          <t>ماشین حالت کل برنامه (نمای سیستمی)</t>
        </is>
      </c>
      <c r="B4" s="33" t="inlineStr">
        <is>
          <t>../../../Documentation/System_State_Machine.xlsx</t>
        </is>
      </c>
      <c r="C4" s="82"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2" t="n"/>
    </row>
    <row r="6" ht="24" customHeight="1">
      <c r="A6" s="32" t="inlineStr">
        <is>
          <t>بازتولید</t>
        </is>
      </c>
      <c r="B6" s="33" t="inlineStr">
        <is>
          <t>python3 tools/make_module_state_machines.py</t>
        </is>
      </c>
      <c r="C6" s="8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2026-10-17T12:45:51Z</dcterms:modified>
</cp:coreProperties>
</file>