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تست'!$A$4:$Q$51</definedName>
    <definedName name="_xlnm.Print_Titles" localSheetId="1">'برنامه تست'!$4:$4</definedName>
    <definedName name="_xlnm._FilterDatabase" localSheetId="2" hidden="1">'تست‌های آزمایشگاهی'!$A$4:$Q$18</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color rgb="000563C1"/>
      <sz val="8"/>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color rgb="000563C1"/>
      <sz val="8"/>
      <u val="single"/>
    </font>
    <font>
      <name val="Vazirmatn"/>
      <b val="1"/>
      <color rgb="00FFFFFF"/>
      <sz val="9"/>
    </font>
    <font>
      <name val="Vazirmatn"/>
      <color theme="1"/>
      <sz val="11"/>
    </font>
    <font>
      <name val="Vazirmatn"/>
      <b val="1"/>
      <color rgb="001F3864"/>
      <sz val="13"/>
    </font>
    <font>
      <name val="Vazirmatn"/>
      <color rgb="00404040"/>
      <sz val="8"/>
    </font>
    <font>
      <name val="Vazirmatn"/>
      <color rgb="000563C1"/>
      <sz val="7"/>
      <u val="single"/>
    </font>
    <font>
      <name val="Vazirmatn"/>
      <b val="1"/>
      <color rgb="00C00000"/>
      <sz val="10"/>
    </font>
    <font>
      <name val="Vazirmatn"/>
      <b val="1"/>
      <color rgb="00203764"/>
      <sz val="11"/>
    </font>
    <font>
      <name val="Vazirmatn"/>
      <sz val="7"/>
    </font>
    <font>
      <name val="Vazirmatn"/>
      <b val="1"/>
      <color rgb="00203764"/>
      <sz val="12"/>
    </font>
    <font>
      <name val="Vazirmatn"/>
      <color rgb="00C00000"/>
      <sz val="7"/>
    </font>
    <font>
      <name val="Vazirmatn"/>
      <b val="1"/>
      <sz val="8"/>
    </font>
    <font>
      <name val="Vazirmatn"/>
      <sz val="11"/>
    </font>
  </fonts>
  <fills count="13">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4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6" fillId="10" borderId="1" applyAlignment="1" pivotButton="0" quotePrefix="0" xfId="0">
      <alignment horizontal="right"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2" fillId="2" borderId="0"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42" fillId="0" borderId="0" applyAlignment="1" pivotButton="0" quotePrefix="0" xfId="0">
      <alignment horizontal="right" vertical="center" wrapText="1" readingOrder="2"/>
    </xf>
    <xf numFmtId="0" fontId="42" fillId="0" borderId="1" applyAlignment="1" pivotButton="0" quotePrefix="0" xfId="0">
      <alignment horizontal="center" vertical="center" wrapText="1"/>
    </xf>
    <xf numFmtId="0" fontId="41" fillId="4" borderId="0" applyAlignment="1" pivotButton="0" quotePrefix="0" xfId="0">
      <alignment horizontal="center" vertical="center" wrapText="1"/>
    </xf>
    <xf numFmtId="0" fontId="39" fillId="0" borderId="0" pivotButton="0" quotePrefix="0" xfId="0"/>
    <xf numFmtId="0" fontId="37" fillId="0" borderId="0" applyAlignment="1" pivotButton="0" quotePrefix="0" xfId="0">
      <alignment vertical="center" wrapText="1"/>
    </xf>
    <xf numFmtId="0" fontId="43" fillId="9" borderId="1" applyAlignment="1" pivotButton="0" quotePrefix="0" xfId="0">
      <alignment horizontal="center" vertical="center"/>
    </xf>
    <xf numFmtId="0" fontId="35" fillId="12" borderId="1" applyAlignment="1" pivotButton="0" quotePrefix="0" xfId="0">
      <alignment horizontal="center" vertical="center" wrapText="1"/>
    </xf>
    <xf numFmtId="0" fontId="44" fillId="2" borderId="0" applyAlignment="1" pivotButton="0" quotePrefix="0" xfId="0">
      <alignment horizontal="center" vertical="center" wrapText="1"/>
    </xf>
    <xf numFmtId="0" fontId="45" fillId="0" borderId="0" pivotButton="0" quotePrefix="0" xfId="0"/>
    <xf numFmtId="0" fontId="46"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5" fillId="0" borderId="4" pivotButton="0" quotePrefix="0" xfId="0"/>
    <xf numFmtId="0" fontId="45" fillId="0" borderId="5" pivotButton="0" quotePrefix="0" xfId="0"/>
    <xf numFmtId="0" fontId="48" fillId="0" borderId="0" applyAlignment="1" pivotButton="0" quotePrefix="0" xfId="0">
      <alignment horizontal="right" vertical="center" wrapText="1" readingOrder="2"/>
    </xf>
    <xf numFmtId="0" fontId="49" fillId="3" borderId="0" applyAlignment="1" pivotButton="0" quotePrefix="0" xfId="0">
      <alignment horizontal="right" vertical="center" wrapText="1"/>
    </xf>
    <xf numFmtId="0" fontId="50" fillId="0" borderId="0" applyAlignment="1" pivotButton="0" quotePrefix="0" xfId="0">
      <alignment horizontal="right" vertical="center" wrapText="1" readingOrder="2"/>
    </xf>
    <xf numFmtId="0" fontId="49" fillId="3" borderId="0" applyAlignment="1" pivotButton="0" quotePrefix="0" xfId="0">
      <alignment horizontal="center" vertical="center" wrapText="1"/>
    </xf>
    <xf numFmtId="0" fontId="51" fillId="3" borderId="1" applyAlignment="1" pivotButton="0" quotePrefix="0" xfId="0">
      <alignment horizontal="center" vertical="center" wrapText="1"/>
    </xf>
    <xf numFmtId="0" fontId="45" fillId="3" borderId="1" pivotButton="0" quotePrefix="0" xfId="0"/>
    <xf numFmtId="0" fontId="48" fillId="0" borderId="1" applyAlignment="1" pivotButton="0" quotePrefix="0" xfId="0">
      <alignment horizontal="center" vertical="center" wrapText="1"/>
    </xf>
    <xf numFmtId="0" fontId="50" fillId="0" borderId="1" applyAlignment="1" pivotButton="0" quotePrefix="0" xfId="0">
      <alignment horizontal="center" vertical="center" wrapText="1"/>
    </xf>
    <xf numFmtId="0" fontId="45" fillId="0" borderId="1" pivotButton="0" quotePrefix="0" xfId="0"/>
    <xf numFmtId="0" fontId="52" fillId="0" borderId="0" pivotButton="0" quotePrefix="0" xfId="0"/>
    <xf numFmtId="0" fontId="53" fillId="2" borderId="0" applyAlignment="1" pivotButton="0" quotePrefix="0" xfId="0">
      <alignment horizontal="center" vertical="center" wrapText="1"/>
    </xf>
    <xf numFmtId="0" fontId="54" fillId="0" borderId="0" applyAlignment="1" pivotButton="0" quotePrefix="0" xfId="0">
      <alignment horizontal="center" vertical="center" wrapText="1"/>
    </xf>
    <xf numFmtId="0" fontId="55" fillId="4" borderId="0" applyAlignment="1" pivotButton="0" quotePrefix="0" xfId="0">
      <alignment horizontal="center" vertical="center" wrapText="1"/>
    </xf>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56"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56" fillId="10" borderId="1" applyAlignment="1" pivotButton="0" quotePrefix="0" xfId="0">
      <alignment horizontal="center" vertical="center" wrapText="1"/>
    </xf>
    <xf numFmtId="0" fontId="20" fillId="10" borderId="1" applyAlignment="1" pivotButton="0" quotePrefix="0" xfId="0">
      <alignment horizontal="center" vertical="center" wrapText="1"/>
    </xf>
    <xf numFmtId="0" fontId="18" fillId="10" borderId="1" applyAlignment="1" pivotButton="0" quotePrefix="0" xfId="0">
      <alignment horizontal="center" vertical="center" wrapText="1"/>
    </xf>
    <xf numFmtId="164" fontId="20" fillId="10" borderId="1" applyAlignment="1" pivotButton="0" quotePrefix="0" xfId="0">
      <alignment horizontal="center" vertical="center" wrapText="1"/>
    </xf>
    <xf numFmtId="164" fontId="45" fillId="0" borderId="0" pivotButton="0" quotePrefix="0" xfId="0"/>
    <xf numFmtId="0" fontId="18" fillId="12" borderId="1" applyAlignment="1" pivotButton="0" quotePrefix="0" xfId="0">
      <alignment horizontal="center" vertical="center" wrapText="1"/>
    </xf>
    <xf numFmtId="0" fontId="53" fillId="0" borderId="0" pivotButton="0" quotePrefix="0" xfId="0"/>
    <xf numFmtId="0" fontId="20" fillId="0" borderId="0" applyAlignment="1" pivotButton="0" quotePrefix="0" xfId="0">
      <alignment vertical="center" wrapText="1"/>
    </xf>
    <xf numFmtId="0" fontId="19" fillId="10" borderId="1" applyAlignment="1" pivotButton="0" quotePrefix="0" xfId="0">
      <alignment horizontal="right"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7" fillId="2" borderId="0"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 applyAlignment="1" pivotButton="0" quotePrefix="0" xfId="0">
      <alignment horizontal="center" vertical="center" wrapText="1" readingOrder="2"/>
    </xf>
    <xf numFmtId="0" fontId="55" fillId="0" borderId="1" applyAlignment="1" pivotButton="0" quotePrefix="0" xfId="0">
      <alignment horizontal="center" vertical="center" wrapText="1" readingOrder="2"/>
    </xf>
    <xf numFmtId="0" fontId="58" fillId="5" borderId="1" applyAlignment="1" pivotButton="0" quotePrefix="0" xfId="0">
      <alignment horizontal="center" vertical="center" wrapText="1"/>
    </xf>
    <xf numFmtId="0" fontId="58" fillId="0" borderId="1" applyAlignment="1" pivotButton="0" quotePrefix="0" xfId="0">
      <alignment horizontal="center" vertical="center" wrapText="1"/>
    </xf>
    <xf numFmtId="0" fontId="59" fillId="2" borderId="0" applyAlignment="1" pivotButton="0" quotePrefix="0" xfId="0">
      <alignment horizontal="center" vertical="center" wrapText="1"/>
    </xf>
    <xf numFmtId="0" fontId="60" fillId="0" borderId="0" applyAlignment="1" pivotButton="0" quotePrefix="0" xfId="0">
      <alignment horizontal="center" vertical="center" wrapText="1"/>
    </xf>
    <xf numFmtId="0" fontId="61" fillId="7" borderId="1" applyAlignment="1" pivotButton="0" quotePrefix="0" xfId="0">
      <alignment horizontal="center" vertical="center" wrapText="1"/>
    </xf>
    <xf numFmtId="0" fontId="48" fillId="4" borderId="1" applyAlignment="1" pivotButton="0" quotePrefix="0" xfId="0">
      <alignment horizontal="center" vertical="center" wrapText="1"/>
    </xf>
    <xf numFmtId="0" fontId="61" fillId="4" borderId="1" applyAlignment="1" pivotButton="0" quotePrefix="0" xfId="0">
      <alignment horizontal="center" vertical="center" wrapText="1"/>
    </xf>
    <xf numFmtId="0" fontId="48" fillId="0" borderId="0" applyAlignment="1" pivotButton="0" quotePrefix="0" xfId="0">
      <alignment horizontal="center" vertical="center" wrapText="1"/>
    </xf>
    <xf numFmtId="0" fontId="62" fillId="0" borderId="0" pivotButton="0" quotePrefix="0" xfId="0"/>
    <xf numFmtId="0" fontId="62" fillId="0" borderId="7" pivotButton="0" quotePrefix="0" xfId="0"/>
    <xf numFmtId="164" fontId="62" fillId="0" borderId="7" pivotButton="0" quotePrefix="0" xfId="0"/>
    <xf numFmtId="0" fontId="62" fillId="0" borderId="7" applyAlignment="1" pivotButton="0" quotePrefix="0" xfId="0">
      <alignment horizontal="center" vertical="center"/>
    </xf>
    <xf numFmtId="0" fontId="62" fillId="0" borderId="7" applyAlignment="1" pivotButton="0" quotePrefix="0" xfId="0">
      <alignment horizontal="right" vertical="center" wrapText="1"/>
    </xf>
    <xf numFmtId="0" fontId="62" fillId="0" borderId="7" applyAlignment="1" pivotButton="0" quotePrefix="0" xfId="0">
      <alignment horizontal="center" vertical="center" wrapText="1"/>
    </xf>
    <xf numFmtId="164" fontId="62" fillId="0" borderId="7"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Bsp/Src/bsp_measurement.c" TargetMode="External" Id="rId1" /><Relationship Type="http://schemas.openxmlformats.org/officeDocument/2006/relationships/hyperlink" Target="../../Bsp/Src/bsp_measurement.c" TargetMode="External" Id="rId2" /></Relationships>
</file>

<file path=xl/worksheets/_rels/sheet2.xml.rels><Relationships xmlns="http://schemas.openxmlformats.org/package/2006/relationships"><Relationship Type="http://schemas.openxmlformats.org/officeDocument/2006/relationships/hyperlink" Target="../../Bsp/Src/bsp_measurement.c" TargetMode="External" Id="rId1" /></Relationships>
</file>

<file path=xl/worksheets/_rels/sheet5.xml.rels><Relationships xmlns="http://schemas.openxmlformats.org/package/2006/relationships"><Relationship Type="http://schemas.openxmlformats.org/officeDocument/2006/relationships/hyperlink" Target="measurement.c" TargetMode="External" Id="rId1" /><Relationship Type="http://schemas.openxmlformats.org/officeDocument/2006/relationships/hyperlink" Target="measurement.c" TargetMode="External" Id="rId2" /><Relationship Type="http://schemas.openxmlformats.org/officeDocument/2006/relationships/hyperlink" Target="measurement.c" TargetMode="External" Id="rId3" /><Relationship Type="http://schemas.openxmlformats.org/officeDocument/2006/relationships/hyperlink" Target="../../Bsp/Src/bsp_adc.c" TargetMode="External" Id="rId4" /></Relationships>
</file>

<file path=xl/worksheets/_rels/sheet9.xml.rels><Relationships xmlns="http://schemas.openxmlformats.org/package/2006/relationships"><Relationship Type="http://schemas.openxmlformats.org/officeDocument/2006/relationships/hyperlink" Target="Measurement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5"/>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84" t="inlineStr">
        <is>
          <t>برگه تست و اعتبارسنجی عملی ماژول Measurement — ADC و کالیبراسیون</t>
        </is>
      </c>
    </row>
    <row r="2" ht="40" customHeight="1">
      <c r="A2" s="86" t="inlineStr">
        <is>
          <t>ChangeOver | اندازه‌گیری با ADC1 انجام می‌شود: ۵ کانال با DMA (bsp_measurement).
نسخه 1.0. هر 10 میلی‌ثانیه یک بار اندازه می‌گیریم.
برای معتبر شدن، 3 فریم کامل لازم است (warmup).
فرمول‌ها از خود کد BSP گرفته شده‌اند.</t>
        </is>
      </c>
    </row>
    <row r="3" ht="30" customHeight="1">
      <c r="A3" s="87" t="inlineStr">
        <is>
          <t>هدف فایل</t>
        </is>
      </c>
      <c r="B3" s="8" t="n"/>
      <c r="C3" s="8" t="n"/>
      <c r="D3" s="8" t="n"/>
      <c r="E3" s="8" t="n"/>
      <c r="F3" s="8" t="n"/>
      <c r="G3" s="8" t="n"/>
      <c r="H3" s="8" t="n"/>
      <c r="I3" s="8" t="n"/>
      <c r="J3" s="8" t="n"/>
      <c r="K3" s="8" t="n"/>
      <c r="L3" s="8" t="n"/>
      <c r="M3" s="8" t="n"/>
      <c r="N3" s="8" t="n"/>
      <c r="O3" s="8" t="n"/>
      <c r="P3" s="9" t="n"/>
    </row>
    <row r="4" ht="13" customHeight="1">
      <c r="A4" s="90" t="inlineStr">
        <is>
          <t>این فایل فقط ماژول Measurement را چک می‌کند.
در هر تست این‌ها بررسی می‌شود: معتبر بودن داده، فریم‌های ADC، تبدیل به میلی‌ولت و میلی‌آمپر، ورودی‌ها و اینکه عکس لحظه‌ای (snapshot) کامل و یکجا خوانده شود.</t>
        </is>
      </c>
    </row>
    <row r="5" ht="13" customHeight="1">
      <c r="A5" s="90" t="inlineStr">
        <is>
          <t>در هر ردیف، روش اجرا و نتیجهٔ مورد انتظار نوشته شده است.
قبول یا رد هر تست با عدد مشخص است. تلرانس از کالیبراسیون BSP گرفته شده است.</t>
        </is>
      </c>
    </row>
    <row r="6" ht="13" customHeight="1">
      <c r="A6" s="90" t="inlineStr">
        <is>
          <t>قبل از تست روی برد، ستون «نتیجه واقعی» را خالی بگذار و وضعیت را «در انتظار» نگه دار.
برای تستی که انجام نشده، «قبول» ننویس.</t>
        </is>
      </c>
    </row>
    <row r="7" ht="18" customHeight="1">
      <c r="A7" s="91" t="inlineStr">
        <is>
          <t>دامنه</t>
        </is>
      </c>
    </row>
    <row r="8" ht="13" customHeight="1">
      <c r="A8" s="90" t="inlineStr">
        <is>
          <t>بعد از روشن‌شدن (Init)، داده نامعتبر است (valid=false).
تا وقتی ۳ فریم کامل و پایدار نیامده، داده نامعتبر می‌ماند.
بعد از فریم سوم، داده معتبر می‌شود (valid=true) و همهٔ مقدارها تازه می‌شوند: میلی‌ولت، میلی‌آمپر و حاضر بودن ورودی (input_present).</t>
        </is>
      </c>
    </row>
    <row r="9" ht="13" customHeight="1">
      <c r="A9" s="90" t="inlineStr">
        <is>
          <t>اگر فریمی ناقص یا ناپایدار باشد، داده نامعتبر می‌شود و شمارش ۳ فریم از نو شروع می‌شود.
قطع‌شدن ورودی ۲۴ ولت به‌تنهایی نباید دادهٔ ADC را نامعتبر کند.</t>
        </is>
      </c>
    </row>
    <row r="10" ht="13" customHeight="1">
      <c r="A10" s="92" t="inlineStr">
        <is>
          <t>کالیبراسیون از فایل bsp_measurement.c:
ولتاژ مرجع: 3300 میلی‌ولت. بیشترین عدد ADC: 4095.
تقسیم ولتاژ ۲۴ ولت: مقاومت‌های 69200+6800 و 6800 اهم (ضریب حدود 11.176).
تقسیم ولتاژ ۱۲ ولت: مقاومت‌های 34200+6800 و 6800 اهم (ضریب حدود 6.029).
مقاومت شانت: 10 میلی‌اهم. گین: 101.</t>
        </is>
      </c>
    </row>
    <row r="11" ht="13" customHeight="1">
      <c r="A11" s="90" t="inlineStr">
        <is>
          <t>فرمول‌ها:
تبدیل عدد ADC به میلی‌ولت روی پایه: عدد × 3300 ÷ 4095.
ولتاژ ۲۴ ولت: میلی‌ولت پایه × 76000 ÷ 6800.
ولتاژ ۱۲ ولت: میلی‌ولت پایه × 41000 ÷ 6800.
جریان (میلی‌آمپر): عدد × 3300 × 1000 ÷ (4095 × 101 × 10).</t>
        </is>
      </c>
    </row>
    <row r="12" ht="13" customHeight="1">
      <c r="A12" s="90" t="inlineStr">
        <is>
          <t>زمان‌ها و عددهای واقعی از کد:
دورهٔ اندازه‌گیری: 10 میلی‌ثانیه (MEASUREMENT_PERIOD_MS).
برای معتبر شدن: 3 فریم (MEASUREMENT_WARMUP_FRAME_COUNT).
DMA دو فریم ۵ کاناله می‌خواند (2×5).
پایداری فریم با شمارندهٔ DMA (CNDTR) قبل و بعد چک می‌شود.
عکس لحظه‌ای با قفل سیستم (osKernelLock) یکجا خوانده می‌شود.</t>
        </is>
      </c>
    </row>
    <row r="13" ht="18" customHeight="1">
      <c r="A13" s="91" t="inlineStr">
        <is>
          <t>روش اجرای تست</t>
        </is>
      </c>
    </row>
    <row r="14" ht="13" customHeight="1">
      <c r="A14" s="90" t="inlineStr">
        <is>
          <t>۱) برد را با منبع آزمایشگاهی روشن کن.
هر ۵ کانال ADC (PA1 و PA2 و PA3 و PA5 و PA7) را با ولتاژ دقیق و منبع جریان کالیبره‌شده بده.
پایهٔ PB4 را برای «حاضر بودن ورودی» کنترل کن.</t>
        </is>
      </c>
    </row>
    <row r="15" ht="13" customHeight="1">
      <c r="A15" s="90" t="inlineStr">
        <is>
          <t>۲) برنامه با نسخهٔ c6b084f را فلش کن.
در «تأیید نهایی» این‌ها را بنویس: نسخهٔ برنامه، شناسهٔ برد و ابزار (مولتی‌متر، اسکوپ و منبع دقیق).</t>
        </is>
      </c>
    </row>
    <row r="16" ht="13" customHeight="1">
      <c r="A16" s="90" t="inlineStr">
        <is>
          <t>۳) تست گرم‌شدن (warmup): بعد از روشن‌شدن، فریم‌ها را بشمار (با func__BspAdc_GetRaw یا Live Watch) و ببین داده کی معتبر می‌شود.</t>
        </is>
      </c>
    </row>
    <row r="17" ht="13" customHeight="1">
      <c r="A17" s="90" t="inlineStr">
        <is>
          <t>۴) تست ولتاژ و جریان: هر کانال را با عدد (counts) معلوم بده.
مقدار میلی‌ولت و میلی‌آمپر را با فرمول BSP حساب کن و با عدد خوانده‌شده مقایسه کن.
تلرانس: روی پایه ±1 پله (LSB) یعنی حدود ±0.8 میلی‌ولت؛ برای ولتاژ ۲۴ ولت حدود ±9 میلی‌ولت؛ برای ولتاژ ۱۲ ولت حدود ±4.8 میلی‌ولت؛ برای جریان حدود ±0.8 میلی‌آمپر.</t>
        </is>
      </c>
    </row>
    <row r="18" ht="13" customHeight="1">
      <c r="A18" s="90" t="inlineStr">
        <is>
          <t>۵) تست DMA: دو فریم پشت سر هم را چک کن.
شمارندهٔ DMA (CNDTR) باید پایدار باشد و هر فریم ۵ نمونه کامل و بدون پارگی کپی شود. (وقفه موقع کپی خاموش است و شمارنده قبل و بعد چک می‌شود.)</t>
        </is>
      </c>
    </row>
    <row r="19" ht="13" customHeight="1">
      <c r="A19" s="90" t="inlineStr">
        <is>
          <t>۶) تست عکس لحظه‌ای: وقتی برنامه در حال کار است، از دو تسک هم‌زمان عکس لحظه‌ای بخوان.
نباید نصفه‌نیمه باشد؛ یا همه‌اش قدیمی است یا همه‌اش تازه. (قفل سیستم osKernelLock همین را تضمین می‌کند.)</t>
        </is>
      </c>
    </row>
    <row r="20">
      <c r="A20" s="93" t="inlineStr">
        <is>
          <t>تاریخچه نسخه</t>
        </is>
      </c>
    </row>
    <row r="21">
      <c r="A21" s="94" t="inlineStr">
        <is>
          <t>تاریخ</t>
        </is>
      </c>
      <c r="B21" s="94" t="inlineStr">
        <is>
          <t>نسخه</t>
        </is>
      </c>
      <c r="C21" s="94" t="inlineStr">
        <is>
          <t>شرح تغییر</t>
        </is>
      </c>
      <c r="D21" s="94" t="inlineStr">
        <is>
          <t>نسخهٔ برنامه</t>
        </is>
      </c>
      <c r="E21" s="95" t="n"/>
      <c r="F21" s="8" t="n"/>
      <c r="G21" s="8" t="n"/>
      <c r="H21" s="8" t="n"/>
      <c r="I21" s="8" t="n"/>
      <c r="J21" s="8" t="n"/>
      <c r="K21" s="8" t="n"/>
      <c r="L21" s="8" t="n"/>
      <c r="M21" s="8" t="n"/>
      <c r="N21" s="8" t="n"/>
      <c r="O21" s="8" t="n"/>
      <c r="P21" s="9" t="n"/>
    </row>
    <row r="22" ht="14" customHeight="1">
      <c r="A22" s="96" t="inlineStr">
        <is>
          <t>2026-09-16</t>
        </is>
      </c>
      <c r="B22" s="96" t="inlineStr">
        <is>
          <t>1.0</t>
        </is>
      </c>
      <c r="C22" s="97" t="inlineStr">
        <is>
          <t>این فایل جدا برای Measurement ساخته شد. ۲۱ تست دارد. فرمول‌ها و تلرانس‌ها از فایل bsp_measurement.c گرفته شده‌اند. دورهٔ اندازه‌گیری 10 میلی‌ثانیه است و برای معتبر شدن 3 فریم لازم است.</t>
        </is>
      </c>
      <c r="D22" s="96" t="inlineStr">
        <is>
          <t>c6b084f28f2c507cfd342e5dbd0dbd8e45686772</t>
        </is>
      </c>
      <c r="E22" s="98" t="n"/>
      <c r="F22" s="8" t="n"/>
      <c r="G22" s="8" t="n"/>
      <c r="H22" s="8" t="n"/>
      <c r="I22" s="8" t="n"/>
      <c r="J22" s="8" t="n"/>
      <c r="K22" s="8" t="n"/>
      <c r="L22" s="8" t="n"/>
      <c r="M22" s="8" t="n"/>
      <c r="N22" s="8" t="n"/>
      <c r="O22" s="8" t="n"/>
      <c r="P22" s="9" t="n"/>
    </row>
    <row r="23">
      <c r="A23" s="99" t="inlineStr">
        <is>
          <t>2026-10-12</t>
        </is>
      </c>
      <c r="B23" s="99" t="inlineStr">
        <is>
          <t>1.87</t>
        </is>
      </c>
      <c r="C23" s="99" t="inlineStr">
        <is>
          <t>پنل دیالوگ تیره همرنگ + صف PMQ + Enter/Esc + snapshot zeroing task_control (62f3782)</t>
        </is>
      </c>
      <c r="D23" s="99" t="inlineStr">
        <is>
          <t>62f3782</t>
        </is>
      </c>
      <c r="E23" s="85" t="n"/>
      <c r="F23" s="85" t="n"/>
      <c r="G23" s="85" t="n"/>
      <c r="H23" s="85" t="n"/>
      <c r="I23" s="85" t="n"/>
      <c r="J23" s="85" t="n"/>
      <c r="K23" s="85" t="n"/>
      <c r="L23" s="85" t="n"/>
      <c r="M23" s="85" t="n"/>
      <c r="N23" s="85" t="n"/>
      <c r="O23" s="85" t="n"/>
      <c r="P23" s="85" t="n"/>
    </row>
    <row r="25">
      <c r="A25" s="135"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22">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A18:P18"/>
    <mergeCell ref="A12:P12"/>
    <mergeCell ref="A3:P3"/>
    <mergeCell ref="A2:P2"/>
  </mergeCells>
  <hyperlinks>
    <hyperlink xmlns:r="http://schemas.openxmlformats.org/officeDocument/2006/relationships" ref="A10" r:id="rId1"/>
    <hyperlink xmlns:r="http://schemas.openxmlformats.org/officeDocument/2006/relationships" ref="C22" r:id="rId2"/>
  </hyperlink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5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100" t="inlineStr">
        <is>
          <t>برنامه تست عملی — ماژول Measurement</t>
        </is>
      </c>
      <c r="Q1" s="85" t="n"/>
    </row>
    <row r="2" ht="30" customHeight="1">
      <c r="A2" s="101" t="inlineStr">
        <is>
          <t>هر ردیف را با DMM/اسکوپ و محاسبه از فرمول BSP اندازه بگیر؛ مقدار حدسی ننویس. valid باید دقیقاً پس از ۳ فریم true شود.</t>
        </is>
      </c>
      <c r="Q2" s="85" t="n"/>
    </row>
    <row r="3" ht="32" customHeight="1">
      <c r="A3" s="102" t="inlineStr">
        <is>
          <t>فرمول‌ها و tolerance از bsp_measurement.c واقعی است؛ PASS/FAIL با tolerance ±1 LSB + 1% مقاومت تعریف شده است.</t>
        </is>
      </c>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چه چیزی باید ببینید تا بگویید درست است</t>
        </is>
      </c>
      <c r="J4" s="87" t="inlineStr">
        <is>
          <t>نتیجه واقعی</t>
        </is>
      </c>
      <c r="K4" s="87" t="inlineStr">
        <is>
          <t>وضعیت</t>
        </is>
      </c>
      <c r="L4" s="87" t="inlineStr">
        <is>
          <t>شرح ایراد</t>
        </is>
      </c>
      <c r="M4" s="87" t="inlineStr">
        <is>
          <t>مدرک تست</t>
        </is>
      </c>
      <c r="N4" s="87" t="inlineStr">
        <is>
          <t>نسخهٔ برنامه</t>
        </is>
      </c>
      <c r="O4" s="87" t="inlineStr">
        <is>
          <t>نام تست‌کننده</t>
        </is>
      </c>
      <c r="P4" s="87" t="inlineStr">
        <is>
          <t>تاریخ</t>
        </is>
      </c>
      <c r="Q4" s="87" t="n"/>
    </row>
    <row r="5" ht="54" customHeight="1">
      <c r="A5" s="103" t="inlineStr">
        <is>
          <t>MS-001</t>
        </is>
      </c>
      <c r="B5" s="104" t="inlineStr">
        <is>
          <t>Init</t>
        </is>
      </c>
      <c r="C5" s="105" t="inlineStr">
        <is>
          <t>بالا</t>
        </is>
      </c>
      <c r="D5" s="104" t="inlineStr">
        <is>
          <t>دستگاه خاموش؛ باتری و برق شهر وصل؛ مولتی‌متر دستی آماده</t>
        </is>
      </c>
      <c r="E5" s="104" t="inlineStr">
        <is>
          <t>گام ۱: دستگاه را روشن کن.
گام ۲: عدد ولتاژ باتری و ورودی را در پنل بخوان.
گام ۳: همان لحظه با مولتی‌متر روی ترمینال‌ها اندازه بگیر.</t>
        </is>
      </c>
      <c r="F5" s="106" t="inlineStr">
        <is>
          <t>روشن‌کردن ساده</t>
        </is>
      </c>
      <c r="G5" s="106" t="inlineStr">
        <is>
          <t>دو دقیقه</t>
        </is>
      </c>
      <c r="H5" s="104" t="inlineStr">
        <is>
          <t>عددهای پنل زنده‌اند و با مولتی‌متر دستی می‌خوانند (اختلاف در حد چند صدم ولت)</t>
        </is>
      </c>
      <c r="I5" s="104" t="inlineStr">
        <is>
          <t>باید ببینید: عددهای پنل زنده‌اند و با مولتی‌متر دستی می‌خوانند (اختلاف در حد چند صدم ولت). اگر عدد ثابت بود یا اختلاف زیاد داشت، قبول نیست.</t>
        </is>
      </c>
      <c r="J5" s="107" t="n"/>
      <c r="K5" s="108" t="inlineStr">
        <is>
          <t>در انتظار</t>
        </is>
      </c>
      <c r="L5" s="109" t="n"/>
      <c r="M5" s="104" t="n"/>
      <c r="N5" s="104" t="inlineStr">
        <is>
          <t>c6b084f28f2c507cfd342e5dbd0dbd8e45686772</t>
        </is>
      </c>
      <c r="O5" s="106" t="n"/>
      <c r="P5" s="106">
        <f>IF(OR(K5="",K5="در انتظار"),"",IF(P5="",TODAY(),P5))</f>
        <v/>
      </c>
      <c r="Q5" s="110" t="n"/>
    </row>
    <row r="6" ht="54" customHeight="1">
      <c r="A6" s="103" t="inlineStr">
        <is>
          <t>MS-013</t>
        </is>
      </c>
      <c r="B6" s="104" t="inlineStr">
        <is>
          <t>بررسی input_present / High</t>
        </is>
      </c>
      <c r="C6" s="105" t="inlineStr">
        <is>
          <t>متوسط</t>
        </is>
      </c>
      <c r="D6" s="104" t="inlineStr">
        <is>
          <t>دستگاه روی باتری روشن است و برق شهر قطع است</t>
        </is>
      </c>
      <c r="E6" s="104" t="inlineStr">
        <is>
          <t>گام ۱: برق شهر را وصل کن.
گام ۲: در پنل ببین ورودی «حاضر» می‌شود و عددش را با مولتی‌متر چک کن.</t>
        </is>
      </c>
      <c r="F6" s="106" t="inlineStr">
        <is>
          <t>وصل‌کردن برق شهر</t>
        </is>
      </c>
      <c r="G6" s="106" t="inlineStr">
        <is>
          <t>دو دقیقه</t>
        </is>
      </c>
      <c r="H6" s="104" t="inlineStr">
        <is>
          <t>پنل ورودی را حاضر و با ولتاژ درست نشان می‌دهد</t>
        </is>
      </c>
      <c r="I6" s="104" t="inlineStr">
        <is>
          <t>باید ببینید: پنل ورودی را حاضر و با ولتاژ درست نشان می‌دهد. اگر هنوز قطع نشان داد، قبول نیست.</t>
        </is>
      </c>
      <c r="J6" s="107" t="n"/>
      <c r="K6" s="108" t="inlineStr">
        <is>
          <t>در انتظار</t>
        </is>
      </c>
      <c r="L6" s="109" t="n"/>
      <c r="M6" s="104" t="n"/>
      <c r="N6" s="104" t="inlineStr">
        <is>
          <t>c6b084f28f2c507cfd342e5dbd0dbd8e45686772</t>
        </is>
      </c>
      <c r="O6" s="106" t="n"/>
      <c r="P6" s="106">
        <f>IF(OR(K6="",K6="در انتظار"),"",IF(P6="",TODAY(),P6))</f>
        <v/>
      </c>
      <c r="Q6" s="110" t="n"/>
    </row>
    <row r="7" ht="54" customHeight="1">
      <c r="A7" s="103" t="inlineStr">
        <is>
          <t>MS-014</t>
        </is>
      </c>
      <c r="B7" s="111" t="inlineStr">
        <is>
          <t>بررسی input_present / Low</t>
        </is>
      </c>
      <c r="C7" s="112" t="inlineStr">
        <is>
          <t>متوسط</t>
        </is>
      </c>
      <c r="D7" s="111" t="inlineStr">
        <is>
          <t>دستگاه با برق شهر روشن است</t>
        </is>
      </c>
      <c r="E7" s="111" t="inlineStr">
        <is>
          <t>گام ۱: برق شهر را بکش.
گام ۲: در پنل ببین ورودی «قطع» می‌شود و دستگاه روی باتری می‌ماند.</t>
        </is>
      </c>
      <c r="F7" s="113" t="inlineStr">
        <is>
          <t>کشیدن برق شهر</t>
        </is>
      </c>
      <c r="G7" s="113" t="inlineStr">
        <is>
          <t>دو دقیقه</t>
        </is>
      </c>
      <c r="H7" s="111" t="inlineStr">
        <is>
          <t>پنل ورودی را قطع نشان می‌دهد و دستگاه بی‌وقفه روی باتری ادامه می‌دهد</t>
        </is>
      </c>
      <c r="I7" s="111" t="inlineStr">
        <is>
          <t>باید ببینید: پنل ورودی را قطع نشان می‌دهد و دستگاه بی‌وقفه روی باتری ادامه می‌دهد. اگر هنگ کرد یا اشتباه نشان داد، قبول نیست.</t>
        </is>
      </c>
      <c r="J7" s="111" t="n"/>
      <c r="K7" s="111" t="inlineStr">
        <is>
          <t>در انتظار</t>
        </is>
      </c>
      <c r="L7" s="114" t="n"/>
      <c r="M7" s="111" t="n"/>
      <c r="N7" s="111" t="inlineStr">
        <is>
          <t>c6b084f28f2c507cfd342e5dbd0dbd8e45686772</t>
        </is>
      </c>
      <c r="O7" s="113" t="n"/>
      <c r="P7" s="113">
        <f>IF(OR(K7="",K7="در انتظار"),"",IF(P7="",TODAY(),P7))</f>
        <v/>
      </c>
      <c r="Q7" s="115" t="n"/>
    </row>
    <row r="8" ht="54" customHeight="1">
      <c r="A8" s="103" t="inlineStr">
        <is>
          <t>MS-023</t>
        </is>
      </c>
      <c r="B8" s="104" t="inlineStr">
        <is>
          <t>عملکرد واقعی اندازه‌گیری</t>
        </is>
      </c>
      <c r="C8" s="106" t="inlineStr">
        <is>
          <t>متوسط</t>
        </is>
      </c>
      <c r="D8" s="104" t="inlineStr">
        <is>
          <t>منبع دقیق آزمایشگاهی و مولتی‌متر</t>
        </is>
      </c>
      <c r="E8" s="104" t="inlineStr">
        <is>
          <t>گام ۱: منبع را دقیقاً روی 24.0 ولت تنظیم کن و به ورودی وصل کن؛ یک باتری 24 ولت هم وصل باشد.
گام ۲: ولتاژ منبع را با مولتی‌متر خودت هم اندازه بگیر.
گام ۳: در پنل عددهای ولتاژ ورودی و باتری را بخوان.
گام ۴: هر دو باید نزدیک همان عددی باشند که مولتی‌متر می‌گوید؛ اختلاف زیاد یعنی رد.</t>
        </is>
      </c>
      <c r="F8" s="104" t="inlineStr">
        <is>
          <t>ورودی و باتری 24 ولت</t>
        </is>
      </c>
      <c r="G8" s="106" t="inlineStr">
        <is>
          <t>یک دقیقه</t>
        </is>
      </c>
      <c r="H8" s="104" t="inlineStr">
        <is>
          <t>عددهای پنل نزدیک مقدار واقعی مولتی‌متر</t>
        </is>
      </c>
      <c r="I8" s="104" t="inlineStr">
        <is>
          <t>باید ببینید: عددهای پنل نزدیک مقدار واقعی مولتی‌مترند. اگر دور بودند، قبول نیست.</t>
        </is>
      </c>
      <c r="J8" s="104" t="inlineStr">
        <is>
          <t>اختلاف پنل با مولتی‌متر کم و منطقی باشد</t>
        </is>
      </c>
      <c r="K8" s="104" t="n"/>
      <c r="L8" s="117" t="inlineStr">
        <is>
          <t>در انتظار</t>
        </is>
      </c>
      <c r="M8" s="104" t="n"/>
      <c r="N8" s="104" t="n"/>
      <c r="O8" s="106" t="n"/>
      <c r="P8" s="106">
        <f>IF(OR(K8="",K8="در انتظار"),"",IF(P8="",TODAY(),P8))</f>
        <v/>
      </c>
      <c r="Q8" s="110" t="n"/>
    </row>
    <row r="9" ht="54" customHeight="1">
      <c r="A9" s="103" t="inlineStr">
        <is>
          <t>MS-021</t>
        </is>
      </c>
      <c r="B9" s="104" t="inlineStr">
        <is>
          <t>کالیبراسیون برد / tolerance</t>
        </is>
      </c>
      <c r="C9" s="106" t="inlineStr">
        <is>
          <t>متوسط</t>
        </is>
      </c>
      <c r="D9" s="104" t="inlineStr">
        <is>
          <t>مولتی‌متر مرجع مطمئن و پنل در حالت کالیبراسیون</t>
        </is>
      </c>
      <c r="E9" s="104" t="inlineStr">
        <is>
          <t>گام ۱: طبق راهنمای پنل، در یک ولتاژ پایین و یک ولتاژ بالا عدد دستگاه را با مولتی‌متر یکی کن.
گام ۲: در یک ولتاژ میانی هر دو را مقایسه کن.</t>
        </is>
      </c>
      <c r="F9" s="106" t="inlineStr">
        <is>
          <t>کالیبراسیون دو نقطه و چک میانی</t>
        </is>
      </c>
      <c r="G9" s="106" t="inlineStr">
        <is>
          <t>ربع ساعت</t>
        </is>
      </c>
      <c r="H9" s="104" t="inlineStr">
        <is>
          <t>بعد از کالیبراسیون، عدد پنل در نقطهٔ میانی هم با مولتی‌متر می‌خواند</t>
        </is>
      </c>
      <c r="I9" s="104" t="inlineStr">
        <is>
          <t>باید ببینید: بعد از کالیبراسیون عدد پنل در نقطهٔ میانی هم با مولتی‌متر می‌خواند. اگر اختلاف محسوس داشت، قبول نیست.</t>
        </is>
      </c>
      <c r="J9" s="107" t="n"/>
      <c r="K9" s="108" t="inlineStr">
        <is>
          <t>در انتظار</t>
        </is>
      </c>
      <c r="L9" s="109" t="n"/>
      <c r="M9" s="104" t="n"/>
      <c r="N9" s="104" t="inlineStr">
        <is>
          <t>c6b084f28f2c507cfd342e5dbd0dbd8e45686772</t>
        </is>
      </c>
      <c r="O9" s="106" t="n"/>
      <c r="P9" s="106">
        <f>IF(OR(K9="",K9="در انتظار"),"",IF(P9="",TODAY(),P9))</f>
        <v/>
      </c>
      <c r="Q9" s="110" t="n"/>
    </row>
    <row r="10" ht="54" customHeight="1">
      <c r="A10" s="103" t="inlineStr">
        <is>
          <t>MS-024</t>
        </is>
      </c>
      <c r="B10" s="111" t="inlineStr">
        <is>
          <t>عملکرد واقعی اندازه‌گیری</t>
        </is>
      </c>
      <c r="C10" s="113" t="inlineStr">
        <is>
          <t>متوسط</t>
        </is>
      </c>
      <c r="D10" s="111" t="inlineStr">
        <is>
          <t>دستگاه روشن و پنل عددها را نشان می‌دهد</t>
        </is>
      </c>
      <c r="E10" s="111" t="inlineStr">
        <is>
          <t>گام ۱: دستگاه روشن باشد و در پنل عددهای ولتاژ را ببین.
گام ۲: ورودی را کامل قطع کن (صفر ولت).
گام ۳: پنل را نگاه کن: ولتاژ ورودی باید صفر نشان داده شود ولی بقیهٔ عددها (باتری و جریان‌ها) زنده و درست بمانند.
گام ۴: دستگاه نباید خطای اندازه‌گیری بگیرد یا خاموش شود.</t>
        </is>
      </c>
      <c r="F10" s="111" t="inlineStr">
        <is>
          <t>قطع کامل ورودی</t>
        </is>
      </c>
      <c r="G10" s="113" t="inlineStr">
        <is>
          <t>چند ثانیه</t>
        </is>
      </c>
      <c r="H10" s="111" t="inlineStr">
        <is>
          <t>ورودی صفر، بقیهٔ اندازه‌گیری‌ها سالم</t>
        </is>
      </c>
      <c r="I10" s="111" t="inlineStr">
        <is>
          <t>باید ببینید: با ورودی صفر، بقیهٔ اندازه‌گیری‌ها سالم و عادی‌اند. اگر بقیه هم خراب شدند، قبول نیست.</t>
        </is>
      </c>
      <c r="J10" s="111" t="inlineStr">
        <is>
          <t>فقط ورودی صفر شود و دستگاه عادی بماند</t>
        </is>
      </c>
      <c r="K10" s="111" t="n"/>
      <c r="L10" s="117" t="inlineStr">
        <is>
          <t>در انتظار</t>
        </is>
      </c>
      <c r="M10" s="111" t="n"/>
      <c r="N10" s="111" t="n"/>
      <c r="O10" s="113" t="n"/>
      <c r="P10" s="113">
        <f>IF(OR(K10="",K10="در انتظار"),"",IF(P10="",TODAY(),P10))</f>
        <v/>
      </c>
      <c r="Q10" s="115" t="n"/>
    </row>
    <row r="11" ht="54" customHeight="1">
      <c r="A11" s="103" t="inlineStr">
        <is>
          <t>MS-025</t>
        </is>
      </c>
      <c r="B11" s="104" t="inlineStr">
        <is>
          <t>عملکرد واقعی اندازه‌گیری</t>
        </is>
      </c>
      <c r="C11" s="106" t="inlineStr">
        <is>
          <t>متوسط</t>
        </is>
      </c>
      <c r="D11" s="104" t="inlineStr">
        <is>
          <t>بار معلوم و مولتی‌متر سری</t>
        </is>
      </c>
      <c r="E11" s="104" t="inlineStr">
        <is>
          <t>گام ۱: یک بار معلوم روی مسیر شارژ بگذار و جریان واقعی را با مولتی‌متر اندازه بگیر (مثلاً باری که حدود 500 میلی‌آمپر می‌کشد).
گام ۲: شارژ را راه بینداز.
گام ۳: جریان نشان‌داده‌شده در پنل را با عدد مولتی‌متر مقایسه کن.
گام ۴: باید نزدیک هم باشند؛ اختلاف زیاد یعنی رد.</t>
        </is>
      </c>
      <c r="F11" s="104" t="inlineStr">
        <is>
          <t>بار حدود 500 میلی‌آمپر</t>
        </is>
      </c>
      <c r="G11" s="106" t="inlineStr">
        <is>
          <t>یک دقیقه</t>
        </is>
      </c>
      <c r="H11" s="104" t="inlineStr">
        <is>
          <t>جریان پنل نزدیک جریان واقعی</t>
        </is>
      </c>
      <c r="I11" s="104" t="inlineStr">
        <is>
          <t>باید ببینید: جریان پنل نزدیک جریان واقعی است. اگر دور بود، قبول نیست.</t>
        </is>
      </c>
      <c r="J11" s="104" t="inlineStr">
        <is>
          <t>اختلاف جریان پنل با مولتی‌متر کم باشد</t>
        </is>
      </c>
      <c r="K11" s="104" t="n"/>
      <c r="L11" s="117" t="inlineStr">
        <is>
          <t>در انتظار</t>
        </is>
      </c>
      <c r="M11" s="104" t="n"/>
      <c r="N11" s="104" t="n"/>
      <c r="O11" s="106" t="n"/>
      <c r="P11" s="106">
        <f>IF(OR(K11="",K11="در انتظار"),"",IF(P11="",TODAY(),P11))</f>
        <v/>
      </c>
      <c r="Q11" s="110" t="n"/>
    </row>
    <row r="12">
      <c r="A12" s="136" t="n"/>
      <c r="B12" s="136" t="n"/>
      <c r="C12" s="136" t="n"/>
      <c r="D12" s="136" t="n"/>
      <c r="E12" s="136" t="n"/>
      <c r="F12" s="136" t="n"/>
      <c r="G12" s="136" t="n"/>
      <c r="H12" s="136" t="n"/>
      <c r="I12" s="136" t="n"/>
      <c r="J12" s="136" t="n"/>
      <c r="K12" s="136" t="n"/>
      <c r="L12" s="136" t="n"/>
      <c r="M12" s="136" t="n"/>
      <c r="N12" s="136" t="n"/>
      <c r="O12" s="136" t="n"/>
      <c r="P12" s="136" t="n"/>
      <c r="Q12" s="137" t="n"/>
    </row>
    <row r="13">
      <c r="A13" s="136" t="n"/>
      <c r="B13" s="136" t="n"/>
      <c r="C13" s="136" t="n"/>
      <c r="D13" s="136" t="n"/>
      <c r="E13" s="136" t="n"/>
      <c r="F13" s="136" t="n"/>
      <c r="G13" s="136" t="n"/>
      <c r="H13" s="136" t="n"/>
      <c r="I13" s="136" t="n"/>
      <c r="J13" s="136" t="n"/>
      <c r="K13" s="136" t="n"/>
      <c r="L13" s="136" t="n"/>
      <c r="M13" s="136" t="n"/>
      <c r="N13" s="136" t="n"/>
      <c r="O13" s="136" t="n"/>
      <c r="P13" s="136" t="n"/>
      <c r="Q13" s="137" t="n"/>
    </row>
    <row r="14">
      <c r="A14" s="136" t="n"/>
      <c r="B14" s="136" t="n"/>
      <c r="C14" s="136" t="n"/>
      <c r="D14" s="136" t="n"/>
      <c r="E14" s="136" t="n"/>
      <c r="F14" s="136" t="n"/>
      <c r="G14" s="136" t="n"/>
      <c r="H14" s="136" t="n"/>
      <c r="I14" s="136" t="n"/>
      <c r="J14" s="136" t="n"/>
      <c r="K14" s="136" t="n"/>
      <c r="L14" s="136" t="n"/>
      <c r="M14" s="136" t="n"/>
      <c r="N14" s="136" t="n"/>
      <c r="O14" s="136" t="n"/>
      <c r="P14" s="136" t="n"/>
      <c r="Q14" s="137" t="n"/>
    </row>
    <row r="15">
      <c r="A15" s="136" t="n"/>
      <c r="B15" s="136" t="n"/>
      <c r="C15" s="136" t="n"/>
      <c r="D15" s="136" t="n"/>
      <c r="E15" s="136" t="n"/>
      <c r="F15" s="136" t="n"/>
      <c r="G15" s="136" t="n"/>
      <c r="H15" s="136" t="n"/>
      <c r="I15" s="136" t="n"/>
      <c r="J15" s="136" t="n"/>
      <c r="K15" s="136" t="n"/>
      <c r="L15" s="136" t="n"/>
      <c r="M15" s="136" t="n"/>
      <c r="N15" s="136" t="n"/>
      <c r="O15" s="136" t="n"/>
      <c r="P15" s="136" t="n"/>
      <c r="Q15" s="137" t="n"/>
    </row>
    <row r="16">
      <c r="A16" s="136" t="n"/>
      <c r="B16" s="136" t="n"/>
      <c r="C16" s="136" t="n"/>
      <c r="D16" s="136" t="n"/>
      <c r="E16" s="136" t="n"/>
      <c r="F16" s="136" t="n"/>
      <c r="G16" s="136" t="n"/>
      <c r="H16" s="136" t="n"/>
      <c r="I16" s="136" t="n"/>
      <c r="J16" s="136" t="n"/>
      <c r="K16" s="136" t="n"/>
      <c r="L16" s="136" t="n"/>
      <c r="M16" s="136" t="n"/>
      <c r="N16" s="136" t="n"/>
      <c r="O16" s="136" t="n"/>
      <c r="P16" s="136" t="n"/>
      <c r="Q16" s="137" t="n"/>
    </row>
    <row r="17">
      <c r="A17" s="136" t="n"/>
      <c r="B17" s="136" t="n"/>
      <c r="C17" s="136" t="n"/>
      <c r="D17" s="136" t="n"/>
      <c r="E17" s="136" t="n"/>
      <c r="F17" s="136" t="n"/>
      <c r="G17" s="136" t="n"/>
      <c r="H17" s="136" t="n"/>
      <c r="I17" s="136" t="n"/>
      <c r="J17" s="136" t="n"/>
      <c r="K17" s="136" t="n"/>
      <c r="L17" s="136" t="n"/>
      <c r="M17" s="136" t="n"/>
      <c r="N17" s="136" t="n"/>
      <c r="O17" s="136" t="n"/>
      <c r="P17" s="136" t="n"/>
      <c r="Q17" s="137" t="n"/>
    </row>
    <row r="18">
      <c r="A18" s="136" t="n"/>
      <c r="B18" s="136" t="n"/>
      <c r="C18" s="136" t="n"/>
      <c r="D18" s="136" t="n"/>
      <c r="E18" s="136" t="n"/>
      <c r="F18" s="136" t="n"/>
      <c r="G18" s="136" t="n"/>
      <c r="H18" s="136" t="n"/>
      <c r="I18" s="136" t="n"/>
      <c r="J18" s="136" t="n"/>
      <c r="K18" s="136" t="n"/>
      <c r="L18" s="136" t="n"/>
      <c r="M18" s="136" t="n"/>
      <c r="N18" s="136" t="n"/>
      <c r="O18" s="136" t="n"/>
      <c r="P18" s="136" t="n"/>
      <c r="Q18" s="137" t="n"/>
    </row>
    <row r="19">
      <c r="A19" s="136" t="n"/>
      <c r="B19" s="136" t="n"/>
      <c r="C19" s="136" t="n"/>
      <c r="D19" s="136" t="n"/>
      <c r="E19" s="136" t="n"/>
      <c r="F19" s="136" t="n"/>
      <c r="G19" s="136" t="n"/>
      <c r="H19" s="136" t="n"/>
      <c r="I19" s="136" t="n"/>
      <c r="J19" s="136" t="n"/>
      <c r="K19" s="136" t="n"/>
      <c r="L19" s="136" t="n"/>
      <c r="M19" s="136" t="n"/>
      <c r="N19" s="136" t="n"/>
      <c r="O19" s="136" t="n"/>
      <c r="P19" s="136" t="n"/>
      <c r="Q19" s="137" t="n"/>
    </row>
    <row r="20">
      <c r="A20" s="136" t="n"/>
      <c r="B20" s="136" t="n"/>
      <c r="C20" s="136" t="n"/>
      <c r="D20" s="136" t="n"/>
      <c r="E20" s="136" t="n"/>
      <c r="F20" s="136" t="n"/>
      <c r="G20" s="136" t="n"/>
      <c r="H20" s="136" t="n"/>
      <c r="I20" s="136" t="n"/>
      <c r="J20" s="136" t="n"/>
      <c r="K20" s="136" t="n"/>
      <c r="L20" s="136" t="n"/>
      <c r="M20" s="136" t="n"/>
      <c r="N20" s="136" t="n"/>
      <c r="O20" s="136" t="n"/>
      <c r="P20" s="136" t="n"/>
      <c r="Q20" s="137" t="n"/>
    </row>
    <row r="21">
      <c r="A21" s="136" t="n"/>
      <c r="B21" s="136" t="n"/>
      <c r="C21" s="136" t="n"/>
      <c r="D21" s="136" t="n"/>
      <c r="E21" s="136" t="n"/>
      <c r="F21" s="136" t="n"/>
      <c r="G21" s="136" t="n"/>
      <c r="H21" s="136" t="n"/>
      <c r="I21" s="136" t="n"/>
      <c r="J21" s="136" t="n"/>
      <c r="K21" s="136" t="n"/>
      <c r="L21" s="136" t="n"/>
      <c r="M21" s="136" t="n"/>
      <c r="N21" s="136" t="n"/>
      <c r="O21" s="136" t="n"/>
      <c r="P21" s="136" t="n"/>
      <c r="Q21" s="137" t="n"/>
    </row>
    <row r="22">
      <c r="A22" s="136" t="n"/>
      <c r="B22" s="136" t="n"/>
      <c r="C22" s="136" t="n"/>
      <c r="D22" s="136" t="n"/>
      <c r="E22" s="136" t="n"/>
      <c r="F22" s="136" t="n"/>
      <c r="G22" s="136" t="n"/>
      <c r="H22" s="136" t="n"/>
      <c r="I22" s="136" t="n"/>
      <c r="J22" s="136" t="n"/>
      <c r="K22" s="136" t="n"/>
      <c r="L22" s="136" t="n"/>
      <c r="M22" s="136" t="n"/>
      <c r="N22" s="136" t="n"/>
      <c r="O22" s="136" t="n"/>
      <c r="P22" s="136" t="n"/>
      <c r="Q22" s="137" t="n"/>
    </row>
    <row r="23">
      <c r="A23" s="136" t="n"/>
      <c r="B23" s="136" t="n"/>
      <c r="C23" s="136" t="n"/>
      <c r="D23" s="136" t="n"/>
      <c r="E23" s="136" t="n"/>
      <c r="F23" s="136" t="n"/>
      <c r="G23" s="136" t="n"/>
      <c r="H23" s="136" t="n"/>
      <c r="I23" s="136" t="n"/>
      <c r="J23" s="136" t="n"/>
      <c r="K23" s="136" t="n"/>
      <c r="L23" s="136" t="n"/>
      <c r="M23" s="136" t="n"/>
      <c r="N23" s="136" t="n"/>
      <c r="O23" s="136" t="n"/>
      <c r="P23" s="136" t="n"/>
      <c r="Q23" s="137" t="n"/>
    </row>
    <row r="24">
      <c r="A24" s="136" t="n"/>
      <c r="B24" s="136" t="n"/>
      <c r="C24" s="136" t="n"/>
      <c r="D24" s="136" t="n"/>
      <c r="E24" s="136" t="n"/>
      <c r="F24" s="136" t="n"/>
      <c r="G24" s="136" t="n"/>
      <c r="H24" s="136" t="n"/>
      <c r="I24" s="136" t="n"/>
      <c r="J24" s="136" t="n"/>
      <c r="K24" s="136" t="n"/>
      <c r="L24" s="136" t="n"/>
      <c r="M24" s="136" t="n"/>
      <c r="N24" s="136" t="n"/>
      <c r="O24" s="136" t="n"/>
      <c r="P24" s="136" t="n"/>
      <c r="Q24" s="137" t="n"/>
    </row>
    <row r="25">
      <c r="A25" s="136" t="n"/>
      <c r="B25" s="136" t="n"/>
      <c r="C25" s="136" t="n"/>
      <c r="D25" s="136" t="n"/>
      <c r="E25" s="136" t="n"/>
      <c r="F25" s="136" t="n"/>
      <c r="G25" s="136" t="n"/>
      <c r="H25" s="136" t="n"/>
      <c r="I25" s="136" t="n"/>
      <c r="J25" s="136" t="n"/>
      <c r="K25" s="136" t="n"/>
      <c r="L25" s="136" t="n"/>
      <c r="M25" s="136" t="n"/>
      <c r="N25" s="136" t="n"/>
      <c r="O25" s="136" t="n"/>
      <c r="P25" s="136" t="n"/>
      <c r="Q25" s="137" t="n"/>
    </row>
    <row r="26">
      <c r="A26" s="136" t="n"/>
      <c r="B26" s="136" t="n"/>
      <c r="C26" s="136" t="n"/>
      <c r="D26" s="136" t="n"/>
      <c r="E26" s="136" t="n"/>
      <c r="F26" s="136" t="n"/>
      <c r="G26" s="136" t="n"/>
      <c r="H26" s="136" t="n"/>
      <c r="I26" s="136" t="n"/>
      <c r="J26" s="136" t="n"/>
      <c r="K26" s="136" t="n"/>
      <c r="L26" s="136" t="n"/>
      <c r="M26" s="136" t="n"/>
      <c r="N26" s="136" t="n"/>
      <c r="O26" s="136" t="n"/>
      <c r="P26" s="136" t="n"/>
      <c r="Q26" s="137" t="n"/>
    </row>
    <row r="27">
      <c r="A27" s="136" t="n"/>
      <c r="B27" s="136" t="n"/>
      <c r="C27" s="136" t="n"/>
      <c r="D27" s="136" t="n"/>
      <c r="E27" s="136" t="n"/>
      <c r="F27" s="136" t="n"/>
      <c r="G27" s="136" t="n"/>
      <c r="H27" s="136" t="n"/>
      <c r="I27" s="136" t="n"/>
      <c r="J27" s="136" t="n"/>
      <c r="K27" s="136" t="n"/>
      <c r="L27" s="136" t="n"/>
      <c r="M27" s="136" t="n"/>
      <c r="N27" s="136" t="n"/>
      <c r="O27" s="136" t="n"/>
      <c r="P27" s="136" t="n"/>
      <c r="Q27" s="137" t="n"/>
    </row>
    <row r="28">
      <c r="A28" s="136" t="n"/>
      <c r="B28" s="136" t="n"/>
      <c r="C28" s="136" t="n"/>
      <c r="D28" s="136" t="n"/>
      <c r="E28" s="136" t="n"/>
      <c r="F28" s="136" t="n"/>
      <c r="G28" s="136" t="n"/>
      <c r="H28" s="136" t="n"/>
      <c r="I28" s="136" t="n"/>
      <c r="J28" s="136" t="n"/>
      <c r="K28" s="136" t="n"/>
      <c r="L28" s="136" t="n"/>
      <c r="M28" s="136" t="n"/>
      <c r="N28" s="136" t="n"/>
      <c r="O28" s="136" t="n"/>
      <c r="P28" s="136" t="n"/>
      <c r="Q28" s="137" t="n"/>
    </row>
    <row r="29">
      <c r="A29" s="136" t="n"/>
      <c r="B29" s="136" t="n"/>
      <c r="C29" s="136" t="n"/>
      <c r="D29" s="136" t="n"/>
      <c r="E29" s="136" t="n"/>
      <c r="F29" s="136" t="n"/>
      <c r="G29" s="136" t="n"/>
      <c r="H29" s="136" t="n"/>
      <c r="I29" s="136" t="n"/>
      <c r="J29" s="136" t="n"/>
      <c r="K29" s="136" t="n"/>
      <c r="L29" s="136" t="n"/>
      <c r="M29" s="136" t="n"/>
      <c r="N29" s="136" t="n"/>
      <c r="O29" s="136" t="n"/>
      <c r="P29" s="136" t="n"/>
      <c r="Q29" s="137" t="n"/>
    </row>
    <row r="30">
      <c r="A30" s="136" t="n"/>
      <c r="B30" s="136" t="n"/>
      <c r="C30" s="136" t="n"/>
      <c r="D30" s="136" t="n"/>
      <c r="E30" s="136" t="n"/>
      <c r="F30" s="136" t="n"/>
      <c r="G30" s="136" t="n"/>
      <c r="H30" s="136" t="n"/>
      <c r="I30" s="136" t="n"/>
      <c r="J30" s="136" t="n"/>
      <c r="K30" s="136" t="n"/>
      <c r="L30" s="136" t="n"/>
      <c r="M30" s="136" t="n"/>
      <c r="N30" s="136" t="n"/>
      <c r="O30" s="136" t="n"/>
      <c r="P30" s="136" t="n"/>
      <c r="Q30" s="137" t="n"/>
    </row>
    <row r="31">
      <c r="A31" s="136" t="n"/>
      <c r="B31" s="136" t="n"/>
      <c r="C31" s="136" t="n"/>
      <c r="D31" s="136" t="n"/>
      <c r="E31" s="136" t="n"/>
      <c r="F31" s="136" t="n"/>
      <c r="G31" s="136" t="n"/>
      <c r="H31" s="136" t="n"/>
      <c r="I31" s="136" t="n"/>
      <c r="J31" s="136" t="n"/>
      <c r="K31" s="136" t="n"/>
      <c r="L31" s="136" t="n"/>
      <c r="M31" s="136" t="n"/>
      <c r="N31" s="136" t="n"/>
      <c r="O31" s="136" t="n"/>
      <c r="P31" s="136" t="n"/>
      <c r="Q31" s="137" t="n"/>
    </row>
    <row r="32">
      <c r="A32" s="136" t="n"/>
      <c r="B32" s="136" t="n"/>
      <c r="C32" s="136" t="n"/>
      <c r="D32" s="136" t="n"/>
      <c r="E32" s="136" t="n"/>
      <c r="F32" s="136" t="n"/>
      <c r="G32" s="136" t="n"/>
      <c r="H32" s="136" t="n"/>
      <c r="I32" s="136" t="n"/>
      <c r="J32" s="136" t="n"/>
      <c r="K32" s="136" t="n"/>
      <c r="L32" s="136" t="n"/>
      <c r="M32" s="136" t="n"/>
      <c r="N32" s="136" t="n"/>
      <c r="O32" s="136" t="n"/>
      <c r="P32" s="136" t="n"/>
      <c r="Q32" s="137" t="n"/>
    </row>
    <row r="33">
      <c r="A33" s="136" t="n"/>
      <c r="B33" s="136" t="n"/>
      <c r="C33" s="136" t="n"/>
      <c r="D33" s="136" t="n"/>
      <c r="E33" s="136" t="n"/>
      <c r="F33" s="136" t="n"/>
      <c r="G33" s="136" t="n"/>
      <c r="H33" s="136" t="n"/>
      <c r="I33" s="136" t="n"/>
      <c r="J33" s="136" t="n"/>
      <c r="K33" s="136" t="n"/>
      <c r="L33" s="136" t="n"/>
      <c r="M33" s="136" t="n"/>
      <c r="N33" s="136" t="n"/>
      <c r="O33" s="136" t="n"/>
      <c r="P33" s="136" t="n"/>
      <c r="Q33" s="137" t="n"/>
    </row>
    <row r="34">
      <c r="A34" s="136" t="n"/>
      <c r="B34" s="136" t="n"/>
      <c r="C34" s="136" t="n"/>
      <c r="D34" s="136" t="n"/>
      <c r="E34" s="136" t="n"/>
      <c r="F34" s="136" t="n"/>
      <c r="G34" s="136" t="n"/>
      <c r="H34" s="136" t="n"/>
      <c r="I34" s="136" t="n"/>
      <c r="J34" s="136" t="n"/>
      <c r="K34" s="136" t="n"/>
      <c r="L34" s="136" t="n"/>
      <c r="M34" s="136" t="n"/>
      <c r="N34" s="136" t="n"/>
      <c r="O34" s="136" t="n"/>
      <c r="P34" s="136" t="n"/>
      <c r="Q34" s="137" t="n"/>
    </row>
    <row r="35">
      <c r="A35" s="136" t="n"/>
      <c r="B35" s="136" t="n"/>
      <c r="C35" s="136" t="n"/>
      <c r="D35" s="136" t="n"/>
      <c r="E35" s="136" t="n"/>
      <c r="F35" s="136" t="n"/>
      <c r="G35" s="136" t="n"/>
      <c r="H35" s="136" t="n"/>
      <c r="I35" s="136" t="n"/>
      <c r="J35" s="136" t="n"/>
      <c r="K35" s="136" t="n"/>
      <c r="L35" s="136" t="n"/>
      <c r="M35" s="136" t="n"/>
      <c r="N35" s="136" t="n"/>
      <c r="O35" s="136" t="n"/>
      <c r="P35" s="136" t="n"/>
      <c r="Q35" s="137" t="n"/>
    </row>
    <row r="36">
      <c r="A36" s="136" t="n"/>
      <c r="B36" s="136" t="n"/>
      <c r="C36" s="136" t="n"/>
      <c r="D36" s="136" t="n"/>
      <c r="E36" s="136" t="n"/>
      <c r="F36" s="136" t="n"/>
      <c r="G36" s="136" t="n"/>
      <c r="H36" s="136" t="n"/>
      <c r="I36" s="136" t="n"/>
      <c r="J36" s="136" t="n"/>
      <c r="K36" s="136" t="n"/>
      <c r="L36" s="136" t="n"/>
      <c r="M36" s="136" t="n"/>
      <c r="N36" s="136" t="n"/>
      <c r="O36" s="136" t="n"/>
      <c r="P36" s="136" t="n"/>
      <c r="Q36" s="137" t="n"/>
    </row>
    <row r="37">
      <c r="A37" s="136" t="n"/>
      <c r="B37" s="136" t="n"/>
      <c r="C37" s="136" t="n"/>
      <c r="D37" s="136" t="n"/>
      <c r="E37" s="136" t="n"/>
      <c r="F37" s="136" t="n"/>
      <c r="G37" s="136" t="n"/>
      <c r="H37" s="136" t="n"/>
      <c r="I37" s="136" t="n"/>
      <c r="J37" s="136" t="n"/>
      <c r="K37" s="136" t="n"/>
      <c r="L37" s="136" t="n"/>
      <c r="M37" s="136" t="n"/>
      <c r="N37" s="136" t="n"/>
      <c r="O37" s="136" t="n"/>
      <c r="P37" s="136" t="n"/>
      <c r="Q37" s="137" t="n"/>
    </row>
    <row r="38">
      <c r="A38" s="136" t="n"/>
      <c r="B38" s="136" t="n"/>
      <c r="C38" s="136" t="n"/>
      <c r="D38" s="136" t="n"/>
      <c r="E38" s="136" t="n"/>
      <c r="F38" s="136" t="n"/>
      <c r="G38" s="136" t="n"/>
      <c r="H38" s="136" t="n"/>
      <c r="I38" s="136" t="n"/>
      <c r="J38" s="136" t="n"/>
      <c r="K38" s="136" t="n"/>
      <c r="L38" s="136" t="n"/>
      <c r="M38" s="136" t="n"/>
      <c r="N38" s="136" t="n"/>
      <c r="O38" s="136" t="n"/>
      <c r="P38" s="136" t="n"/>
      <c r="Q38" s="137" t="n"/>
    </row>
    <row r="39">
      <c r="A39" s="136" t="n"/>
      <c r="B39" s="136" t="n"/>
      <c r="C39" s="136" t="n"/>
      <c r="D39" s="136" t="n"/>
      <c r="E39" s="136" t="n"/>
      <c r="F39" s="136" t="n"/>
      <c r="G39" s="136" t="n"/>
      <c r="H39" s="136" t="n"/>
      <c r="I39" s="136" t="n"/>
      <c r="J39" s="136" t="n"/>
      <c r="K39" s="136" t="n"/>
      <c r="L39" s="136" t="n"/>
      <c r="M39" s="136" t="n"/>
      <c r="N39" s="136" t="n"/>
      <c r="O39" s="136" t="n"/>
      <c r="P39" s="136" t="n"/>
      <c r="Q39" s="137" t="n"/>
    </row>
    <row r="40">
      <c r="A40" s="136" t="n"/>
      <c r="B40" s="136" t="n"/>
      <c r="C40" s="136" t="n"/>
      <c r="D40" s="136" t="n"/>
      <c r="E40" s="136" t="n"/>
      <c r="F40" s="136" t="n"/>
      <c r="G40" s="136" t="n"/>
      <c r="H40" s="136" t="n"/>
      <c r="I40" s="136" t="n"/>
      <c r="J40" s="136" t="n"/>
      <c r="K40" s="136" t="n"/>
      <c r="L40" s="136" t="n"/>
      <c r="M40" s="136" t="n"/>
      <c r="N40" s="136" t="n"/>
      <c r="O40" s="136" t="n"/>
      <c r="P40" s="136" t="n"/>
      <c r="Q40" s="137" t="n"/>
    </row>
    <row r="41">
      <c r="A41" s="136" t="n"/>
      <c r="B41" s="136" t="n"/>
      <c r="C41" s="136" t="n"/>
      <c r="D41" s="136" t="n"/>
      <c r="E41" s="136" t="n"/>
      <c r="F41" s="136" t="n"/>
      <c r="G41" s="136" t="n"/>
      <c r="H41" s="136" t="n"/>
      <c r="I41" s="136" t="n"/>
      <c r="J41" s="136" t="n"/>
      <c r="K41" s="136" t="n"/>
      <c r="L41" s="136" t="n"/>
      <c r="M41" s="136" t="n"/>
      <c r="N41" s="136" t="n"/>
      <c r="O41" s="136" t="n"/>
      <c r="P41" s="136" t="n"/>
      <c r="Q41" s="137" t="n"/>
    </row>
    <row r="42">
      <c r="A42" s="136" t="n"/>
      <c r="B42" s="136" t="n"/>
      <c r="C42" s="136" t="n"/>
      <c r="D42" s="136" t="n"/>
      <c r="E42" s="136" t="n"/>
      <c r="F42" s="136" t="n"/>
      <c r="G42" s="136" t="n"/>
      <c r="H42" s="136" t="n"/>
      <c r="I42" s="136" t="n"/>
      <c r="J42" s="136" t="n"/>
      <c r="K42" s="136" t="n"/>
      <c r="L42" s="136" t="n"/>
      <c r="M42" s="136" t="n"/>
      <c r="N42" s="136" t="n"/>
      <c r="O42" s="136" t="n"/>
      <c r="P42" s="136" t="n"/>
      <c r="Q42" s="137" t="n"/>
    </row>
    <row r="43">
      <c r="A43" s="136" t="n"/>
      <c r="B43" s="136" t="n"/>
      <c r="C43" s="136" t="n"/>
      <c r="D43" s="136" t="n"/>
      <c r="E43" s="136" t="n"/>
      <c r="F43" s="136" t="n"/>
      <c r="G43" s="136" t="n"/>
      <c r="H43" s="136" t="n"/>
      <c r="I43" s="136" t="n"/>
      <c r="J43" s="136" t="n"/>
      <c r="K43" s="136" t="n"/>
      <c r="L43" s="136" t="n"/>
      <c r="M43" s="136" t="n"/>
      <c r="N43" s="136" t="n"/>
      <c r="O43" s="136" t="n"/>
      <c r="P43" s="136" t="n"/>
      <c r="Q43" s="137" t="n"/>
    </row>
    <row r="44">
      <c r="A44" s="136" t="n"/>
      <c r="B44" s="136" t="n"/>
      <c r="C44" s="136" t="n"/>
      <c r="D44" s="136" t="n"/>
      <c r="E44" s="136" t="n"/>
      <c r="F44" s="136" t="n"/>
      <c r="G44" s="136" t="n"/>
      <c r="H44" s="136" t="n"/>
      <c r="I44" s="136" t="n"/>
      <c r="J44" s="136" t="n"/>
      <c r="K44" s="136" t="n"/>
      <c r="L44" s="136" t="n"/>
      <c r="M44" s="136" t="n"/>
      <c r="N44" s="136" t="n"/>
      <c r="O44" s="136" t="n"/>
      <c r="P44" s="136" t="n"/>
      <c r="Q44" s="137" t="n"/>
    </row>
    <row r="45">
      <c r="A45" s="136" t="n"/>
      <c r="B45" s="136" t="n"/>
      <c r="C45" s="136" t="n"/>
      <c r="D45" s="136" t="n"/>
      <c r="E45" s="136" t="n"/>
      <c r="F45" s="136" t="n"/>
      <c r="G45" s="136" t="n"/>
      <c r="H45" s="136" t="n"/>
      <c r="I45" s="136" t="n"/>
      <c r="J45" s="136" t="n"/>
      <c r="K45" s="136" t="n"/>
      <c r="L45" s="136" t="n"/>
      <c r="M45" s="136" t="n"/>
      <c r="N45" s="136" t="n"/>
      <c r="O45" s="136" t="n"/>
      <c r="P45" s="136" t="n"/>
      <c r="Q45" s="137" t="n"/>
    </row>
    <row r="46">
      <c r="A46" s="136" t="n"/>
      <c r="B46" s="136" t="n"/>
      <c r="C46" s="136" t="n"/>
      <c r="D46" s="136" t="n"/>
      <c r="E46" s="136" t="n"/>
      <c r="F46" s="136" t="n"/>
      <c r="G46" s="136" t="n"/>
      <c r="H46" s="136" t="n"/>
      <c r="I46" s="136" t="n"/>
      <c r="J46" s="136" t="n"/>
      <c r="K46" s="136" t="n"/>
      <c r="L46" s="136" t="n"/>
      <c r="M46" s="136" t="n"/>
      <c r="N46" s="136" t="n"/>
      <c r="O46" s="136" t="n"/>
      <c r="P46" s="136" t="n"/>
      <c r="Q46" s="137" t="n"/>
    </row>
    <row r="47">
      <c r="A47" s="136" t="n"/>
      <c r="B47" s="136" t="n"/>
      <c r="C47" s="136" t="n"/>
      <c r="D47" s="136" t="n"/>
      <c r="E47" s="136" t="n"/>
      <c r="F47" s="136" t="n"/>
      <c r="G47" s="136" t="n"/>
      <c r="H47" s="136" t="n"/>
      <c r="I47" s="136" t="n"/>
      <c r="J47" s="136" t="n"/>
      <c r="K47" s="136" t="n"/>
      <c r="L47" s="136" t="n"/>
      <c r="M47" s="136" t="n"/>
      <c r="N47" s="136" t="n"/>
      <c r="O47" s="136" t="n"/>
      <c r="P47" s="136" t="n"/>
      <c r="Q47" s="137" t="n"/>
    </row>
    <row r="48">
      <c r="A48" s="136" t="n"/>
      <c r="B48" s="136" t="n"/>
      <c r="C48" s="136" t="n"/>
      <c r="D48" s="136" t="n"/>
      <c r="E48" s="136" t="n"/>
      <c r="F48" s="136" t="n"/>
      <c r="G48" s="136" t="n"/>
      <c r="H48" s="136" t="n"/>
      <c r="I48" s="136" t="n"/>
      <c r="J48" s="136" t="n"/>
      <c r="K48" s="136" t="n"/>
      <c r="L48" s="136" t="n"/>
      <c r="M48" s="136" t="n"/>
      <c r="N48" s="136" t="n"/>
      <c r="O48" s="136" t="n"/>
      <c r="P48" s="136" t="n"/>
      <c r="Q48" s="137" t="n"/>
    </row>
    <row r="49">
      <c r="A49" s="138" t="n"/>
      <c r="B49" s="139" t="n"/>
      <c r="C49" s="140" t="n"/>
      <c r="D49" s="139" t="n"/>
      <c r="E49" s="139" t="n"/>
      <c r="F49" s="139" t="n"/>
      <c r="G49" s="140" t="n"/>
      <c r="H49" s="139" t="n"/>
      <c r="I49" s="139" t="n"/>
      <c r="J49" s="139" t="n"/>
      <c r="K49" s="139" t="n"/>
      <c r="L49" s="140" t="n"/>
      <c r="M49" s="139" t="n"/>
      <c r="N49" s="139" t="n"/>
      <c r="O49" s="140" t="n"/>
      <c r="P49" s="140" t="n"/>
      <c r="Q49" s="141" t="n"/>
    </row>
    <row r="50">
      <c r="A50" s="138" t="n"/>
      <c r="B50" s="139" t="n"/>
      <c r="C50" s="140" t="n"/>
      <c r="D50" s="139" t="n"/>
      <c r="E50" s="139" t="n"/>
      <c r="F50" s="139" t="n"/>
      <c r="G50" s="140" t="n"/>
      <c r="H50" s="139" t="n"/>
      <c r="I50" s="139" t="n"/>
      <c r="J50" s="139" t="n"/>
      <c r="K50" s="139" t="n"/>
      <c r="L50" s="140" t="n"/>
      <c r="M50" s="139" t="n"/>
      <c r="N50" s="139" t="n"/>
      <c r="O50" s="140" t="n"/>
      <c r="P50" s="140" t="n"/>
      <c r="Q50" s="141" t="n"/>
    </row>
    <row r="51">
      <c r="A51" s="138" t="n"/>
      <c r="B51" s="139" t="n"/>
      <c r="C51" s="140" t="n"/>
      <c r="D51" s="139" t="n"/>
      <c r="E51" s="139" t="n"/>
      <c r="F51" s="139" t="n"/>
      <c r="G51" s="140" t="n"/>
      <c r="H51" s="139" t="n"/>
      <c r="I51" s="139" t="n"/>
      <c r="J51" s="139" t="n"/>
      <c r="K51" s="139" t="n"/>
      <c r="L51" s="140" t="n"/>
      <c r="M51" s="139" t="n"/>
      <c r="N51" s="139" t="n"/>
      <c r="O51" s="140" t="n"/>
      <c r="P51" s="140" t="n"/>
      <c r="Q51" s="141" t="n"/>
    </row>
  </sheetData>
  <autoFilter ref="A4:Q51"/>
  <mergeCells count="3">
    <mergeCell ref="A1:P1"/>
    <mergeCell ref="A3:P3"/>
    <mergeCell ref="A2:P2"/>
  </mergeCells>
  <dataValidations count="1">
    <dataValidation sqref="K5:K11" showDropDown="0" showInputMessage="0" showErrorMessage="0" allowBlank="1" type="list">
      <formula1>='فهرست‌ها'!$A$2:$A$7</formula1>
    </dataValidation>
  </dataValidations>
  <hyperlinks>
    <hyperlink xmlns:r="http://schemas.openxmlformats.org/officeDocument/2006/relationships" ref="A3" r:id="rId1"/>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3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18" t="inlineStr">
        <is>
          <t>تست‌های آزمایشگاهی (پایه، اسیلوسکوپ و زمان‌بندی دقیق — جدا از تست عملی)</t>
        </is>
      </c>
      <c r="B1" s="85" t="n"/>
      <c r="C1" s="85" t="n"/>
      <c r="D1" s="85" t="n"/>
      <c r="E1" s="85" t="n"/>
      <c r="F1" s="85" t="n"/>
      <c r="G1" s="85" t="n"/>
      <c r="H1" s="85" t="n"/>
      <c r="I1" s="85" t="n"/>
      <c r="J1" s="85" t="n"/>
      <c r="K1" s="85" t="n"/>
      <c r="L1" s="85" t="n"/>
      <c r="M1" s="85" t="n"/>
      <c r="N1" s="85" t="n"/>
      <c r="O1" s="85" t="n"/>
      <c r="P1" s="85" t="n"/>
      <c r="Q1" s="85" t="n"/>
    </row>
    <row r="2" ht="42" customHeight="1">
      <c r="A2" s="11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5" t="n"/>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معیار قبولی</t>
        </is>
      </c>
      <c r="J4" s="87" t="inlineStr">
        <is>
          <t>نتیجه واقعی</t>
        </is>
      </c>
      <c r="K4" s="87" t="inlineStr">
        <is>
          <t>وضعیت</t>
        </is>
      </c>
      <c r="L4" s="87" t="inlineStr">
        <is>
          <t>شرح ایراد</t>
        </is>
      </c>
      <c r="M4" s="87" t="inlineStr">
        <is>
          <t>مدرک تست</t>
        </is>
      </c>
      <c r="N4" s="87" t="inlineStr">
        <is>
          <t>نسخهٔ برنامه</t>
        </is>
      </c>
      <c r="O4" s="87" t="inlineStr">
        <is>
          <t>نام تست‌کننده</t>
        </is>
      </c>
      <c r="P4" s="87" t="inlineStr">
        <is>
          <t>تاریخ</t>
        </is>
      </c>
      <c r="Q4" s="87" t="n"/>
    </row>
    <row r="5" ht="54" customHeight="1">
      <c r="A5" s="103" t="inlineStr">
        <is>
          <t>MS-002</t>
        </is>
      </c>
      <c r="B5" s="111" t="inlineStr">
        <is>
          <t>Warmup / فریم اول</t>
        </is>
      </c>
      <c r="C5" s="112" t="inlineStr">
        <is>
          <t>بالا</t>
        </is>
      </c>
      <c r="D5" s="111" t="inlineStr">
        <is>
          <t>پس از Init و Start موفق</t>
        </is>
      </c>
      <c r="E5" s="120" t="inlineStr">
        <is>
          <t>گام ۱: Init و Start را با موفقیت انجام بده (ادامهٔ MS-001).
گام ۲: یک فریم کامل و پایدار ADC روی هر 5 کانال اعمال کن؛ مثلاً روی همه 2 ولت (counts حدود 2482).
گام ۳: فقط یک بار func__Measurement_Run را صدا بزن و valid را بخوان.
گام ۴: هنوز باید valid=false باشد و شمارندهٔ warmup برابر 1 شده باشد؛ valid شدن در فریم اول یعنی رد تست.</t>
        </is>
      </c>
      <c r="F5" s="113" t="inlineStr">
        <is>
          <t>فریم 1 کامل و پایدار, counts≈2482 (2V)</t>
        </is>
      </c>
      <c r="G5" s="113" t="inlineStr">
        <is>
          <t>10ms</t>
        </is>
      </c>
      <c r="H5" s="111" t="inlineStr">
        <is>
          <t>valid همچنان false، warmupCounter=1، globals هنوز 0 یا قدیمی اما valid=false. PASS: هنوز invalid. FAIL: valid true زودهنگام.</t>
        </is>
      </c>
      <c r="I5" s="111" t="inlineStr">
        <is>
          <t>PASS: فریم1 → still false. FAIL: valid true.</t>
        </is>
      </c>
      <c r="J5" s="111" t="n"/>
      <c r="K5" s="111" t="inlineStr">
        <is>
          <t>در انتظار</t>
        </is>
      </c>
      <c r="L5" s="114" t="n"/>
      <c r="M5" s="111" t="n"/>
      <c r="N5" s="111" t="inlineStr">
        <is>
          <t>c6b084f28f2c507cfd342e5dbd0dbd8e45686772</t>
        </is>
      </c>
      <c r="O5" s="113" t="n"/>
      <c r="P5" s="113" t="n"/>
      <c r="Q5" s="115">
        <f>IF(OR(L5="",L5="در انتظار"),"",IF(Q5="",TODAY(),Q5))</f>
        <v/>
      </c>
    </row>
    <row r="6" ht="54" customHeight="1">
      <c r="A6" s="103" t="inlineStr">
        <is>
          <t>MS-003</t>
        </is>
      </c>
      <c r="B6" s="104" t="inlineStr">
        <is>
          <t>Warmup / فریم دوم</t>
        </is>
      </c>
      <c r="C6" s="105" t="inlineStr">
        <is>
          <t>بالا</t>
        </is>
      </c>
      <c r="D6" s="121" t="inlineStr">
        <is>
          <t>پس از MS-002</t>
        </is>
      </c>
      <c r="E6" s="121" t="inlineStr">
        <is>
          <t>گام ۱: ادامهٔ MS-002 (یک فریم داده‌ای و warmup=1).
گام ۲: فریم دوم کامل و پایدار را با همان counts 2482 اعمال کن.
گام ۳: یک Run دیگر بزن و valid را بخوان.
گام ۴: هنوز باید valid=false باشد و شمارندهٔ warmup برابر 2 شده باشد؛ true شدن یعنی رد تست.</t>
        </is>
      </c>
      <c r="F6" s="106" t="inlineStr">
        <is>
          <t>فریم 2 کامل, counts 2482</t>
        </is>
      </c>
      <c r="G6" s="106" t="inlineStr">
        <is>
          <t>10ms</t>
        </is>
      </c>
      <c r="H6" s="104" t="inlineStr">
        <is>
          <t>valid همچنان false، counter=2. PASS: still false. FAIL: true.</t>
        </is>
      </c>
      <c r="I6" s="104" t="inlineStr">
        <is>
          <t>PASS: فریم2 still false. FAIL: true.</t>
        </is>
      </c>
      <c r="J6" s="107" t="n"/>
      <c r="K6" s="108" t="inlineStr">
        <is>
          <t>در انتظار</t>
        </is>
      </c>
      <c r="L6" s="109" t="n"/>
      <c r="M6" s="104" t="n"/>
      <c r="N6" s="104" t="inlineStr">
        <is>
          <t>c6b084f28f2c507cfd342e5dbd0dbd8e45686772</t>
        </is>
      </c>
      <c r="O6" s="106" t="n"/>
      <c r="P6" s="106" t="n"/>
      <c r="Q6" s="110">
        <f>IF(OR(L6="",L6="در انتظار"),"",IF(Q6="",TODAY(),Q6))</f>
        <v/>
      </c>
    </row>
    <row r="7" ht="54" customHeight="1">
      <c r="A7" s="103" t="inlineStr">
        <is>
          <t>MS-004</t>
        </is>
      </c>
      <c r="B7" s="111" t="inlineStr">
        <is>
          <t>Warmup / فریم سوم</t>
        </is>
      </c>
      <c r="C7" s="112" t="inlineStr">
        <is>
          <t>بالا</t>
        </is>
      </c>
      <c r="D7" s="120" t="inlineStr">
        <is>
          <t>پس از MS-003</t>
        </is>
      </c>
      <c r="E7" s="120" t="inlineStr">
        <is>
          <t>گام ۱: ادامهٔ MS-003 است: دو فریم داده‌ای آمده و warmup=2 شده است.
گام ۲: فریم سوم کامل را اعمال کن: کانال‌های ولتاژ counts برابر 2482 (یعنی 2 ولت روی پایه) و کانال‌های جریان counts برابر 610 (یعنی 0.49 ولت روی پایه).
گام ۳: یک Run بزن.
گام ۴: حالا باید valid=true شود و همهٔ globals به‌روز باشند.
V24 حدود 22352 میلی‌ولت است. V12 حدود 12058 میلی‌ولت است. جریان حدود 486 میلی‌آمپر است. input_present هم مطابق وضعیت PB4 است.
گام ۵: اگر هنوز false بود، تست رد است.</t>
        </is>
      </c>
      <c r="F7" s="113" t="inlineStr">
        <is>
          <t>فریم 3 کامل, counts: V channels 2482 (2V pin), I channels 610 (0.49V)</t>
        </is>
      </c>
      <c r="G7" s="113" t="inlineStr">
        <is>
          <t>10ms</t>
        </is>
      </c>
      <c r="H7" s="111" t="inlineStr">
        <is>
          <t>valid=true، همه globals به‌روز: 2V pin → V24≈22352mV, V12≈12058mV, Current≈486mA با I counts 610, input_present per PB4. PASS: valid true و مقادیر محاسبه شده ±tolerance. FAIL: همچنان false.</t>
        </is>
      </c>
      <c r="I7" s="111" t="inlineStr">
        <is>
          <t>PASS: فریم3 → valid true با V24≈22352 و I≈486mA. FAIL: still false.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MS-005</t>
        </is>
      </c>
      <c r="B8" s="104" t="inlineStr">
        <is>
          <t>Warmup / فریم ناقص</t>
        </is>
      </c>
      <c r="C8" s="105" t="inlineStr">
        <is>
          <t>بالا</t>
        </is>
      </c>
      <c r="D8" s="104" t="inlineStr">
        <is>
          <t>پس از valid=true</t>
        </is>
      </c>
      <c r="E8" s="121" t="inlineStr">
        <is>
          <t>گام ۱: از valid=true شروع کن (پایان MS-004).
گام ۲: یک فریم ناپایدار اعمال کن؛ مثلاً کاری کن GetRaw مقدار false بدهد (شمارندهٔ DMA وسط کپی حرکت کند).
گام ۳: یک Run بزن.
گام ۴: باید همان لحظه valid=false شود، شمارندهٔ warmup به صفر برگردد و snapshot.valid هم false باشد؛ true ماندن یعنی رد تست.</t>
        </is>
      </c>
      <c r="F8" s="106" t="inlineStr">
        <is>
          <t>فریم ناقص/ناپایدار (GetRaw false)</t>
        </is>
      </c>
      <c r="G8" s="106" t="inlineStr">
        <is>
          <t>10ms</t>
        </is>
      </c>
      <c r="H8" s="104" t="inlineStr">
        <is>
          <t>valid=false فوری، warmupCounter reset به 0، snapshot.valid false. PASS: invalid و reset. FAIL: همچنان true.</t>
        </is>
      </c>
      <c r="I8" s="104" t="inlineStr">
        <is>
          <t>PASS: unstable → invalid+reset. FAIL: remains true.</t>
        </is>
      </c>
      <c r="J8" s="107" t="n"/>
      <c r="K8" s="108" t="inlineStr">
        <is>
          <t>در انتظار</t>
        </is>
      </c>
      <c r="L8" s="109" t="n"/>
      <c r="M8" s="104" t="n"/>
      <c r="N8" s="104" t="inlineStr">
        <is>
          <t>c6b084f28f2c507cfd342e5dbd0dbd8e45686772</t>
        </is>
      </c>
      <c r="O8" s="106" t="n"/>
      <c r="P8" s="106" t="n"/>
      <c r="Q8" s="110">
        <f>IF(OR(L8="",L8="در انتظار"),"",IF(Q8="",TODAY(),Q8))</f>
        <v/>
      </c>
    </row>
    <row r="9" ht="54" customHeight="1">
      <c r="A9" s="103" t="inlineStr">
        <is>
          <t>MS-006</t>
        </is>
      </c>
      <c r="B9" s="111" t="inlineStr">
        <is>
          <t>Warmup / شروع دوباره</t>
        </is>
      </c>
      <c r="C9" s="112" t="inlineStr">
        <is>
          <t>بالا</t>
        </is>
      </c>
      <c r="D9" s="120" t="inlineStr">
        <is>
          <t>پس از MS-005</t>
        </is>
      </c>
      <c r="E9" s="120" t="inlineStr">
        <is>
          <t>گام ۱: ادامهٔ MS-005 (فریم خراب و warmup=0).
گام ۲: سه فریم کامل و پایدار پشت سر هم اعمال کن و هر کدام یک Run بزن (در مجموع 30 میلی‌ثانیه).
گام ۳: بعد از فریم اول و دوم هنوز باید valid=false باشد.
گام ۴: دقیقاً بعد از فریم سوم باید valid=true شود؛ زودتر یا دیرتر شدن یعنی رد تست.</t>
        </is>
      </c>
      <c r="F9" s="113" t="inlineStr">
        <is>
          <t>3 فریم کامل</t>
        </is>
      </c>
      <c r="G9" s="113" t="inlineStr">
        <is>
          <t>30ms</t>
        </is>
      </c>
      <c r="H9" s="111" t="inlineStr">
        <is>
          <t>پس از فریم سوم دوباره valid=true. PASS: warmup دوباره 3 فریم. FAIL: valid زودتر یا دیرتر.</t>
        </is>
      </c>
      <c r="I9" s="111" t="inlineStr">
        <is>
          <t>PASS: 3 فریم دوباره → true. FAIL: otherwise.</t>
        </is>
      </c>
      <c r="J9" s="111" t="n"/>
      <c r="K9" s="111" t="inlineStr">
        <is>
          <t>در انتظار</t>
        </is>
      </c>
      <c r="L9" s="114" t="n"/>
      <c r="M9" s="111" t="n"/>
      <c r="N9" s="111" t="inlineStr">
        <is>
          <t>c6b084f28f2c507cfd342e5dbd0dbd8e45686772</t>
        </is>
      </c>
      <c r="O9" s="113" t="n"/>
      <c r="P9" s="113" t="n"/>
      <c r="Q9" s="115">
        <f>IF(OR(L9="",L9="در انتظار"),"",IF(Q9="",TODAY(),Q9))</f>
        <v/>
      </c>
    </row>
    <row r="10" ht="54" customHeight="1">
      <c r="A10" s="103" t="inlineStr">
        <is>
          <t>MS-007</t>
        </is>
      </c>
      <c r="B10" s="104" t="inlineStr">
        <is>
          <t>ورودی 24V قطع</t>
        </is>
      </c>
      <c r="C10" s="106" t="inlineStr">
        <is>
          <t>متوسط</t>
        </is>
      </c>
      <c r="D10" s="104" t="inlineStr">
        <is>
          <t>valid=true با Vin=0</t>
        </is>
      </c>
      <c r="E10" s="104" t="inlineStr">
        <is>
          <t>گام ۱: از valid=true شروع کن و ولتاژ ورودی را صفر بده (Vin=0 ولت، counts صفر)، ولی بقیهٔ کانال‌ها معتبر بمانند (مثلاً 2 ولت).
گام ۲: یک Run بزن.
گام ۳: valid باید همچنان true بماند، چون قطع ورودی نباید ADC را نامعتبر کند.
گام ۴: v_in_mv باید حدود صفر باشد و بقیهٔ مقادیر به‌روز شده باشند؛ false شدن valid یعنی رد تست.</t>
        </is>
      </c>
      <c r="F10" s="106" t="inlineStr">
        <is>
          <t>v_in 0V (counts 0), سایر 2V</t>
        </is>
      </c>
      <c r="G10" s="106" t="inlineStr">
        <is>
          <t>10ms</t>
        </is>
      </c>
      <c r="H10" s="104" t="inlineStr">
        <is>
          <t>valid همچنان true (قطع ورودی ADC را invalid نمی‌کند)، v_in_mv≈0، سایر مقادیر به‌روز. PASS: valid true با Vin صفر. FAIL: valid false.</t>
        </is>
      </c>
      <c r="I10" s="104" t="inlineStr">
        <is>
          <t>PASS: Vin zero still valid. FAIL: invalid.</t>
        </is>
      </c>
      <c r="J10" s="107" t="n"/>
      <c r="K10" s="108" t="inlineStr">
        <is>
          <t>در انتظار</t>
        </is>
      </c>
      <c r="L10" s="109" t="n"/>
      <c r="M10" s="104" t="n"/>
      <c r="N10" s="104" t="inlineStr">
        <is>
          <t>c6b084f28f2c507cfd342e5dbd0dbd8e45686772</t>
        </is>
      </c>
      <c r="O10" s="106" t="n"/>
      <c r="P10" s="106" t="n"/>
      <c r="Q10" s="110">
        <f>IF(OR(L10="",L10="در انتظار"),"",IF(Q10="",TODAY(),Q10))</f>
        <v/>
      </c>
    </row>
    <row r="11" ht="54" customHeight="1">
      <c r="A11" s="103" t="inlineStr">
        <is>
          <t>MS-008</t>
        </is>
      </c>
      <c r="B11" s="111" t="inlineStr">
        <is>
          <t>بررسی v_in_mv</t>
        </is>
      </c>
      <c r="C11" s="112" t="inlineStr">
        <is>
          <t>بالا</t>
        </is>
      </c>
      <c r="D11" s="111" t="inlineStr">
        <is>
          <t>valid=true</t>
        </is>
      </c>
      <c r="E11" s="111" t="inlineStr">
        <is>
          <t>گام ۱: از valid=true شروع کن.
گام ۲: روی پایهٔ ADC مقدار counts=1241 بده (حدود 1 ولت روی پایه).
گام ۳: اول خودت حساب کن: 1241 ضربدر 3300 تقسیم بر 4095 می‌شود حدود 1000 میلی‌ولت روی پایه. بعد ضربدر 76000 تقسیم بر 6800 می‌شود حدود 11176 میلی‌ولت.
گام ۴: مقدار خوانده‌شدهٔ v_in_mv را با 11176 مقایسه کن. خطای مجاز ±9 میلی‌ولت است.
گام ۵: خطای بیشتر از 20 میلی‌ولت یعنی رد تست.</t>
        </is>
      </c>
      <c r="F11" s="113" t="inlineStr">
        <is>
          <t>counts 1241 (1V)</t>
        </is>
      </c>
      <c r="G11" s="113" t="inlineStr">
        <is>
          <t>10ms</t>
        </is>
      </c>
      <c r="H11" s="111" t="inlineStr">
        <is>
          <t>v_in_mv = 1241*3300/4095≈1000mV pin → *76000/6800≈11176mV. tolerance ±9mV. PASS: خوانش در tolerance. FAIL: &gt;20mV خطا.</t>
        </is>
      </c>
      <c r="I11" s="111" t="inlineStr">
        <is>
          <t>PASS: مطابق فرمول V24. FAIL: خطا.</t>
        </is>
      </c>
      <c r="J11" s="111" t="n"/>
      <c r="K11" s="111" t="inlineStr">
        <is>
          <t>در انتظار</t>
        </is>
      </c>
      <c r="L11" s="114" t="n"/>
      <c r="M11" s="111" t="n"/>
      <c r="N11" s="111" t="inlineStr">
        <is>
          <t>c6b084f28f2c507cfd342e5dbd0dbd8e45686772</t>
        </is>
      </c>
      <c r="O11" s="113" t="n"/>
      <c r="P11" s="113" t="n"/>
      <c r="Q11" s="115">
        <f>IF(OR(L11="",L11="در انتظار"),"",IF(Q11="",TODAY(),Q11))</f>
        <v/>
      </c>
    </row>
    <row r="12" ht="54" customHeight="1">
      <c r="A12" s="103" t="inlineStr">
        <is>
          <t>MS-009</t>
        </is>
      </c>
      <c r="B12" s="104" t="inlineStr">
        <is>
          <t>بررسی v_bat24_mv</t>
        </is>
      </c>
      <c r="C12" s="105" t="inlineStr">
        <is>
          <t>بالا</t>
        </is>
      </c>
      <c r="D12" s="104" t="inlineStr">
        <is>
          <t>valid=true</t>
        </is>
      </c>
      <c r="E12" s="104" t="inlineStr">
        <is>
          <t>گام ۱: از valid=true شروع کن.
گام ۲: روی کانال باتری 24 ولت counts=2482 بده (2 ولت روی پایه).
گام ۳: مقدار v_bat24_mv را بخوان.
گام ۴: باید حدود 22352 میلی‌ولت باشد با خطای حداکثر ±9 میلی‌ولت؛ بیشتر یعنی رد تست.</t>
        </is>
      </c>
      <c r="F12" s="106" t="inlineStr">
        <is>
          <t>counts 2482</t>
        </is>
      </c>
      <c r="G12" s="106" t="inlineStr">
        <is>
          <t>10ms</t>
        </is>
      </c>
      <c r="H12" s="104" t="inlineStr">
        <is>
          <t>v_bat24_mv≈22352mV ±9mV. PASS. FAIL: خطا.</t>
        </is>
      </c>
      <c r="I12" s="104" t="inlineStr">
        <is>
          <t>PASS: مطابق فرمول V24. FAIL: خطا.</t>
        </is>
      </c>
      <c r="J12" s="107" t="n"/>
      <c r="K12" s="108" t="inlineStr">
        <is>
          <t>در انتظار</t>
        </is>
      </c>
      <c r="L12" s="109" t="n"/>
      <c r="M12" s="104" t="n"/>
      <c r="N12" s="104" t="inlineStr">
        <is>
          <t>c6b084f28f2c507cfd342e5dbd0dbd8e45686772</t>
        </is>
      </c>
      <c r="O12" s="106" t="n"/>
      <c r="P12" s="106" t="n"/>
      <c r="Q12" s="110">
        <f>IF(OR(L12="",L12="در انتظار"),"",IF(Q12="",TODAY(),Q12))</f>
        <v/>
      </c>
    </row>
    <row r="13" ht="54" customHeight="1">
      <c r="A13" s="103" t="inlineStr">
        <is>
          <t>MS-010</t>
        </is>
      </c>
      <c r="B13" s="111" t="inlineStr">
        <is>
          <t>بررسی v_bat12_mv</t>
        </is>
      </c>
      <c r="C13" s="112" t="inlineStr">
        <is>
          <t>بالا</t>
        </is>
      </c>
      <c r="D13" s="111" t="inlineStr">
        <is>
          <t>valid=true</t>
        </is>
      </c>
      <c r="E13" s="111" t="inlineStr">
        <is>
          <t>گام ۱: از valid=true شروع کن.
گام ۲: روی کانال باتری 12 ولت counts=2482 بده (2 ولت روی پایه).
گام ۳: مقدار v_bat12_mv را بخوان.
گام ۴: باید حدود 12058 میلی‌ولت باشد (2 ضربدر 41000 تقسیم بر 6800) با خطای حداکثر ±5 میلی‌ولت.</t>
        </is>
      </c>
      <c r="F13" s="113" t="inlineStr">
        <is>
          <t>counts 2482</t>
        </is>
      </c>
      <c r="G13" s="113" t="inlineStr">
        <is>
          <t>10ms</t>
        </is>
      </c>
      <c r="H13" s="111" t="inlineStr">
        <is>
          <t>v_bat12_mv≈12058mV ±5mV. PASS. FAIL: خطا.</t>
        </is>
      </c>
      <c r="I13" s="111" t="inlineStr">
        <is>
          <t>PASS: مطابق فرمول V12. FAIL: خطا.</t>
        </is>
      </c>
      <c r="J13" s="111" t="n"/>
      <c r="K13" s="111" t="inlineStr">
        <is>
          <t>در انتظار</t>
        </is>
      </c>
      <c r="L13" s="114" t="n"/>
      <c r="M13" s="111" t="n"/>
      <c r="N13" s="111" t="inlineStr">
        <is>
          <t>c6b084f28f2c507cfd342e5dbd0dbd8e45686772</t>
        </is>
      </c>
      <c r="O13" s="113" t="n"/>
      <c r="P13" s="113" t="n"/>
      <c r="Q13" s="115">
        <f>IF(OR(L13="",L13="در انتظار"),"",IF(Q13="",TODAY(),Q13))</f>
        <v/>
      </c>
    </row>
    <row r="14" ht="54" customHeight="1">
      <c r="A14" s="103" t="inlineStr">
        <is>
          <t>MS-011</t>
        </is>
      </c>
      <c r="B14" s="104" t="inlineStr">
        <is>
          <t>بررسی current1</t>
        </is>
      </c>
      <c r="C14" s="105" t="inlineStr">
        <is>
          <t>بالا</t>
        </is>
      </c>
      <c r="D14" s="104" t="inlineStr">
        <is>
          <t>valid=true</t>
        </is>
      </c>
      <c r="E14" s="104" t="inlineStr">
        <is>
          <t>گام ۱: از valid=true شروع کن.
گام ۲: روی کانال جریان شارژ ۱ counts=610 بده (حدود 0.49 ولت روی پایه).
گام ۳: خودت حساب کن: 610 ضربدر 3300 ضربدر 1000 تقسیم بر (4095 ضربدر 101 ضربدر 10) می‌شود حدود 486 میلی‌آمپر.
گام ۴: i_ch1 خوانده‌شده باید حدود 485 تا 486 میلی‌آمپر با خطای حداکثر ±1 میلی‌آمپر باشد.</t>
        </is>
      </c>
      <c r="F14" s="106" t="inlineStr">
        <is>
          <t>counts 610 (0.49V)</t>
        </is>
      </c>
      <c r="G14" s="106" t="inlineStr">
        <is>
          <t>10ms</t>
        </is>
      </c>
      <c r="H14" s="104" t="inlineStr">
        <is>
          <t>i_ch1≈ counts*3300*1000/(4095*101*10) ≈ 486mA ±1mA. PASS. FAIL: خطا.</t>
        </is>
      </c>
      <c r="I14" s="104" t="inlineStr">
        <is>
          <t>PASS: مطابق فرمول جریان. FAIL: خطا.</t>
        </is>
      </c>
      <c r="J14" s="107" t="n"/>
      <c r="K14" s="108" t="inlineStr">
        <is>
          <t>در انتظار</t>
        </is>
      </c>
      <c r="L14" s="109" t="n"/>
      <c r="M14" s="104" t="n"/>
      <c r="N14" s="104" t="inlineStr">
        <is>
          <t>c6b084f28f2c507cfd342e5dbd0dbd8e45686772</t>
        </is>
      </c>
      <c r="O14" s="106" t="n"/>
      <c r="P14" s="106" t="n"/>
      <c r="Q14" s="110">
        <f>IF(OR(L14="",L14="در انتظار"),"",IF(Q14="",TODAY(),Q14))</f>
        <v/>
      </c>
    </row>
    <row r="15" ht="54" customHeight="1">
      <c r="A15" s="103" t="inlineStr">
        <is>
          <t>MS-012</t>
        </is>
      </c>
      <c r="B15" s="111" t="inlineStr">
        <is>
          <t>بررسی current2</t>
        </is>
      </c>
      <c r="C15" s="112" t="inlineStr">
        <is>
          <t>بالا</t>
        </is>
      </c>
      <c r="D15" s="111" t="inlineStr">
        <is>
          <t>valid=true</t>
        </is>
      </c>
      <c r="E15" s="111" t="inlineStr">
        <is>
          <t>گام ۱: از valid=true شروع کن.
گام ۲: روی کانال جریان شارژ ۲ counts=1220 بده (حدود 0.98 ولت روی پایه).
گام ۳: i_ch2 را بخوان.
گام ۴: باید حدود 973 میلی‌آمپر باشد با خطای حداکثر ±1 میلی‌آمپر؛ بیشتر یعنی رد تست.</t>
        </is>
      </c>
      <c r="F15" s="113" t="inlineStr">
        <is>
          <t>counts 1220</t>
        </is>
      </c>
      <c r="G15" s="113" t="inlineStr">
        <is>
          <t>10ms</t>
        </is>
      </c>
      <c r="H15" s="111" t="inlineStr">
        <is>
          <t>i_ch2≈ 973mA ±1mA. PASS. FAIL: خطا.</t>
        </is>
      </c>
      <c r="I15" s="111" t="inlineStr">
        <is>
          <t>PASS: مطابق فرمول. FAIL: خطا.</t>
        </is>
      </c>
      <c r="J15" s="111" t="n"/>
      <c r="K15" s="111" t="inlineStr">
        <is>
          <t>در انتظار</t>
        </is>
      </c>
      <c r="L15" s="114" t="n"/>
      <c r="M15" s="111" t="n"/>
      <c r="N15" s="111" t="inlineStr">
        <is>
          <t>c6b084f28f2c507cfd342e5dbd0dbd8e45686772</t>
        </is>
      </c>
      <c r="O15" s="113" t="n"/>
      <c r="P15" s="113" t="n"/>
      <c r="Q15" s="115">
        <f>IF(OR(L15="",L15="در انتظار"),"",IF(Q15="",TODAY(),Q15))</f>
        <v/>
      </c>
    </row>
    <row r="16" ht="40.5" customHeight="1">
      <c r="A16" s="103" t="inlineStr">
        <is>
          <t>MS-017</t>
        </is>
      </c>
      <c r="B16" s="104" t="inlineStr">
        <is>
          <t>دوره 10ms تسک Measurement</t>
        </is>
      </c>
      <c r="C16" s="105" t="inlineStr">
        <is>
          <t>بالا</t>
        </is>
      </c>
      <c r="D16" s="104" t="inlineStr">
        <is>
          <t>valid=true</t>
        </is>
      </c>
      <c r="E16" s="104" t="inlineStr">
        <is>
          <t>گام ۱: از valid=true شروع کن.
گام ۲: اسیلوسکوپ را روی یک GPIO بگذار که ابتدای هر Run تغییر می‌کند (toggle) یا از Live Watch استفاده کن.
گام ۳: یک ثانیه ضبط کن و فاصلهٔ بین Runها را اندازه بگیر.
گام ۴: فاصله باید 10 میلی‌ثانیه ±1 میلی‌ثانیه باشد (MEASUREMENT_PERIOD_MS با osDelayUntil)؛ فاصلهٔ 5 یا 20 میلی‌ثانیه‌ای یعنی رد تست.</t>
        </is>
      </c>
      <c r="F16" s="106" t="inlineStr">
        <is>
          <t>—</t>
        </is>
      </c>
      <c r="G16" s="106" t="inlineStr">
        <is>
          <t>1s</t>
        </is>
      </c>
      <c r="H16" s="104" t="inlineStr">
        <is>
          <t>فاصله بین Runها باید 10ms ±1ms (MEASUREMENT_PERIOD_MS) با osDelayUntil. PASS: 10ms period. FAIL: 5ms یا 20ms.</t>
        </is>
      </c>
      <c r="I16" s="104" t="inlineStr">
        <is>
          <t>PASS: 10ms period. FAIL: otherwise.</t>
        </is>
      </c>
      <c r="J16" s="107" t="n"/>
      <c r="K16" s="108" t="inlineStr">
        <is>
          <t>در انتظار</t>
        </is>
      </c>
      <c r="L16" s="109" t="n"/>
      <c r="M16" s="104" t="n"/>
      <c r="N16" s="104" t="inlineStr">
        <is>
          <t>c6b084f28f2c507cfd342e5dbd0dbd8e45686772</t>
        </is>
      </c>
      <c r="O16" s="106" t="n"/>
      <c r="P16" s="106" t="n"/>
      <c r="Q16" s="110">
        <f>IF(OR(L16="",L16="در انتظار"),"",IF(Q16="",TODAY(),Q16))</f>
        <v/>
      </c>
    </row>
    <row r="17" ht="54" customHeight="1">
      <c r="A17" s="103" t="inlineStr">
        <is>
          <t>MS-019</t>
        </is>
      </c>
      <c r="B17" s="104" t="inlineStr">
        <is>
          <t>تطبیق فرمول و کالیبراسیون / صفر</t>
        </is>
      </c>
      <c r="C17" s="105" t="inlineStr">
        <is>
          <t>بالا</t>
        </is>
      </c>
      <c r="D17" s="104" t="inlineStr">
        <is>
          <t>valid=true</t>
        </is>
      </c>
      <c r="E17" s="104" t="inlineStr">
        <is>
          <t>گام ۱: از valid=true شروع کن.
گام ۲: روی همهٔ کانال‌ها counts=0 بده.
گام ۳: یک Run بزن و همهٔ خروجی‌ها را بخوان.
گام ۴: CountsToMv و V24 و V12 و جریان همه باید دقیقاً 0 میلی‌ولت و 0 میلی‌آمپر باشند؛ هر عدد غیرصفر یعنی رد تست.</t>
        </is>
      </c>
      <c r="F17" s="106" t="inlineStr">
        <is>
          <t>counts 0</t>
        </is>
      </c>
      <c r="G17" s="106" t="inlineStr">
        <is>
          <t>10ms</t>
        </is>
      </c>
      <c r="H17" s="104" t="inlineStr">
        <is>
          <t>همه 0mV/mA. PASS: 0. FAIL: non-zero.</t>
        </is>
      </c>
      <c r="I17" s="104" t="inlineStr">
        <is>
          <t>PASS: zero. FAIL: non-zero.</t>
        </is>
      </c>
      <c r="J17" s="107" t="n"/>
      <c r="K17" s="108" t="inlineStr">
        <is>
          <t>در انتظار</t>
        </is>
      </c>
      <c r="L17" s="109" t="n"/>
      <c r="M17" s="104" t="n"/>
      <c r="N17" s="104" t="inlineStr">
        <is>
          <t>c6b084f28f2c507cfd342e5dbd0dbd8e45686772</t>
        </is>
      </c>
      <c r="O17" s="106" t="n"/>
      <c r="P17" s="106" t="n"/>
      <c r="Q17" s="110">
        <f>IF(OR(L17="",L17="در انتظار"),"",IF(Q17="",TODAY(),Q17))</f>
        <v/>
      </c>
    </row>
    <row r="18" ht="54" customHeight="1">
      <c r="A18" s="103" t="inlineStr">
        <is>
          <t>MS-020</t>
        </is>
      </c>
      <c r="B18" s="111" t="inlineStr">
        <is>
          <t>تطبیق فرمول / فول</t>
        </is>
      </c>
      <c r="C18" s="112" t="inlineStr">
        <is>
          <t>بالا</t>
        </is>
      </c>
      <c r="D18" s="111" t="inlineStr">
        <is>
          <t>valid=true</t>
        </is>
      </c>
      <c r="E18" s="111" t="inlineStr">
        <is>
          <t>گام ۱: از valid=true شروع کن.
گام ۲: روی همهٔ کانال‌ها counts=4095 بده (فول‌اسکیل).
گام ۳: با دست حساب کن: ولتاژ پایه 3300 میلی‌ولت می‌شود. V24 می‌شود 3300 ضربدر 76000 تقسیم بر 6800، یعنی حدود 36882 میلی‌ولت. V12 حدود 19897 میلی‌ولت می‌شود. جریان هم 3300 ضربدر 1000 تقسیم بر (101 ضربدر 10)، یعنی حدود 3267 میلی‌آمپر.
گام ۴: هر سه مقدار خوانده‌شده را با همین حساب‌ها مقایسه کن. باید در تلرانس مجاز همان‌ها باشند.</t>
        </is>
      </c>
      <c r="F18" s="113" t="inlineStr">
        <is>
          <t>counts 4095 (فول)</t>
        </is>
      </c>
      <c r="G18" s="113" t="inlineStr">
        <is>
          <t>10ms</t>
        </is>
      </c>
      <c r="H18" s="111" t="inlineStr">
        <is>
          <t>V24≈36882mV، V12≈19897mV، Current≈3267mA ±tolerance (V12 با 41000/6800). PASS: فول مطابق فرمول. FAIL: خطا.</t>
        </is>
      </c>
      <c r="I18" s="111" t="inlineStr">
        <is>
          <t>PASS: فول 36882/19897/3267. FAIL: خطا.</t>
        </is>
      </c>
      <c r="J18" s="111" t="n"/>
      <c r="K18" s="111" t="inlineStr">
        <is>
          <t>در انتظار</t>
        </is>
      </c>
      <c r="L18" s="114" t="n"/>
      <c r="M18" s="111" t="n"/>
      <c r="N18" s="111" t="inlineStr">
        <is>
          <t>c6b084f28f2c507cfd342e5dbd0dbd8e45686772</t>
        </is>
      </c>
      <c r="O18" s="113" t="n"/>
      <c r="P18" s="113" t="n"/>
      <c r="Q18" s="115">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row r="29">
      <c r="A29" s="85" t="n"/>
      <c r="B29" s="85" t="n"/>
      <c r="C29" s="85" t="n"/>
      <c r="D29" s="85" t="n"/>
      <c r="E29" s="85" t="n"/>
      <c r="F29" s="85" t="n"/>
      <c r="G29" s="85" t="n"/>
      <c r="H29" s="85" t="n"/>
      <c r="I29" s="85" t="n"/>
      <c r="J29" s="85" t="n"/>
      <c r="K29" s="85" t="n"/>
      <c r="L29" s="85" t="n"/>
      <c r="M29" s="85" t="n"/>
      <c r="N29" s="85" t="n"/>
      <c r="O29" s="85" t="n"/>
      <c r="P29" s="85" t="n"/>
      <c r="Q29" s="116">
        <f>IF(OR(L29="",L29="در انتظار"),"",IF(Q29="",TODAY(),Q29))</f>
        <v/>
      </c>
    </row>
    <row r="30">
      <c r="A30" s="85" t="n"/>
      <c r="B30" s="85" t="n"/>
      <c r="C30" s="85" t="n"/>
      <c r="D30" s="85" t="n"/>
      <c r="E30" s="85" t="n"/>
      <c r="F30" s="85" t="n"/>
      <c r="G30" s="85" t="n"/>
      <c r="H30" s="85" t="n"/>
      <c r="I30" s="85" t="n"/>
      <c r="J30" s="85" t="n"/>
      <c r="K30" s="85" t="n"/>
      <c r="L30" s="85" t="n"/>
      <c r="M30" s="85" t="n"/>
      <c r="N30" s="85" t="n"/>
      <c r="O30" s="85" t="n"/>
      <c r="P30" s="85" t="n"/>
      <c r="Q30" s="116">
        <f>IF(OR(L30="",L30="در انتظار"),"",IF(Q30="",TODAY(),Q30))</f>
        <v/>
      </c>
    </row>
    <row r="31">
      <c r="A31" s="85" t="n"/>
      <c r="B31" s="85" t="n"/>
      <c r="C31" s="85" t="n"/>
      <c r="D31" s="85" t="n"/>
      <c r="E31" s="85" t="n"/>
      <c r="F31" s="85" t="n"/>
      <c r="G31" s="85" t="n"/>
      <c r="H31" s="85" t="n"/>
      <c r="I31" s="85" t="n"/>
      <c r="J31" s="85" t="n"/>
      <c r="K31" s="85" t="n"/>
      <c r="L31" s="85" t="n"/>
      <c r="M31" s="85" t="n"/>
      <c r="N31" s="85" t="n"/>
      <c r="O31" s="85" t="n"/>
      <c r="P31" s="85" t="n"/>
      <c r="Q31" s="116">
        <f>IF(OR(L31="",L31="در انتظار"),"",IF(Q31="",TODAY(),Q31))</f>
        <v/>
      </c>
    </row>
    <row r="32">
      <c r="A32" s="85" t="n"/>
      <c r="B32" s="85" t="n"/>
      <c r="C32" s="85" t="n"/>
      <c r="D32" s="85" t="n"/>
      <c r="E32" s="85" t="n"/>
      <c r="F32" s="85" t="n"/>
      <c r="G32" s="85" t="n"/>
      <c r="H32" s="85" t="n"/>
      <c r="I32" s="85" t="n"/>
      <c r="J32" s="85" t="n"/>
      <c r="K32" s="85" t="n"/>
      <c r="L32" s="85" t="n"/>
      <c r="M32" s="85" t="n"/>
      <c r="N32" s="85" t="n"/>
      <c r="O32" s="85" t="n"/>
      <c r="P32" s="85" t="n"/>
      <c r="Q32" s="116">
        <f>IF(OR(L32="",L32="در انتظار"),"",IF(Q32="",TODAY(),Q32))</f>
        <v/>
      </c>
    </row>
    <row r="33">
      <c r="A33" s="85" t="n"/>
      <c r="B33" s="85" t="n"/>
      <c r="C33" s="85" t="n"/>
      <c r="D33" s="85" t="n"/>
      <c r="E33" s="85" t="n"/>
      <c r="F33" s="85" t="n"/>
      <c r="G33" s="85" t="n"/>
      <c r="H33" s="85" t="n"/>
      <c r="I33" s="85" t="n"/>
      <c r="J33" s="85" t="n"/>
      <c r="K33" s="85" t="n"/>
      <c r="L33" s="85" t="n"/>
      <c r="M33" s="85" t="n"/>
      <c r="N33" s="85" t="n"/>
      <c r="O33" s="85" t="n"/>
      <c r="P33" s="85" t="n"/>
      <c r="Q33" s="116">
        <f>IF(OR(L33="",L33="در انتظار"),"",IF(Q33="",TODAY(),Q33))</f>
        <v/>
      </c>
    </row>
    <row r="34">
      <c r="A34" s="85" t="n"/>
      <c r="B34" s="85" t="n"/>
      <c r="C34" s="85" t="n"/>
      <c r="D34" s="85" t="n"/>
      <c r="E34" s="85" t="n"/>
      <c r="F34" s="85" t="n"/>
      <c r="G34" s="85" t="n"/>
      <c r="H34" s="85" t="n"/>
      <c r="I34" s="85" t="n"/>
      <c r="J34" s="85" t="n"/>
      <c r="K34" s="85" t="n"/>
      <c r="L34" s="85" t="n"/>
      <c r="M34" s="85" t="n"/>
      <c r="N34" s="85" t="n"/>
      <c r="O34" s="85" t="n"/>
      <c r="P34" s="85" t="n"/>
      <c r="Q34" s="116">
        <f>IF(OR(L34="",L34="در انتظار"),"",IF(Q34="",TODAY(),Q34))</f>
        <v/>
      </c>
    </row>
    <row r="35">
      <c r="A35" s="85" t="n"/>
      <c r="B35" s="85" t="n"/>
      <c r="C35" s="85" t="n"/>
      <c r="D35" s="85" t="n"/>
      <c r="E35" s="85" t="n"/>
      <c r="F35" s="85" t="n"/>
      <c r="G35" s="85" t="n"/>
      <c r="H35" s="85" t="n"/>
      <c r="I35" s="85" t="n"/>
      <c r="J35" s="85" t="n"/>
      <c r="K35" s="85" t="n"/>
      <c r="L35" s="85" t="n"/>
      <c r="M35" s="85" t="n"/>
      <c r="N35" s="85" t="n"/>
      <c r="O35" s="85" t="n"/>
      <c r="P35" s="85" t="n"/>
      <c r="Q35" s="116">
        <f>IF(OR(L35="",L35="در انتظار"),"",IF(Q35="",TODAY(),Q35))</f>
        <v/>
      </c>
    </row>
    <row r="36">
      <c r="A36" s="85" t="n"/>
      <c r="B36" s="85" t="n"/>
      <c r="C36" s="85" t="n"/>
      <c r="D36" s="85" t="n"/>
      <c r="E36" s="85" t="n"/>
      <c r="F36" s="85" t="n"/>
      <c r="G36" s="85" t="n"/>
      <c r="H36" s="85" t="n"/>
      <c r="I36" s="85" t="n"/>
      <c r="J36" s="85" t="n"/>
      <c r="K36" s="85" t="n"/>
      <c r="L36" s="85" t="n"/>
      <c r="M36" s="85" t="n"/>
      <c r="N36" s="85" t="n"/>
      <c r="O36" s="85" t="n"/>
      <c r="P36" s="85" t="n"/>
      <c r="Q36" s="116">
        <f>IF(OR(L36="",L36="در انتظار"),"",IF(Q36="",TODAY(),Q36))</f>
        <v/>
      </c>
    </row>
    <row r="37">
      <c r="A37" s="85" t="n"/>
      <c r="B37" s="85" t="n"/>
      <c r="C37" s="85" t="n"/>
      <c r="D37" s="85" t="n"/>
      <c r="E37" s="85" t="n"/>
      <c r="F37" s="85" t="n"/>
      <c r="G37" s="85" t="n"/>
      <c r="H37" s="85" t="n"/>
      <c r="I37" s="85" t="n"/>
      <c r="J37" s="85" t="n"/>
      <c r="K37" s="85" t="n"/>
      <c r="L37" s="85" t="n"/>
      <c r="M37" s="85" t="n"/>
      <c r="N37" s="85" t="n"/>
      <c r="O37" s="85" t="n"/>
      <c r="P37" s="85" t="n"/>
      <c r="Q37" s="116">
        <f>IF(OR(L37="",L37="در انتظار"),"",IF(Q37="",TODAY(),Q37))</f>
        <v/>
      </c>
    </row>
    <row r="38">
      <c r="A38" s="85" t="n"/>
      <c r="B38" s="85" t="n"/>
      <c r="C38" s="85" t="n"/>
      <c r="D38" s="85" t="n"/>
      <c r="E38" s="85" t="n"/>
      <c r="F38" s="85" t="n"/>
      <c r="G38" s="85" t="n"/>
      <c r="H38" s="85" t="n"/>
      <c r="I38" s="85" t="n"/>
      <c r="J38" s="85" t="n"/>
      <c r="K38" s="85" t="n"/>
      <c r="L38" s="85" t="n"/>
      <c r="M38" s="85" t="n"/>
      <c r="N38" s="85" t="n"/>
      <c r="O38" s="85" t="n"/>
      <c r="P38" s="85" t="n"/>
      <c r="Q38" s="116">
        <f>IF(OR(L38="",L38="در انتظار"),"",IF(Q38="",TODAY(),Q38))</f>
        <v/>
      </c>
    </row>
  </sheetData>
  <autoFilter ref="A4:Q18"/>
  <dataValidations count="1">
    <dataValidation sqref="L5 L6 L7 L8 L9 L10 L11 L12 L13 L14 L15 L16 L17 L18 L19 L20 L21 L22 L23 L24 L25 L26 L27 L28 L29 L30 L31 L32 L33 L34 L35 L36 L37 L38" showDropDown="0" showInputMessage="0" showErrorMessage="0" allowBlank="1" type="list">
      <formula1>='فهرست‌ها'!$A$2:$A$7</formula1>
    </dataValidation>
  </dataValidations>
  <hyperlinks>
    <hyperlink ref="E5" location="'برنامه تست'!A5"/>
    <hyperlink ref="D6" location="'تست‌های آزمایشگاهی'!A5"/>
    <hyperlink ref="E6" location="'تست‌های آزمایشگاهی'!A5"/>
    <hyperlink ref="D7" location="'تست‌های آزمایشگاهی'!A6"/>
    <hyperlink ref="E7" location="'تست‌های آزمایشگاهی'!A6"/>
    <hyperlink ref="E8" location="'تست‌های آزمایشگاهی'!A7"/>
    <hyperlink ref="D9" location="'تست‌های آزمایشگاهی'!A8"/>
    <hyperlink ref="E9" location="'تست‌های آزمایشگاهی'!A8"/>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18" t="inlineStr">
        <is>
          <t>تست‌های برنامه‌نویسی و هاست (جدا از ولیدیشن عملی برد)</t>
        </is>
      </c>
      <c r="B1" s="85" t="n"/>
      <c r="C1" s="85" t="n"/>
      <c r="D1" s="85" t="n"/>
      <c r="E1" s="85" t="n"/>
      <c r="F1" s="85" t="n"/>
      <c r="G1" s="85" t="n"/>
      <c r="H1" s="85" t="n"/>
      <c r="I1" s="85" t="n"/>
      <c r="J1" s="85" t="n"/>
      <c r="K1" s="85" t="n"/>
      <c r="L1" s="85" t="n"/>
      <c r="M1" s="85" t="n"/>
      <c r="N1" s="85" t="n"/>
      <c r="O1" s="85" t="n"/>
      <c r="P1" s="85" t="n"/>
      <c r="Q1" s="85" t="n"/>
    </row>
    <row r="2" ht="42" customHeight="1">
      <c r="A2" s="85" t="n"/>
      <c r="B2" s="11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معیار قبولی</t>
        </is>
      </c>
      <c r="J4" s="87" t="inlineStr">
        <is>
          <t>نتیجه واقعی</t>
        </is>
      </c>
      <c r="K4" s="87" t="inlineStr">
        <is>
          <t>وضعیت</t>
        </is>
      </c>
      <c r="L4" s="87" t="inlineStr">
        <is>
          <t>شرح ایراد</t>
        </is>
      </c>
      <c r="M4" s="87" t="inlineStr">
        <is>
          <t>مدرک تست</t>
        </is>
      </c>
      <c r="N4" s="87" t="inlineStr">
        <is>
          <t>نسخهٔ برنامه</t>
        </is>
      </c>
      <c r="O4" s="87" t="inlineStr">
        <is>
          <t>نام تست‌کننده</t>
        </is>
      </c>
      <c r="P4" s="87" t="inlineStr">
        <is>
          <t>تاریخ</t>
        </is>
      </c>
      <c r="Q4" s="87" t="n"/>
    </row>
    <row r="5" ht="40.5" customHeight="1">
      <c r="A5" s="103" t="inlineStr">
        <is>
          <t>MS-015</t>
        </is>
      </c>
      <c r="B5" s="104" t="inlineStr">
        <is>
          <t>NULL در GetSnapshot</t>
        </is>
      </c>
      <c r="C5" s="105" t="inlineStr">
        <is>
          <t>بالا</t>
        </is>
      </c>
      <c r="D5" s="104" t="inlineStr">
        <is>
          <t>هر زمان</t>
        </is>
      </c>
      <c r="E5" s="104" t="inlineStr">
        <is>
          <t>گام ۱: در هر وضعیتی که هستی، func__Measurement_GetSnapshot را با اشاره‌گر NULL صدا بزن.
گام ۲: 100 میلی‌ثانیه صبر کن و واکنش برد را ببین.
گام ۳: تابع باید false برگرداند. هیچ کرشی نباید اتفاق بیفتد و snapshot قبلی هم نباید دست خورده باشد.
گام ۴: کرش یا true برگشتن یعنی رد تست.</t>
        </is>
      </c>
      <c r="F5" s="106" t="inlineStr">
        <is>
          <t>NULL pointer</t>
        </is>
      </c>
      <c r="G5" s="106" t="inlineStr">
        <is>
          <t>100ms</t>
        </is>
      </c>
      <c r="H5" s="104" t="inlineStr">
        <is>
          <t>return false، بدون کرش، snapshot تغییر نکند. PASS: false. FAIL: کرش یا true.</t>
        </is>
      </c>
      <c r="I5" s="104" t="inlineStr">
        <is>
          <t>PASS: NULL → false. FAIL: true/crash.</t>
        </is>
      </c>
      <c r="J5" s="107" t="n"/>
      <c r="K5" s="108" t="inlineStr">
        <is>
          <t>در انتظار</t>
        </is>
      </c>
      <c r="L5" s="109" t="n"/>
      <c r="M5" s="104" t="n"/>
      <c r="N5" s="104" t="inlineStr">
        <is>
          <t>c6b084f28f2c507cfd342e5dbd0dbd8e45686772</t>
        </is>
      </c>
      <c r="O5" s="106" t="n"/>
      <c r="P5" s="106" t="n"/>
      <c r="Q5" s="110">
        <f>IF(OR(L5="",L5="در انتظار"),"",IF(Q5="",TODAY(),Q5))</f>
        <v/>
      </c>
    </row>
    <row r="6" ht="54" customHeight="1">
      <c r="A6" s="103" t="inlineStr">
        <is>
          <t>MS-016</t>
        </is>
      </c>
      <c r="B6" s="111" t="inlineStr">
        <is>
          <t>Snapshot چندفیلدی اتمیک</t>
        </is>
      </c>
      <c r="C6" s="112" t="inlineStr">
        <is>
          <t>بالا</t>
        </is>
      </c>
      <c r="D6" s="111" t="inlineStr">
        <is>
          <t>valid=true</t>
        </is>
      </c>
      <c r="E6" s="111" t="inlineStr">
        <is>
          <t>گام ۱: از valid=true شروع کن و مقدارها را در حال تغییر نگه دار.
گام ۲: درست هنگام اجرای func__Measurement_Run، از دو تسک مختلف هم‌زمان GetSnapshot بخوان.
گام ۳: این خواندن هم‌زمان را 20 میلی‌ثانیه تکرار کن.
گام ۴: هر snapshot کپی‌شده باید یا کاملاً نسخهٔ قدیم باشد یا کاملاً نسخهٔ جدید؛ نه مخلوطی از هر دو. (این یکجایی با osKernelLock تضمین می‌شود.)
گام ۵: خواندن پاره‌پاره (torn) یعنی رد تست.</t>
        </is>
      </c>
      <c r="F6" s="113" t="inlineStr">
        <is>
          <t>concurrent read</t>
        </is>
      </c>
      <c r="G6" s="113" t="inlineStr">
        <is>
          <t>20ms</t>
        </is>
      </c>
      <c r="H6" s="111" t="inlineStr">
        <is>
          <t>هر دو snapshot کپی‌شده باید یا کامل قدیمی یا کامل جدید باشد، نه ترکیبی. با osKernelLock تضمین. PASS: atomic. FAIL: torn read.</t>
        </is>
      </c>
      <c r="I6" s="111" t="inlineStr">
        <is>
          <t>PASS: no torn data. FAIL: partial.</t>
        </is>
      </c>
      <c r="J6" s="111" t="n"/>
      <c r="K6" s="111" t="inlineStr">
        <is>
          <t>در انتظار</t>
        </is>
      </c>
      <c r="L6" s="114" t="n"/>
      <c r="M6" s="111" t="n"/>
      <c r="N6" s="111" t="inlineStr">
        <is>
          <t>c6b084f28f2c507cfd342e5dbd0dbd8e45686772</t>
        </is>
      </c>
      <c r="O6" s="113" t="n"/>
      <c r="P6" s="113" t="n"/>
      <c r="Q6" s="115">
        <f>IF(OR(L6="",L6="در انتظار"),"",IF(Q6="",TODAY(),Q6))</f>
        <v/>
      </c>
    </row>
    <row r="7" ht="54" customHeight="1">
      <c r="A7" s="103" t="inlineStr">
        <is>
          <t>MS-018</t>
        </is>
      </c>
      <c r="B7" s="111" t="inlineStr">
        <is>
          <t>DMA frame کامل</t>
        </is>
      </c>
      <c r="C7" s="112" t="inlineStr">
        <is>
          <t>بالا</t>
        </is>
      </c>
      <c r="D7" s="111" t="inlineStr">
        <is>
          <t>valid=true</t>
        </is>
      </c>
      <c r="E7" s="111" t="inlineStr">
        <is>
          <t>گام ۱: از valid=true شروع کن.
گام ۲: شمارندهٔ DMA (یعنی CNDTR) را قبل و بعد از کپی بخوان؛ DMA دو فریمی است (2 ضربدر 5).
گام ۳: چک کن حین کپی، شمارنده در همان نیمه مانده باشد و هر 5 نمونهٔ فریم کامل کپی شده باشد.
گام ۴: GetRaw باید پنجرهٔ پایدار (stable=true) بدهد؛ کپی پاره یا تمام شدن retry یعنی رد تست.</t>
        </is>
      </c>
      <c r="F7" s="113" t="inlineStr">
        <is>
          <t>DMA CNDTR</t>
        </is>
      </c>
      <c r="G7" s="113" t="inlineStr">
        <is>
          <t>10ms</t>
        </is>
      </c>
      <c r="H7" s="111" t="inlineStr">
        <is>
          <t>GetRaw باید stable window true بدهد و 5 نمونه valid. PASS: stable copy. FAIL: torn یا retry exceed.</t>
        </is>
      </c>
      <c r="I7" s="111" t="inlineStr">
        <is>
          <t>PASS: stable frame. FAIL: unstable.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ME-022</t>
        </is>
      </c>
      <c r="B8" s="111" t="inlineStr">
        <is>
          <t>snapshot zeroing مصرف‌کننده</t>
        </is>
      </c>
      <c r="C8" s="112" t="inlineStr">
        <is>
          <t>بالا</t>
        </is>
      </c>
      <c r="D8" s="111" t="inlineStr">
        <is>
          <t>Measurement خاموش</t>
        </is>
      </c>
      <c r="E8" s="111" t="inlineStr">
        <is>
          <t>گام ۱: Measurement را خاموش کن (MODULE_MEASUREMENT=0) و برد را بوت کن.
گام ۲: task_control و task_comm و task_protection را اجرا کن (3 ثانیه).
گام ۳: snapshot هر سه را بخوان: valid باید false و هر 9 فیلد صفر باشد (هیچ ساختار نامشخصی نباید باشد).
گام ۴: مصرف‌کننده‌ها (Changeover و Charger و Fault و Imbalance) باید بدون خواندن زباله، safe-idle بمانند.</t>
        </is>
      </c>
      <c r="F8" s="113" t="inlineStr">
        <is>
          <t>valid=false</t>
        </is>
      </c>
      <c r="G8" s="113" t="inlineStr">
        <is>
          <t>3s</t>
        </is>
      </c>
      <c r="H8" s="111" t="inlineStr">
        <is>
          <t>مصرف‌کننده‌ها (Changeover/Charger/Fault/Imbalance) بدون خواندن زباله safe-idle بمانند</t>
        </is>
      </c>
      <c r="I8" s="111" t="inlineStr">
        <is>
          <t>—</t>
        </is>
      </c>
      <c r="J8" s="111" t="inlineStr">
        <is>
          <t>بدون indeterminate struct</t>
        </is>
      </c>
      <c r="K8" s="111" t="n"/>
      <c r="L8" s="122" t="inlineStr">
        <is>
          <t>نیاز به تکرار</t>
        </is>
      </c>
      <c r="M8" s="111" t="n"/>
      <c r="N8" s="111" t="n"/>
      <c r="O8" s="113" t="inlineStr">
        <is>
          <t>62f3782</t>
        </is>
      </c>
      <c r="P8" s="113" t="n"/>
      <c r="Q8" s="115" t="inlineStr">
        <is>
          <t>2026-10-12</t>
        </is>
      </c>
    </row>
    <row r="9">
      <c r="A9" s="85" t="n"/>
      <c r="B9" s="85" t="n"/>
      <c r="C9" s="85" t="n"/>
      <c r="D9" s="85" t="n"/>
      <c r="E9" s="85" t="n"/>
      <c r="F9" s="85" t="n"/>
      <c r="G9" s="85" t="n"/>
      <c r="H9" s="85" t="n"/>
      <c r="I9" s="85" t="n"/>
      <c r="J9" s="85" t="n"/>
      <c r="K9" s="85" t="n"/>
      <c r="L9" s="85" t="n"/>
      <c r="M9" s="85" t="n"/>
      <c r="N9" s="85" t="n"/>
      <c r="O9" s="85" t="n"/>
      <c r="P9" s="85" t="n"/>
      <c r="Q9" s="116">
        <f>IF(OR(L9="",L9="در انتظار"),"",IF(Q9="",TODAY(),Q9))</f>
        <v/>
      </c>
    </row>
    <row r="10">
      <c r="A10" s="85" t="n"/>
      <c r="B10" s="85" t="n"/>
      <c r="C10" s="85" t="n"/>
      <c r="D10" s="85" t="n"/>
      <c r="E10" s="85" t="n"/>
      <c r="F10" s="85" t="n"/>
      <c r="G10" s="85" t="n"/>
      <c r="H10" s="85" t="n"/>
      <c r="I10" s="85" t="n"/>
      <c r="J10" s="85" t="n"/>
      <c r="K10" s="85" t="n"/>
      <c r="L10" s="85" t="n"/>
      <c r="M10" s="85" t="n"/>
      <c r="N10" s="85" t="n"/>
      <c r="O10" s="85" t="n"/>
      <c r="P10" s="85" t="n"/>
      <c r="Q10" s="116">
        <f>IF(OR(L10="",L10="در انتظار"),"",IF(Q10="",TODAY(),Q10))</f>
        <v/>
      </c>
    </row>
    <row r="11">
      <c r="A11" s="85" t="n"/>
      <c r="B11" s="85" t="n"/>
      <c r="C11" s="85" t="n"/>
      <c r="D11" s="85" t="n"/>
      <c r="E11" s="85" t="n"/>
      <c r="F11" s="85" t="n"/>
      <c r="G11" s="85" t="n"/>
      <c r="H11" s="85" t="n"/>
      <c r="I11" s="85" t="n"/>
      <c r="J11" s="85" t="n"/>
      <c r="K11" s="85" t="n"/>
      <c r="L11" s="85" t="n"/>
      <c r="M11" s="85" t="n"/>
      <c r="N11" s="85" t="n"/>
      <c r="O11" s="85" t="n"/>
      <c r="P11" s="85" t="n"/>
      <c r="Q11" s="116">
        <f>IF(OR(L11="",L11="در انتظار"),"",IF(Q11="",TODAY(),Q11))</f>
        <v/>
      </c>
    </row>
    <row r="12">
      <c r="A12" s="85" t="n"/>
      <c r="B12" s="85" t="n"/>
      <c r="C12" s="85" t="n"/>
      <c r="D12" s="85" t="n"/>
      <c r="E12" s="85" t="n"/>
      <c r="F12" s="85" t="n"/>
      <c r="G12" s="85" t="n"/>
      <c r="H12" s="85" t="n"/>
      <c r="I12" s="85" t="n"/>
      <c r="J12" s="85" t="n"/>
      <c r="K12" s="85" t="n"/>
      <c r="L12" s="85" t="n"/>
      <c r="M12" s="85" t="n"/>
      <c r="N12" s="85" t="n"/>
      <c r="O12" s="85" t="n"/>
      <c r="P12" s="85" t="n"/>
      <c r="Q12" s="116">
        <f>IF(OR(L12="",L12="در انتظار"),"",IF(Q12="",TODAY(),Q12))</f>
        <v/>
      </c>
    </row>
    <row r="13">
      <c r="A13" s="85" t="n"/>
      <c r="B13" s="85" t="n"/>
      <c r="C13" s="85" t="n"/>
      <c r="D13" s="85" t="n"/>
      <c r="E13" s="85" t="n"/>
      <c r="F13" s="85" t="n"/>
      <c r="G13" s="85" t="n"/>
      <c r="H13" s="85" t="n"/>
      <c r="I13" s="85" t="n"/>
      <c r="J13" s="85" t="n"/>
      <c r="K13" s="85" t="n"/>
      <c r="L13" s="85" t="n"/>
      <c r="M13" s="85" t="n"/>
      <c r="N13" s="85" t="n"/>
      <c r="O13" s="85" t="n"/>
      <c r="P13" s="85" t="n"/>
      <c r="Q13" s="116">
        <f>IF(OR(L13="",L13="در انتظار"),"",IF(Q13="",TODAY(),Q13))</f>
        <v/>
      </c>
    </row>
    <row r="14">
      <c r="A14" s="85" t="n"/>
      <c r="B14" s="85" t="n"/>
      <c r="C14" s="85" t="n"/>
      <c r="D14" s="85" t="n"/>
      <c r="E14" s="85" t="n"/>
      <c r="F14" s="85" t="n"/>
      <c r="G14" s="85" t="n"/>
      <c r="H14" s="85" t="n"/>
      <c r="I14" s="85" t="n"/>
      <c r="J14" s="85" t="n"/>
      <c r="K14" s="85" t="n"/>
      <c r="L14" s="85" t="n"/>
      <c r="M14" s="85" t="n"/>
      <c r="N14" s="85" t="n"/>
      <c r="O14" s="85" t="n"/>
      <c r="P14" s="85" t="n"/>
      <c r="Q14" s="116">
        <f>IF(OR(L14="",L14="در انتظار"),"",IF(Q14="",TODAY(),Q14))</f>
        <v/>
      </c>
    </row>
    <row r="15">
      <c r="A15" s="85" t="n"/>
      <c r="B15" s="85" t="n"/>
      <c r="C15" s="85" t="n"/>
      <c r="D15" s="85" t="n"/>
      <c r="E15" s="85" t="n"/>
      <c r="F15" s="85" t="n"/>
      <c r="G15" s="85" t="n"/>
      <c r="H15" s="85" t="n"/>
      <c r="I15" s="85" t="n"/>
      <c r="J15" s="85" t="n"/>
      <c r="K15" s="85" t="n"/>
      <c r="L15" s="85" t="n"/>
      <c r="M15" s="85" t="n"/>
      <c r="N15" s="85" t="n"/>
      <c r="O15" s="85" t="n"/>
      <c r="P15" s="85" t="n"/>
      <c r="Q15" s="116">
        <f>IF(OR(L15="",L15="در انتظار"),"",IF(Q15="",TODAY(),Q15))</f>
        <v/>
      </c>
    </row>
    <row r="16">
      <c r="A16" s="85" t="n"/>
      <c r="B16" s="85" t="n"/>
      <c r="C16" s="85" t="n"/>
      <c r="D16" s="85" t="n"/>
      <c r="E16" s="85" t="n"/>
      <c r="F16" s="85" t="n"/>
      <c r="G16" s="85" t="n"/>
      <c r="H16" s="85" t="n"/>
      <c r="I16" s="85" t="n"/>
      <c r="J16" s="85" t="n"/>
      <c r="K16" s="85" t="n"/>
      <c r="L16" s="85" t="n"/>
      <c r="M16" s="85" t="n"/>
      <c r="N16" s="85" t="n"/>
      <c r="O16" s="85" t="n"/>
      <c r="P16" s="85" t="n"/>
      <c r="Q16" s="116">
        <f>IF(OR(L16="",L16="در انتظار"),"",IF(Q16="",TODAY(),Q16))</f>
        <v/>
      </c>
    </row>
    <row r="17">
      <c r="A17" s="85" t="n"/>
      <c r="B17" s="85" t="n"/>
      <c r="C17" s="85" t="n"/>
      <c r="D17" s="85" t="n"/>
      <c r="E17" s="85" t="n"/>
      <c r="F17" s="85" t="n"/>
      <c r="G17" s="85" t="n"/>
      <c r="H17" s="85" t="n"/>
      <c r="I17" s="85" t="n"/>
      <c r="J17" s="85" t="n"/>
      <c r="K17" s="85" t="n"/>
      <c r="L17" s="85" t="n"/>
      <c r="M17" s="85" t="n"/>
      <c r="N17" s="85" t="n"/>
      <c r="O17" s="85" t="n"/>
      <c r="P17" s="85" t="n"/>
      <c r="Q17" s="116">
        <f>IF(OR(L17="",L17="در انتظار"),"",IF(Q17="",TODAY(),Q17))</f>
        <v/>
      </c>
    </row>
    <row r="18">
      <c r="A18" s="85" t="n"/>
      <c r="B18" s="85" t="n"/>
      <c r="C18" s="85" t="n"/>
      <c r="D18" s="85" t="n"/>
      <c r="E18" s="85" t="n"/>
      <c r="F18" s="85" t="n"/>
      <c r="G18" s="85" t="n"/>
      <c r="H18" s="85" t="n"/>
      <c r="I18" s="85" t="n"/>
      <c r="J18" s="85" t="n"/>
      <c r="K18" s="85" t="n"/>
      <c r="L18" s="85" t="n"/>
      <c r="M18" s="85" t="n"/>
      <c r="N18" s="85" t="n"/>
      <c r="O18" s="85" t="n"/>
      <c r="P18" s="85" t="n"/>
      <c r="Q18" s="116">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20" customHeight="1">
      <c r="A1" s="123" t="inlineStr">
        <is>
          <t>مرجع Measurement — فرمول‌ها و کالیبراسیون</t>
        </is>
      </c>
    </row>
    <row r="2" ht="18" customHeight="1">
      <c r="A2" s="124" t="inlineStr">
        <is>
          <t>این صفحه مرجع انتظار است؛ نتیجه واقعی فقط در «برنامه تست» ثبت شود. مقادیر از کد واقعی استخراج شده؛ مقدار حدسی وجود ندارد.</t>
        </is>
      </c>
    </row>
    <row r="3" ht="18" customHeight="1">
      <c r="A3" s="94" t="inlineStr">
        <is>
          <t>موضوع</t>
        </is>
      </c>
      <c r="B3" s="94" t="inlineStr">
        <is>
          <t>شرط / مقدار (از کد)</t>
        </is>
      </c>
      <c r="C3" s="94" t="inlineStr">
        <is>
          <t>رفتار مورد انتظار</t>
        </is>
      </c>
      <c r="D3" s="94" t="inlineStr">
        <is>
          <t>ثابت / محل کد</t>
        </is>
      </c>
      <c r="E3" s="94" t="inlineStr">
        <is>
          <t>توضیح تکمیلی</t>
        </is>
      </c>
      <c r="F3" s="94" t="inlineStr">
        <is>
          <t>وابستگی</t>
        </is>
      </c>
    </row>
    <row r="4" ht="14" customHeight="1">
      <c r="A4" s="125" t="inlineStr">
        <is>
          <t>Vref و ADC</t>
        </is>
      </c>
      <c r="B4" s="125" t="inlineStr">
        <is>
          <t>Vref 3300mV، 12bit 4095</t>
        </is>
      </c>
      <c r="C4" s="125" t="inlineStr">
        <is>
          <t>پایه</t>
        </is>
      </c>
      <c r="D4" s="125" t="inlineStr">
        <is>
          <t>BSP_MEASUREMENT_VREF_MV/ADC_FULL_SCALE</t>
        </is>
      </c>
      <c r="E4" s="125" t="inlineStr">
        <is>
          <t>مرجع STM32F1</t>
        </is>
      </c>
      <c r="F4" s="126" t="inlineStr">
        <is>
          <t>MS-019,020</t>
        </is>
      </c>
    </row>
    <row r="5" ht="14" customHeight="1">
      <c r="A5" s="125" t="inlineStr">
        <is>
          <t>CountsToMv</t>
        </is>
      </c>
      <c r="B5" s="125" t="inlineStr">
        <is>
          <t>counts*3300/4095</t>
        </is>
      </c>
      <c r="C5" s="125" t="inlineStr">
        <is>
          <t>ولتاژ پایه ADC</t>
        </is>
      </c>
      <c r="D5" s="125" t="inlineStr">
        <is>
          <t>func__BspMeasurement_CountsToMv</t>
        </is>
      </c>
      <c r="E5" s="125" t="inlineStr">
        <is>
          <t>±0.8mV/LSB</t>
        </is>
      </c>
      <c r="F5" s="126" t="inlineStr">
        <is>
          <t>MS-008..012</t>
        </is>
      </c>
    </row>
    <row r="6" ht="14" customHeight="1">
      <c r="A6" s="125" t="inlineStr">
        <is>
          <t>V24</t>
        </is>
      </c>
      <c r="B6" s="125" t="inlineStr">
        <is>
          <t>adcPinMv*(69200+6800)/6800</t>
        </is>
      </c>
      <c r="C6" s="125" t="inlineStr">
        <is>
          <t>منبع 24V</t>
        </is>
      </c>
      <c r="D6" s="125" t="inlineStr">
        <is>
          <t>DIV24_TOP/BOTTOM</t>
        </is>
      </c>
      <c r="E6" s="125" t="inlineStr">
        <is>
          <t>±9mV/LSB</t>
        </is>
      </c>
      <c r="F6" s="126" t="inlineStr">
        <is>
          <t>MS-008,009</t>
        </is>
      </c>
    </row>
    <row r="7" ht="14" customHeight="1">
      <c r="A7" s="125" t="inlineStr">
        <is>
          <t>V12</t>
        </is>
      </c>
      <c r="B7" s="125" t="inlineStr">
        <is>
          <t>adcPinMv*(34200+6800)/6800</t>
        </is>
      </c>
      <c r="C7" s="125" t="inlineStr">
        <is>
          <t>منبع 12V</t>
        </is>
      </c>
      <c r="D7" s="125" t="inlineStr">
        <is>
          <t>DIV12_TOP/BOTTOM</t>
        </is>
      </c>
      <c r="E7" s="125" t="inlineStr">
        <is>
          <t>±4.8mV/LSB</t>
        </is>
      </c>
      <c r="F7" s="126" t="inlineStr">
        <is>
          <t>MS-010</t>
        </is>
      </c>
    </row>
    <row r="8" ht="14" customHeight="1">
      <c r="A8" s="125" t="inlineStr">
        <is>
          <t>Current</t>
        </is>
      </c>
      <c r="B8" s="125" t="inlineStr">
        <is>
          <t>counts*3300*1000/(4095*101*10)</t>
        </is>
      </c>
      <c r="C8" s="125" t="inlineStr">
        <is>
          <t>mA</t>
        </is>
      </c>
      <c r="D8" s="125" t="inlineStr">
        <is>
          <t>SHUNT 10mΩ GAIN101</t>
        </is>
      </c>
      <c r="E8" s="125" t="inlineStr">
        <is>
          <t>±0.8mA/LSB</t>
        </is>
      </c>
      <c r="F8" s="126" t="inlineStr">
        <is>
          <t>MS-011,012</t>
        </is>
      </c>
    </row>
    <row r="9" ht="14" customHeight="1">
      <c r="A9" s="125" t="inlineStr">
        <is>
          <t>Warmup</t>
        </is>
      </c>
      <c r="B9" s="125" t="inlineStr">
        <is>
          <t>3 فریم</t>
        </is>
      </c>
      <c r="C9" s="125" t="inlineStr">
        <is>
          <t>valid پس از 3</t>
        </is>
      </c>
      <c r="D9" s="125" t="inlineStr">
        <is>
          <t>MEASUREMENT_WARMUP_FRAME_COUNT=3</t>
        </is>
      </c>
      <c r="E9" s="125" t="inlineStr">
        <is>
          <t>واحد: فریم کامل</t>
        </is>
      </c>
      <c r="F9" s="126" t="inlineStr">
        <is>
          <t>MS-002..006</t>
        </is>
      </c>
    </row>
    <row r="10" ht="14" customHeight="1">
      <c r="A10" s="125" t="inlineStr">
        <is>
          <t>Invalid</t>
        </is>
      </c>
      <c r="B10" s="125" t="inlineStr">
        <is>
          <t>GetRaw false → valid false + reset</t>
        </is>
      </c>
      <c r="C10" s="125" t="inlineStr">
        <is>
          <t xml:space="preserve"> warmup reset</t>
        </is>
      </c>
      <c r="D10" s="126" t="inlineStr">
        <is>
          <t>measurement.c</t>
        </is>
      </c>
      <c r="E10" s="125" t="inlineStr">
        <is>
          <t>ناپایدار</t>
        </is>
      </c>
      <c r="F10" s="126" t="inlineStr">
        <is>
          <t>MS-005</t>
        </is>
      </c>
    </row>
    <row r="11" ht="14" customHeight="1">
      <c r="A11" s="125" t="inlineStr">
        <is>
          <t>Vin zero</t>
        </is>
      </c>
      <c r="B11" s="125" t="inlineStr">
        <is>
          <t>Vin 0V still valid</t>
        </is>
      </c>
      <c r="C11" s="125" t="inlineStr">
        <is>
          <t>invalid نشود</t>
        </is>
      </c>
      <c r="D11" s="126" t="inlineStr">
        <is>
          <t>measurement.c</t>
        </is>
      </c>
      <c r="E11" s="125" t="inlineStr">
        <is>
          <t>مستقل از Vin</t>
        </is>
      </c>
      <c r="F11" s="126" t="inlineStr">
        <is>
          <t>MS-007</t>
        </is>
      </c>
    </row>
    <row r="12" ht="14" customHeight="1">
      <c r="A12" s="125" t="inlineStr">
        <is>
          <t>NULL</t>
        </is>
      </c>
      <c r="B12" s="125" t="inlineStr">
        <is>
          <t>GetSnapshot NULL → false</t>
        </is>
      </c>
      <c r="C12" s="125" t="inlineStr">
        <is>
          <t>بدون کرش</t>
        </is>
      </c>
      <c r="D12" s="125" t="inlineStr">
        <is>
          <t>func__Measurement_GetSnapshot</t>
        </is>
      </c>
      <c r="E12" s="125" t="inlineStr">
        <is>
          <t>بررسی اشاره‌گر</t>
        </is>
      </c>
      <c r="F12" s="126" t="inlineStr">
        <is>
          <t>MS-015</t>
        </is>
      </c>
    </row>
    <row r="13" ht="14" customHeight="1">
      <c r="A13" s="125" t="inlineStr">
        <is>
          <t>Atomic</t>
        </is>
      </c>
      <c r="B13" s="125" t="inlineStr">
        <is>
          <t>osKernelLock</t>
        </is>
      </c>
      <c r="C13" s="125" t="inlineStr">
        <is>
          <t>بدون torn read</t>
        </is>
      </c>
      <c r="D13" s="126" t="inlineStr">
        <is>
          <t>measurement.c</t>
        </is>
      </c>
      <c r="E13" s="125" t="inlineStr">
        <is>
          <t>CMSIS-RTOS2</t>
        </is>
      </c>
      <c r="F13" s="126" t="inlineStr">
        <is>
          <t>MS-016</t>
        </is>
      </c>
    </row>
    <row r="14" ht="14" customHeight="1">
      <c r="A14" s="125" t="inlineStr">
        <is>
          <t>Period</t>
        </is>
      </c>
      <c r="B14" s="125" t="inlineStr">
        <is>
          <t>10ms</t>
        </is>
      </c>
      <c r="C14" s="125" t="inlineStr">
        <is>
          <t>هر 10ms یک Run</t>
        </is>
      </c>
      <c r="D14" s="125" t="inlineStr">
        <is>
          <t>MEASUREMENT_PERIOD_MS=10</t>
        </is>
      </c>
      <c r="E14" s="125" t="inlineStr">
        <is>
          <t>osDelayUntil</t>
        </is>
      </c>
      <c r="F14" s="126" t="inlineStr">
        <is>
          <t>MS-017</t>
        </is>
      </c>
    </row>
    <row r="15" ht="14" customHeight="1">
      <c r="A15" s="125" t="inlineStr">
        <is>
          <t>DMA</t>
        </is>
      </c>
      <c r="B15" s="125" t="inlineStr">
        <is>
          <t>2×5 halfword circular</t>
        </is>
      </c>
      <c r="C15" s="125" t="inlineStr">
        <is>
          <t>CNDTR stable</t>
        </is>
      </c>
      <c r="D15" s="126" t="inlineStr">
        <is>
          <t>bsp_adc.c</t>
        </is>
      </c>
      <c r="E15" s="125" t="inlineStr">
        <is>
          <t>2 فریم</t>
        </is>
      </c>
      <c r="F15" s="126" t="inlineStr">
        <is>
          <t>MS-018</t>
        </is>
      </c>
    </row>
  </sheetData>
  <mergeCells count="2">
    <mergeCell ref="A2:F2"/>
    <mergeCell ref="A1:F1"/>
  </mergeCells>
  <hyperlinks>
    <hyperlink ref="F4" location="'تست‌های آزمایشگاهی'!A17"/>
    <hyperlink ref="F5" location="'تست‌های آزمایشگاهی'!A11"/>
    <hyperlink ref="F6" location="'تست‌های آزمایشگاهی'!A11"/>
    <hyperlink ref="F7" location="'تست‌های آزمایشگاهی'!A13"/>
    <hyperlink ref="F8" location="'تست‌های آزمایشگاهی'!A14"/>
    <hyperlink ref="F9" location="'تست‌های آزمایشگاهی'!A5"/>
    <hyperlink xmlns:r="http://schemas.openxmlformats.org/officeDocument/2006/relationships" ref="D10" r:id="rId1"/>
    <hyperlink ref="F10" location="'تست‌های آزمایشگاهی'!A8"/>
    <hyperlink xmlns:r="http://schemas.openxmlformats.org/officeDocument/2006/relationships" ref="D11" r:id="rId2"/>
    <hyperlink ref="F11" location="'تست‌های آزمایشگاهی'!A10"/>
    <hyperlink ref="F12" location="'تست‌های برنامه‌نویسی'!A5"/>
    <hyperlink xmlns:r="http://schemas.openxmlformats.org/officeDocument/2006/relationships" ref="D13" r:id="rId3"/>
    <hyperlink ref="F13" location="'تست‌های برنامه‌نویسی'!A6"/>
    <hyperlink ref="F14" location="'تست‌های آزمایشگاهی'!A16"/>
    <hyperlink xmlns:r="http://schemas.openxmlformats.org/officeDocument/2006/relationships" ref="D15" r:id="rId4"/>
    <hyperlink ref="F15" location="'تست‌های برنامه‌نویسی'!A7"/>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23" t="inlineStr">
        <is>
          <t>ثبت ایرادهای مشاهده‌شده روی برد</t>
        </is>
      </c>
    </row>
    <row r="2" ht="30" customHeight="1">
      <c r="A2" s="87"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94" t="inlineStr">
        <is>
          <t>شماره ایراد</t>
        </is>
      </c>
      <c r="B3" s="94" t="inlineStr">
        <is>
          <t>شناسه تست</t>
        </is>
      </c>
      <c r="C3" s="94" t="inlineStr">
        <is>
          <t>تاریخ کشف</t>
        </is>
      </c>
      <c r="D3" s="94" t="inlineStr">
        <is>
          <t>شدت</t>
        </is>
      </c>
      <c r="E3" s="94" t="inlineStr">
        <is>
          <t>شرح کوتاه ایراد</t>
        </is>
      </c>
      <c r="F3" s="94" t="inlineStr">
        <is>
          <t>مراحل بازتولید</t>
        </is>
      </c>
      <c r="G3" s="94" t="inlineStr">
        <is>
          <t>انتظار</t>
        </is>
      </c>
      <c r="H3" s="94" t="inlineStr">
        <is>
          <t>واقعیت</t>
        </is>
      </c>
      <c r="I3" s="94" t="inlineStr">
        <is>
          <t>مدرک / مسیر عکس یا scope</t>
        </is>
      </c>
      <c r="J3" s="94" t="inlineStr">
        <is>
          <t>نسخهٔ برنامه</t>
        </is>
      </c>
      <c r="K3" s="94" t="inlineStr">
        <is>
          <t>محل احتمالی</t>
        </is>
      </c>
      <c r="L3" s="94" t="inlineStr">
        <is>
          <t>وضعیت ایراد</t>
        </is>
      </c>
      <c r="M3" s="94" t="inlineStr">
        <is>
          <t>تأیید رفع / توضیحات</t>
        </is>
      </c>
    </row>
    <row r="4" ht="14" customHeight="1">
      <c r="A4" s="127" t="inlineStr"/>
      <c r="B4" s="127" t="inlineStr"/>
      <c r="C4" s="127" t="inlineStr"/>
      <c r="D4" s="127" t="inlineStr"/>
      <c r="E4" s="127" t="inlineStr"/>
      <c r="F4" s="127" t="inlineStr"/>
      <c r="G4" s="127" t="inlineStr"/>
      <c r="H4" s="127" t="inlineStr"/>
      <c r="I4" s="127" t="inlineStr"/>
      <c r="J4" s="127" t="inlineStr"/>
      <c r="K4" s="127" t="inlineStr"/>
      <c r="L4" s="127" t="inlineStr"/>
      <c r="M4" s="127" t="inlineStr"/>
    </row>
    <row r="5" ht="14" customHeight="1">
      <c r="A5" s="128" t="inlineStr"/>
      <c r="B5" s="128" t="inlineStr"/>
      <c r="C5" s="128" t="inlineStr"/>
      <c r="D5" s="128" t="inlineStr"/>
      <c r="E5" s="128" t="inlineStr"/>
      <c r="F5" s="128" t="inlineStr"/>
      <c r="G5" s="128" t="inlineStr"/>
      <c r="H5" s="128" t="inlineStr"/>
      <c r="I5" s="128" t="inlineStr"/>
      <c r="J5" s="128" t="inlineStr"/>
      <c r="K5" s="128" t="inlineStr"/>
      <c r="L5" s="128" t="inlineStr"/>
      <c r="M5" s="128" t="inlineStr"/>
    </row>
    <row r="6" ht="14" customHeight="1">
      <c r="A6" s="127" t="inlineStr"/>
      <c r="B6" s="127" t="inlineStr"/>
      <c r="C6" s="127" t="inlineStr"/>
      <c r="D6" s="127" t="inlineStr"/>
      <c r="E6" s="127" t="inlineStr"/>
      <c r="F6" s="127" t="inlineStr"/>
      <c r="G6" s="127" t="inlineStr"/>
      <c r="H6" s="127" t="inlineStr"/>
      <c r="I6" s="127" t="inlineStr"/>
      <c r="J6" s="127" t="inlineStr"/>
      <c r="K6" s="127" t="inlineStr"/>
      <c r="L6" s="127" t="inlineStr"/>
      <c r="M6" s="127" t="inlineStr"/>
    </row>
    <row r="7" ht="14" customHeight="1">
      <c r="A7" s="128" t="inlineStr"/>
      <c r="B7" s="128" t="inlineStr"/>
      <c r="C7" s="128" t="inlineStr"/>
      <c r="D7" s="128" t="inlineStr"/>
      <c r="E7" s="128" t="inlineStr"/>
      <c r="F7" s="128" t="inlineStr"/>
      <c r="G7" s="128" t="inlineStr"/>
      <c r="H7" s="128" t="inlineStr"/>
      <c r="I7" s="128" t="inlineStr"/>
      <c r="J7" s="128" t="inlineStr"/>
      <c r="K7" s="128" t="inlineStr"/>
      <c r="L7" s="128" t="inlineStr"/>
      <c r="M7" s="128" t="inlineStr"/>
    </row>
    <row r="8" ht="14" customHeight="1">
      <c r="A8" s="127" t="inlineStr"/>
      <c r="B8" s="127" t="inlineStr"/>
      <c r="C8" s="127" t="inlineStr"/>
      <c r="D8" s="127" t="inlineStr"/>
      <c r="E8" s="127" t="inlineStr"/>
      <c r="F8" s="127" t="inlineStr"/>
      <c r="G8" s="127" t="inlineStr"/>
      <c r="H8" s="127" t="inlineStr"/>
      <c r="I8" s="127" t="inlineStr"/>
      <c r="J8" s="127" t="inlineStr"/>
      <c r="K8" s="127" t="inlineStr"/>
      <c r="L8" s="127" t="inlineStr"/>
      <c r="M8" s="127" t="inlineStr"/>
    </row>
    <row r="9" ht="14" customHeight="1">
      <c r="A9" s="128" t="inlineStr"/>
      <c r="B9" s="128" t="inlineStr"/>
      <c r="C9" s="128" t="inlineStr"/>
      <c r="D9" s="128" t="inlineStr"/>
      <c r="E9" s="128" t="inlineStr"/>
      <c r="F9" s="128" t="inlineStr"/>
      <c r="G9" s="128" t="inlineStr"/>
      <c r="H9" s="128" t="inlineStr"/>
      <c r="I9" s="128" t="inlineStr"/>
      <c r="J9" s="128" t="inlineStr"/>
      <c r="K9" s="128" t="inlineStr"/>
      <c r="L9" s="128" t="inlineStr"/>
      <c r="M9" s="128" t="inlineStr"/>
    </row>
    <row r="10" ht="14" customHeight="1">
      <c r="A10" s="127" t="inlineStr"/>
      <c r="B10" s="127" t="inlineStr"/>
      <c r="C10" s="127" t="inlineStr"/>
      <c r="D10" s="127" t="inlineStr"/>
      <c r="E10" s="127" t="inlineStr"/>
      <c r="F10" s="127" t="inlineStr"/>
      <c r="G10" s="127" t="inlineStr"/>
      <c r="H10" s="127" t="inlineStr"/>
      <c r="I10" s="127" t="inlineStr"/>
      <c r="J10" s="127" t="inlineStr"/>
      <c r="K10" s="127" t="inlineStr"/>
      <c r="L10" s="127" t="inlineStr"/>
      <c r="M10" s="127" t="inlineStr"/>
    </row>
    <row r="11" ht="14" customHeight="1">
      <c r="A11" s="128" t="inlineStr"/>
      <c r="B11" s="128" t="inlineStr"/>
      <c r="C11" s="128" t="inlineStr"/>
      <c r="D11" s="128" t="inlineStr"/>
      <c r="E11" s="128" t="inlineStr"/>
      <c r="F11" s="128" t="inlineStr"/>
      <c r="G11" s="128" t="inlineStr"/>
      <c r="H11" s="128" t="inlineStr"/>
      <c r="I11" s="128" t="inlineStr"/>
      <c r="J11" s="128" t="inlineStr"/>
      <c r="K11" s="128" t="inlineStr"/>
      <c r="L11" s="128" t="inlineStr"/>
      <c r="M11" s="128" t="inlineStr"/>
    </row>
    <row r="12" ht="14" customHeight="1">
      <c r="A12" s="127" t="inlineStr"/>
      <c r="B12" s="127" t="inlineStr"/>
      <c r="C12" s="127" t="inlineStr"/>
      <c r="D12" s="127" t="inlineStr"/>
      <c r="E12" s="127" t="inlineStr"/>
      <c r="F12" s="127" t="inlineStr"/>
      <c r="G12" s="127" t="inlineStr"/>
      <c r="H12" s="127" t="inlineStr"/>
      <c r="I12" s="127" t="inlineStr"/>
      <c r="J12" s="127" t="inlineStr"/>
      <c r="K12" s="127" t="inlineStr"/>
      <c r="L12" s="127" t="inlineStr"/>
      <c r="M12" s="127" t="inlineStr"/>
    </row>
    <row r="13" ht="14" customHeight="1">
      <c r="A13" s="128" t="inlineStr"/>
      <c r="B13" s="128" t="inlineStr"/>
      <c r="C13" s="128" t="inlineStr"/>
      <c r="D13" s="128" t="inlineStr"/>
      <c r="E13" s="128" t="inlineStr"/>
      <c r="F13" s="128" t="inlineStr"/>
      <c r="G13" s="128" t="inlineStr"/>
      <c r="H13" s="128" t="inlineStr"/>
      <c r="I13" s="128" t="inlineStr"/>
      <c r="J13" s="128" t="inlineStr"/>
      <c r="K13" s="128" t="inlineStr"/>
      <c r="L13" s="128" t="inlineStr"/>
      <c r="M13" s="128"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7"/>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29" t="inlineStr">
        <is>
          <t>تأیید نهایی اعتبارسنجی روی برد — Measurement — ADC/ کالیبراسیون</t>
        </is>
      </c>
    </row>
    <row r="2" ht="18" customHeight="1">
      <c r="A2" s="130" t="inlineStr">
        <is>
          <t>این صفحه فقط پس از تکمیل تست‌ها و بستن ایرادهای باز امضا شود. بدون تکمیل این صفحه، اعتبارسنجی ناقص است.</t>
        </is>
      </c>
    </row>
    <row r="3">
      <c r="A3" s="93" t="inlineStr">
        <is>
          <t>مشخصات تست</t>
        </is>
      </c>
    </row>
    <row r="4" ht="14" customHeight="1">
      <c r="A4" s="131" t="inlineStr">
        <is>
          <t>پروژه</t>
        </is>
      </c>
      <c r="B4" s="96" t="inlineStr">
        <is>
          <t>ChangeOver</t>
        </is>
      </c>
      <c r="C4" s="131" t="inlineStr">
        <is>
          <t>ماژول</t>
        </is>
      </c>
      <c r="D4" s="96" t="inlineStr">
        <is>
          <t>Measurement — ADC/ کالیبراسیون</t>
        </is>
      </c>
      <c r="E4" s="98" t="n"/>
      <c r="F4" s="9" t="n"/>
    </row>
    <row r="5" ht="14" customHeight="1">
      <c r="A5" s="131" t="inlineStr">
        <is>
          <t>تاریخ ساخت فرم</t>
        </is>
      </c>
      <c r="B5" s="96" t="inlineStr">
        <is>
          <t>2026-09-16 (1.0)</t>
        </is>
      </c>
      <c r="C5" s="131" t="inlineStr">
        <is>
          <t>نسخه فرم</t>
        </is>
      </c>
      <c r="D5" s="96" t="inlineStr">
        <is>
          <t>1.0</t>
        </is>
      </c>
      <c r="E5" s="98" t="n"/>
      <c r="F5" s="9" t="n"/>
    </row>
    <row r="6" ht="14" customHeight="1">
      <c r="A6" s="131" t="inlineStr">
        <is>
          <t>نسخهٔ برنامه</t>
        </is>
      </c>
      <c r="B6" s="96" t="inlineStr">
        <is>
          <t>نسخهٔ برنامهٔ فلش‌شده (تست‌کننده پر کند)</t>
        </is>
      </c>
      <c r="C6" s="131" t="inlineStr">
        <is>
          <t>شناسه برد</t>
        </is>
      </c>
      <c r="D6" s="132" t="inlineStr"/>
      <c r="E6" s="98" t="n"/>
      <c r="F6" s="9" t="n"/>
    </row>
    <row r="7" ht="14" customHeight="1">
      <c r="A7" s="131" t="inlineStr">
        <is>
          <t>تست‌کننده اصلی</t>
        </is>
      </c>
      <c r="B7" s="132" t="inlineStr"/>
      <c r="C7" s="131" t="inlineStr">
        <is>
          <t>تاریخ شروع</t>
        </is>
      </c>
      <c r="D7" s="132" t="inlineStr"/>
      <c r="E7" s="98" t="n"/>
      <c r="F7" s="9" t="n"/>
    </row>
    <row r="8" ht="14" customHeight="1">
      <c r="A8" s="131" t="inlineStr">
        <is>
          <t>تاریخ پایان</t>
        </is>
      </c>
      <c r="B8" s="132" t="inlineStr"/>
      <c r="C8" s="131" t="inlineStr">
        <is>
          <t>ابزار اندازه‌گیری</t>
        </is>
      </c>
      <c r="D8" s="96" t="inlineStr">
        <is>
          <t>منبع آزمایشگاهی + DMM + اسیلوسکوپ + تایمر RTOS</t>
        </is>
      </c>
      <c r="E8" s="98" t="n"/>
      <c r="F8" s="9" t="n"/>
    </row>
    <row r="9" ht="14" customHeight="1">
      <c r="A9" s="131" t="inlineStr">
        <is>
          <t>فرکانس تیک</t>
        </is>
      </c>
      <c r="B9" s="96" t="inlineStr">
        <is>
          <t>از osKernelGetTickFreq (قابل‌حمل)</t>
        </is>
      </c>
      <c r="C9" s="131" t="inlineStr"/>
      <c r="D9" s="132" t="inlineStr"/>
      <c r="E9" s="98" t="n"/>
      <c r="F9" s="9" t="n"/>
    </row>
    <row r="10" ht="14" customHeight="1">
      <c r="A10" s="131" t="inlineStr">
        <is>
          <t>دامنه</t>
        </is>
      </c>
      <c r="B10" s="96" t="inlineStr">
        <is>
          <t>ADC 5ch + DMA + کالیبراسیون</t>
        </is>
      </c>
      <c r="C10" s="131" t="inlineStr"/>
      <c r="D10" s="132" t="inlineStr"/>
      <c r="E10" s="98" t="n"/>
      <c r="F10" s="98" t="n"/>
    </row>
    <row r="11" ht="14" customHeight="1">
      <c r="A11" s="131" t="inlineStr">
        <is>
          <t>آستانه warmup</t>
        </is>
      </c>
      <c r="B11" s="96" t="inlineStr">
        <is>
          <t>3 فریم</t>
        </is>
      </c>
      <c r="C11" s="131" t="inlineStr"/>
      <c r="D11" s="132" t="inlineStr"/>
      <c r="E11" s="98" t="n"/>
      <c r="F11" s="98" t="n"/>
    </row>
    <row r="12" ht="14" customHeight="1">
      <c r="A12" s="131" t="inlineStr">
        <is>
          <t>دوره</t>
        </is>
      </c>
      <c r="B12" s="96" t="inlineStr">
        <is>
          <t>10ms</t>
        </is>
      </c>
      <c r="C12" s="131" t="inlineStr"/>
      <c r="D12" s="132" t="inlineStr"/>
      <c r="E12" s="98" t="n"/>
      <c r="F12" s="98" t="n"/>
    </row>
    <row r="13" ht="14" customHeight="1">
      <c r="A13" s="131" t="inlineStr">
        <is>
          <t>کالیبراسیون</t>
        </is>
      </c>
      <c r="B13" s="96" t="inlineStr">
        <is>
          <t>Vref3300/4095 Div24/Div12 Shunt10 Gain101</t>
        </is>
      </c>
      <c r="C13" s="131" t="inlineStr"/>
      <c r="D13" s="132" t="inlineStr"/>
      <c r="E13" s="98" t="n"/>
      <c r="F13" s="98" t="n"/>
    </row>
    <row r="14">
      <c r="A14" s="93" t="inlineStr">
        <is>
          <t>خلاصه خودکار وضعیت تست‌ها (پس از تست برد پر شود)</t>
        </is>
      </c>
    </row>
    <row r="15">
      <c r="A15" s="94" t="inlineStr">
        <is>
          <t>شاخص</t>
        </is>
      </c>
      <c r="B15" s="94" t="inlineStr">
        <is>
          <t>مقدار</t>
        </is>
      </c>
      <c r="C15" s="94" t="inlineStr">
        <is>
          <t>توضیح</t>
        </is>
      </c>
      <c r="D15" s="94" t="inlineStr">
        <is>
          <t>فرمول پیشنهادی</t>
        </is>
      </c>
      <c r="E15" s="8" t="n"/>
      <c r="F15" s="9" t="n"/>
    </row>
    <row r="16" ht="13" customHeight="1">
      <c r="A16" s="96" t="inlineStr">
        <is>
          <t>تعداد کل تست‌ها</t>
        </is>
      </c>
      <c r="B16" s="133">
        <f>COUNTA('برنامه تست'!A5:A200)</f>
        <v/>
      </c>
      <c r="C16" s="96" t="inlineStr">
        <is>
          <t>کل ردیف‌های برنامه تست</t>
        </is>
      </c>
      <c r="D16" s="96" t="inlineStr"/>
      <c r="E16" s="8" t="n"/>
      <c r="F16" s="9" t="n"/>
    </row>
    <row r="17" ht="13" customHeight="1">
      <c r="A17" s="96" t="inlineStr">
        <is>
          <t>تعداد قبول (PASS)</t>
        </is>
      </c>
      <c r="B17" s="133">
        <f>COUNTIF('برنامه تست'!K5:K200,"قبول")</f>
        <v/>
      </c>
      <c r="C17" s="96" t="inlineStr">
        <is>
          <t>تعداد ردیف با وضعیت = قبول</t>
        </is>
      </c>
      <c r="D17" s="96" t="inlineStr">
        <is>
          <t>COUNTIF('برنامه تست'!K5:K200,"قبول")</t>
        </is>
      </c>
      <c r="E17" s="8" t="n"/>
      <c r="F17" s="9" t="n"/>
    </row>
    <row r="18" ht="13" customHeight="1">
      <c r="A18" s="96" t="inlineStr">
        <is>
          <t>تعداد رد (FAIL)</t>
        </is>
      </c>
      <c r="B18" s="133">
        <f>COUNTIF('برنامه تست'!K5:K200,"رد")</f>
        <v/>
      </c>
      <c r="C18" s="96" t="inlineStr">
        <is>
          <t>تعداد ردیف با وضعیت = رد</t>
        </is>
      </c>
      <c r="D18" s="96" t="inlineStr">
        <is>
          <t>COUNTIF('برنامه تست'!K5:K200,"رد")</t>
        </is>
      </c>
      <c r="E18" s="8" t="n"/>
      <c r="F18" s="9" t="n"/>
    </row>
    <row r="19" ht="13" customHeight="1">
      <c r="A19" s="96" t="inlineStr">
        <is>
          <t>تعداد در انتظار</t>
        </is>
      </c>
      <c r="B19" s="133">
        <f>COUNTIF('برنامه تست'!K5:K200,"در انتظار")</f>
        <v/>
      </c>
      <c r="C19" s="96" t="inlineStr">
        <is>
          <t>تعداد ردیف با وضعیت = در انتظار</t>
        </is>
      </c>
      <c r="D19" s="96" t="inlineStr">
        <is>
          <t>COUNTIF('برنامه تست'!K5:K200,"در انتظار")</t>
        </is>
      </c>
      <c r="E19" s="8" t="n"/>
      <c r="F19" s="9" t="n"/>
    </row>
    <row r="20" ht="13" customHeight="1">
      <c r="A20" s="96" t="inlineStr">
        <is>
          <t>تعداد مسدود</t>
        </is>
      </c>
      <c r="B20" s="133">
        <f>COUNTIF('برنامه تست'!K5:K200,"مسدود")</f>
        <v/>
      </c>
      <c r="C20" s="96" t="inlineStr">
        <is>
          <t>تعداد ردیف با وضعیت = مسدود</t>
        </is>
      </c>
      <c r="D20" s="96" t="inlineStr"/>
      <c r="E20" s="8" t="n"/>
      <c r="F20" s="9" t="n"/>
    </row>
    <row r="21" ht="13" customHeight="1">
      <c r="A21" s="96" t="inlineStr">
        <is>
          <t>نرخ قبولی</t>
        </is>
      </c>
      <c r="B21" s="133">
        <f>IF(B16=0,"",TEXT(B17/B16,"0%"))</f>
        <v/>
      </c>
      <c r="C21" s="96" t="inlineStr">
        <is>
          <t>PASS / TOTAL</t>
        </is>
      </c>
      <c r="D21" s="96" t="inlineStr"/>
      <c r="E21" s="8" t="n"/>
      <c r="F21" s="9" t="n"/>
    </row>
    <row r="22">
      <c r="A22" s="93" t="inlineStr">
        <is>
          <t>امضاها</t>
        </is>
      </c>
    </row>
    <row r="23" ht="18" customHeight="1">
      <c r="A23" s="94" t="inlineStr">
        <is>
          <t>نقش</t>
        </is>
      </c>
      <c r="B23" s="94" t="inlineStr">
        <is>
          <t>نام و نام خانوادگی</t>
        </is>
      </c>
      <c r="C23" s="94" t="inlineStr">
        <is>
          <t>تاریخ</t>
        </is>
      </c>
      <c r="D23" s="94" t="inlineStr">
        <is>
          <t>امضا</t>
        </is>
      </c>
      <c r="E23" s="94" t="inlineStr">
        <is>
          <t>توضیحات</t>
        </is>
      </c>
      <c r="F23" s="9" t="n"/>
    </row>
    <row r="24" ht="22" customHeight="1">
      <c r="A24" s="96" t="inlineStr">
        <is>
          <t>تست‌کننده</t>
        </is>
      </c>
      <c r="B24" s="96" t="inlineStr"/>
      <c r="C24" s="96" t="inlineStr"/>
      <c r="D24" s="96" t="inlineStr"/>
      <c r="E24" s="96" t="inlineStr"/>
      <c r="F24" s="9" t="n"/>
    </row>
    <row r="25" ht="22" customHeight="1">
      <c r="A25" s="96" t="inlineStr">
        <is>
          <t>بازبین فنی</t>
        </is>
      </c>
      <c r="B25" s="96" t="inlineStr"/>
      <c r="C25" s="96" t="inlineStr"/>
      <c r="D25" s="96" t="inlineStr"/>
      <c r="E25" s="96" t="inlineStr"/>
      <c r="F25" s="9" t="n"/>
    </row>
    <row r="26" ht="22" customHeight="1">
      <c r="A26" s="96" t="inlineStr">
        <is>
          <t>تأیید نهایی</t>
        </is>
      </c>
      <c r="B26" s="96" t="inlineStr"/>
      <c r="C26" s="96" t="inlineStr"/>
      <c r="D26" s="96" t="inlineStr"/>
      <c r="E26" s="96" t="inlineStr"/>
      <c r="F26" s="9" t="n"/>
    </row>
    <row r="27">
      <c r="A27" s="130"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A27:F27"/>
    <mergeCell ref="E5:F5"/>
    <mergeCell ref="E23:F23"/>
    <mergeCell ref="D17:F17"/>
    <mergeCell ref="A3:F3"/>
    <mergeCell ref="D16:F16"/>
    <mergeCell ref="E8:F8"/>
    <mergeCell ref="A2:F2"/>
    <mergeCell ref="E4:F4"/>
    <mergeCell ref="A14:F14"/>
    <mergeCell ref="D18:F18"/>
    <mergeCell ref="A22:F22"/>
    <mergeCell ref="E9:F9"/>
    <mergeCell ref="D15:F15"/>
    <mergeCell ref="E6:F6"/>
    <mergeCell ref="E26:F26"/>
    <mergeCell ref="D20:F20"/>
    <mergeCell ref="D19:F19"/>
    <mergeCell ref="E7:F7"/>
    <mergeCell ref="E25:F25"/>
    <mergeCell ref="A1:F1"/>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808080"/>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93" t="inlineStr">
        <is>
          <t>وضعیت</t>
        </is>
      </c>
    </row>
    <row r="2">
      <c r="A2" s="134" t="inlineStr">
        <is>
          <t>در انتظار</t>
        </is>
      </c>
    </row>
    <row r="3">
      <c r="A3" s="134" t="inlineStr">
        <is>
          <t>انجام شد</t>
        </is>
      </c>
    </row>
    <row r="4">
      <c r="A4" s="134" t="inlineStr">
        <is>
          <t>قبول</t>
        </is>
      </c>
    </row>
    <row r="5">
      <c r="A5" s="134" t="inlineStr">
        <is>
          <t>رد</t>
        </is>
      </c>
    </row>
    <row r="6">
      <c r="A6" s="134" t="inlineStr">
        <is>
          <t>مسدود</t>
        </is>
      </c>
    </row>
    <row r="7">
      <c r="A7" s="85" t="inlineStr">
        <is>
          <t>نیاز به تکرار</t>
        </is>
      </c>
    </row>
    <row r="8" ht="14" customHeight="1">
      <c r="A8" s="93" t="inlineStr">
        <is>
          <t>اولویت</t>
        </is>
      </c>
    </row>
    <row r="9">
      <c r="A9" s="134" t="inlineStr">
        <is>
          <t>بالا</t>
        </is>
      </c>
    </row>
    <row r="10">
      <c r="A10" s="134" t="inlineStr">
        <is>
          <t>متوسط</t>
        </is>
      </c>
    </row>
    <row r="11">
      <c r="A11" s="134" t="inlineStr">
        <is>
          <t>پایین</t>
        </is>
      </c>
    </row>
    <row r="12">
      <c r="A12" s="134" t="inlineStr">
        <is>
          <t>بحرانی</t>
        </is>
      </c>
    </row>
    <row r="13">
      <c r="A13" s="85" t="n"/>
    </row>
    <row r="14" ht="14" customHeight="1">
      <c r="A14" s="93" t="inlineStr">
        <is>
          <t>دسته</t>
        </is>
      </c>
    </row>
    <row r="15">
      <c r="A15" s="134" t="inlineStr">
        <is>
          <t>BoardTest</t>
        </is>
      </c>
    </row>
    <row r="16">
      <c r="A16" s="134" t="inlineStr">
        <is>
          <t>InputOk</t>
        </is>
      </c>
    </row>
    <row r="17">
      <c r="A17" s="134" t="inlineStr">
        <is>
          <t>Charging</t>
        </is>
      </c>
    </row>
    <row r="18">
      <c r="A18" s="134" t="inlineStr">
        <is>
          <t>BatteryRun</t>
        </is>
      </c>
    </row>
    <row r="19">
      <c r="A19" s="134" t="inlineStr">
        <is>
          <t>هیسترزیس</t>
        </is>
      </c>
    </row>
    <row r="20">
      <c r="A20" s="134" t="inlineStr">
        <is>
          <t>InputOverVoltage</t>
        </is>
      </c>
    </row>
    <row r="21">
      <c r="A21" s="134" t="inlineStr">
        <is>
          <t>Snapshot</t>
        </is>
      </c>
    </row>
    <row r="22">
      <c r="A22" s="134" t="inlineStr">
        <is>
          <t>Buzzer</t>
        </is>
      </c>
    </row>
    <row r="23">
      <c r="A23" s="134" t="inlineStr">
        <is>
          <t>Measurement</t>
        </is>
      </c>
    </row>
    <row r="24">
      <c r="A24" s="134" t="inlineStr">
        <is>
          <t>Changeover</t>
        </is>
      </c>
    </row>
    <row r="25">
      <c r="A25" s="85" t="n"/>
    </row>
    <row r="26" ht="14" customHeight="1">
      <c r="A26" s="93" t="inlineStr">
        <is>
          <t>نتیجه ایراد</t>
        </is>
      </c>
    </row>
    <row r="27">
      <c r="A27" s="134" t="inlineStr">
        <is>
          <t>باز</t>
        </is>
      </c>
    </row>
    <row r="28">
      <c r="A28" s="134" t="inlineStr">
        <is>
          <t>در حال بررسی</t>
        </is>
      </c>
    </row>
    <row r="29">
      <c r="A29" s="134" t="inlineStr">
        <is>
          <t>رفع شد</t>
        </is>
      </c>
    </row>
    <row r="30">
      <c r="A30" s="134"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اندازه‌گیری (Measurement)</t>
        </is>
      </c>
    </row>
    <row r="2">
      <c r="A2" s="85" t="n"/>
      <c r="B2" s="85" t="n"/>
      <c r="C2" s="85" t="n"/>
    </row>
    <row r="3" ht="24" customHeight="1">
      <c r="A3" s="32" t="inlineStr">
        <is>
          <t>حالت‌ها و گذارهای همین ماژول</t>
        </is>
      </c>
      <c r="B3" s="33" t="inlineStr">
        <is>
          <t>Measurement_State_Machine.xlsx</t>
        </is>
      </c>
      <c r="C3" s="85" t="n"/>
    </row>
    <row r="4" ht="24" customHeight="1">
      <c r="A4" s="32" t="inlineStr">
        <is>
          <t>ماشین حالت کل برنامه (نمای سیستمی)</t>
        </is>
      </c>
      <c r="B4" s="33" t="inlineStr">
        <is>
          <t>../../../Documentation/System_State_Machine.xlsx</t>
        </is>
      </c>
      <c r="C4" s="85" t="n"/>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c r="C5" s="85" t="n"/>
    </row>
    <row r="6" ht="24" customHeight="1">
      <c r="A6" s="32" t="inlineStr">
        <is>
          <t>بازتولید</t>
        </is>
      </c>
      <c r="B6" s="33" t="inlineStr">
        <is>
          <t>python3 tools/make_module_state_machines.py</t>
        </is>
      </c>
      <c r="C6" s="85"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2026-09-16T16:35:38Z</dcterms:created>
  <dcterms:modified xsi:type="dcterms:W3CDTF">2026-10-17T12:45:51Z</dcterms:modified>
</cp:coreProperties>
</file>